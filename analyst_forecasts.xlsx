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21" sheetId="1" r:id="rId5"/>
    <sheet state="visible" name="apr21" sheetId="2" r:id="rId6"/>
    <sheet state="visible" name="Набсовет 10.6.21" sheetId="3" r:id="rId7"/>
    <sheet state="visible" name="10.6.21" sheetId="4" r:id="rId8"/>
    <sheet state="visible" name="2.7.21" sheetId="5" r:id="rId9"/>
    <sheet state="visible" name="16.7.21" sheetId="6" r:id="rId10"/>
    <sheet state="visible" name="27.8.21" sheetId="7" r:id="rId11"/>
    <sheet state="visible" name="Набсовет 7.9.21" sheetId="8" r:id="rId12"/>
    <sheet state="visible" name="13.10.21" sheetId="9" r:id="rId13"/>
    <sheet state="visible" name="Инфляция" sheetId="10" r:id="rId14"/>
    <sheet state="visible" name="26.11.21" sheetId="11" r:id="rId15"/>
    <sheet state="visible" name="28.1.22" sheetId="12" r:id="rId16"/>
    <sheet state="visible" name="11.2.22" sheetId="13" r:id="rId17"/>
    <sheet state="visible" name="25.2.22" sheetId="14" r:id="rId18"/>
    <sheet state="visible" name="22.4.22" sheetId="15" r:id="rId19"/>
    <sheet state="visible" name="06.07.22" sheetId="16" r:id="rId20"/>
    <sheet state="visible" name="29.07.22" sheetId="17" r:id="rId21"/>
    <sheet state="visible" name="26.08.22" sheetId="18" r:id="rId22"/>
    <sheet state="visible" name="11.11.22" sheetId="19" r:id="rId23"/>
    <sheet state="visible" name="27.01.23" sheetId="20" r:id="rId24"/>
    <sheet state="visible" name="03.03.23" sheetId="21" r:id="rId25"/>
    <sheet state="visible" name="20.03.23" sheetId="22" r:id="rId26"/>
    <sheet state="visible" name="03.05.23" sheetId="23" r:id="rId27"/>
    <sheet state="visible" name="31.05.23" sheetId="24" r:id="rId28"/>
    <sheet state="visible" name="03.07.23" sheetId="25" r:id="rId29"/>
    <sheet state="visible" name="Ослабление рубля 7.7.23" sheetId="26" r:id="rId30"/>
    <sheet state="visible" name="04.08.23" sheetId="27" r:id="rId31"/>
    <sheet state="visible" name="28.8.23" sheetId="28" r:id="rId32"/>
    <sheet state="visible" name="20.9.23" sheetId="29" r:id="rId33"/>
    <sheet state="visible" name="1.11.23" sheetId="30" r:id="rId34"/>
    <sheet state="visible" name="22.11.23" sheetId="31" r:id="rId35"/>
    <sheet state="visible" name="22.12.23" sheetId="32" r:id="rId36"/>
    <sheet state="visible" name="9.2.24" sheetId="33" r:id="rId37"/>
    <sheet state="visible" name="27.3.24" sheetId="34" r:id="rId38"/>
    <sheet state="visible" name="22.4.24" sheetId="35" r:id="rId39"/>
    <sheet state="visible" name="15.5.24" sheetId="36" r:id="rId40"/>
    <sheet state="visible" name="24.5.24" sheetId="37" r:id="rId41"/>
    <sheet state="visible" name="19.6.24" sheetId="38" r:id="rId42"/>
    <sheet state="visible" name="3.7.24" sheetId="39" r:id="rId43"/>
    <sheet state="visible" name="24.7.24" sheetId="40" r:id="rId44"/>
    <sheet state="visible" name="26.7.24" sheetId="41" r:id="rId45"/>
    <sheet state="visible" name="4.9.24" sheetId="42" r:id="rId46"/>
    <sheet state="visible" name="2.10.24" sheetId="43" r:id="rId47"/>
    <sheet state="visible" name="31.10.24" sheetId="44" r:id="rId48"/>
    <sheet state="visible" name="5.12.24" sheetId="45" r:id="rId49"/>
    <sheet state="visible" name="6.12.24" sheetId="46" r:id="rId50"/>
    <sheet state="visible" name="19.12.24" sheetId="47" r:id="rId51"/>
    <sheet state="visible" name="23.12.24" sheetId="48" r:id="rId52"/>
    <sheet state="visible" name="29.1.25" sheetId="49" r:id="rId53"/>
    <sheet state="visible" name="14.2.25" sheetId="50" r:id="rId54"/>
    <sheet state="visible" name="Клиентам 2" sheetId="51" r:id="rId55"/>
    <sheet state="visible" name="19.2.25" sheetId="52" r:id="rId56"/>
    <sheet state="visible" name="13.3.25 баз" sheetId="53" r:id="rId57"/>
    <sheet state="visible" name="16.4.25" sheetId="54" r:id="rId58"/>
    <sheet state="visible" name="21.5.25" sheetId="55" r:id="rId59"/>
    <sheet state="visible" name="13.3.25 мир" sheetId="56" r:id="rId60"/>
    <sheet state="visible" name="19.6.25" sheetId="57" r:id="rId61"/>
    <sheet state="visible" name="25.7.25" sheetId="58" r:id="rId62"/>
    <sheet state="visible" name="27.8.25" sheetId="59" r:id="rId63"/>
    <sheet state="visible" name="24.9.25" sheetId="60" r:id="rId64"/>
    <sheet state="visible" name="22.10.25" sheetId="61" r:id="rId65"/>
    <sheet state="visible" name="20.11.25" sheetId="62" r:id="rId66"/>
    <sheet state="visible" name="24.12.25" sheetId="63" r:id="rId67"/>
    <sheet state="visible" name="4.2.26" sheetId="64" r:id="rId68"/>
    <sheet state="visible" name="18.3.26" sheetId="65" r:id="rId69"/>
    <sheet state="visible" name="19.3.26" sheetId="66" r:id="rId70"/>
    <sheet state="visible" name="16.4.26" sheetId="67" r:id="rId71"/>
    <sheet state="visible" name="27.5.26" sheetId="68" r:id="rId72"/>
    <sheet state="visible" name="24.6.26" sheetId="69" r:id="rId73"/>
    <sheet state="visible" name="14.7.26" sheetId="70" r:id="rId74"/>
    <sheet state="visible" name="26.8.26" sheetId="71" r:id="rId75"/>
    <sheet state="visible" name="23.9.26" sheetId="72" r:id="rId76"/>
    <sheet state="visible" name="Клиентам" sheetId="73" r:id="rId77"/>
    <sheet state="visible" name="08.10.26" sheetId="74" r:id="rId7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28">
      <text>
        <t xml:space="preserve">Плюс эффект от выбытия складов WB и Ozon - оценка 0,3-0,5 п.п. к инфляции</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28">
      <text>
        <t xml:space="preserve">Плюс эффект от выбытия складов WB и Ozon - оценка 0,3-0,5 п.п. к инфляции</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28">
      <text>
        <t xml:space="preserve">Плюс эффект от выбытия складов WB и Ozon - оценка 0,3-0,5 п.п. к инфляции</t>
      </text>
    </comment>
  </commentList>
</comments>
</file>

<file path=xl/sharedStrings.xml><?xml version="1.0" encoding="utf-8"?>
<sst xmlns="http://schemas.openxmlformats.org/spreadsheetml/2006/main" count="15026" uniqueCount="1329">
  <si>
    <t>1q21</t>
  </si>
  <si>
    <t>2q21</t>
  </si>
  <si>
    <t>3q21</t>
  </si>
  <si>
    <t>4q21</t>
  </si>
  <si>
    <t>1q22</t>
  </si>
  <si>
    <t>2q22</t>
  </si>
  <si>
    <t>3q22</t>
  </si>
  <si>
    <t>4q22</t>
  </si>
  <si>
    <t>Comment</t>
  </si>
  <si>
    <t>Reviewer 1</t>
  </si>
  <si>
    <t>Reviewer 1 (agree/not)</t>
  </si>
  <si>
    <t>Reviewer 2</t>
  </si>
  <si>
    <t>Reviewer 2 (agree/not)</t>
  </si>
  <si>
    <t>Reviewer 3</t>
  </si>
  <si>
    <t>Reviewer 3 (agree/not)</t>
  </si>
  <si>
    <t>USD/RUB</t>
  </si>
  <si>
    <t>72-77</t>
  </si>
  <si>
    <t>73-78</t>
  </si>
  <si>
    <t>74-79</t>
  </si>
  <si>
    <t>Миша: я всё расставил, проверяйте.</t>
  </si>
  <si>
    <t xml:space="preserve">Kulagin </t>
  </si>
  <si>
    <t>ok</t>
  </si>
  <si>
    <t>Kononov</t>
  </si>
  <si>
    <t>Polezhaev</t>
  </si>
  <si>
    <t>EUR/RUB</t>
  </si>
  <si>
    <t>87-92</t>
  </si>
  <si>
    <t>88-93</t>
  </si>
  <si>
    <t>89-94</t>
  </si>
  <si>
    <t>Brent</t>
  </si>
  <si>
    <t>60-68</t>
  </si>
  <si>
    <t>62-70</t>
  </si>
  <si>
    <t>61-69</t>
  </si>
  <si>
    <t>58-66</t>
  </si>
  <si>
    <t>Petrova</t>
  </si>
  <si>
    <t>пока ок, можно 4q21-1q22 немного ниже поставить</t>
  </si>
  <si>
    <t>CPI RUS</t>
  </si>
  <si>
    <t>5,6-5,8</t>
  </si>
  <si>
    <t>5,5-5,9</t>
  </si>
  <si>
    <t>4,4-4,8</t>
  </si>
  <si>
    <t>3,8-4,2</t>
  </si>
  <si>
    <t>21q4 буду выше пересматривать. Вообще странно на прогнозе смотрится, что за 4 квартал резко вниз на 1 п.п. идет инфляция. Курс стабильный. В декабре наоборот все тратят больше перед НГ</t>
  </si>
  <si>
    <t>Да, у меня выходило так же, в пределах +/-0,2 п.п.</t>
  </si>
  <si>
    <t>Key Rate Rus</t>
  </si>
  <si>
    <t>4,5-4,75</t>
  </si>
  <si>
    <t>4,75-5,0</t>
  </si>
  <si>
    <t>5,0-5,25</t>
  </si>
  <si>
    <t>Да.</t>
  </si>
  <si>
    <t>Инфляция г/г (модель Миши)</t>
  </si>
  <si>
    <t>Модельные оценки</t>
  </si>
  <si>
    <t>По модели платежного баланса, базовый сценарий. 2021-03-26</t>
  </si>
  <si>
    <t>CPI RUS model</t>
  </si>
  <si>
    <t>Без учета перераспределения потребительской корзины, по итогам 2021 года будет больше</t>
  </si>
  <si>
    <t>Предпосылки</t>
  </si>
  <si>
    <t>Миша: Какой коэффициент переноса ослабления рубля в цены?
Никита: -0.3. Т.е. если рубль -10% за год, то к инфляции примерно +3 п.п. будет</t>
  </si>
  <si>
    <t>Фьючи</t>
  </si>
  <si>
    <t>Wheat</t>
  </si>
  <si>
    <t>Прирост цен г/г из фьючей</t>
  </si>
  <si>
    <t>Steel</t>
  </si>
  <si>
    <t>Milk</t>
  </si>
  <si>
    <t xml:space="preserve">не уверен, что цена на мировом рынке коррелирована с локальными ценами. уверен, что это так?
Никита: Спред постоянный, более-менее. Нам только динамика важна г/г
</t>
  </si>
  <si>
    <t>Sugar</t>
  </si>
  <si>
    <t>не уверен, что цена на мировом рынке коррелирована с локальными ценами. уверен, что это так?</t>
  </si>
  <si>
    <t>USDRUB</t>
  </si>
  <si>
    <t>Модель ПБ</t>
  </si>
  <si>
    <t>Wages</t>
  </si>
  <si>
    <t>2021 - тренд за последний год + данные за последние 10 лет</t>
  </si>
  <si>
    <t>Transport Tariffs</t>
  </si>
  <si>
    <t>По средним за последние пару лет</t>
  </si>
  <si>
    <t>Utilities</t>
  </si>
  <si>
    <t>долл./барр.</t>
  </si>
  <si>
    <t>Не фьючи, а цена российского экспорта (прогноз на основе фьючей)</t>
  </si>
  <si>
    <t>В Рейтере фьючи ниже...</t>
  </si>
  <si>
    <t>Кирилл: я брал котировки ~15 марта. Цена нефти успела вальнуться, кривая за ней ушла... Это к слову о том, чем плохи фьючи для прогнозирования. :)</t>
  </si>
  <si>
    <t>Знаю что плохи :) Постараюсь что-то родить :)</t>
  </si>
  <si>
    <t>Газ природный, млрд.куб.м</t>
  </si>
  <si>
    <t>долл./ тыс. м3</t>
  </si>
  <si>
    <t>Черные металлы</t>
  </si>
  <si>
    <t>долл./т</t>
  </si>
  <si>
    <t>ВВП</t>
  </si>
  <si>
    <t>%</t>
  </si>
  <si>
    <t>Доходы населения</t>
  </si>
  <si>
    <t>Инфляция</t>
  </si>
  <si>
    <t>Прогноз от 2021-03-22</t>
  </si>
  <si>
    <t>4q21 меньше бы сделал</t>
  </si>
  <si>
    <t>см. выше</t>
  </si>
  <si>
    <t>5,6-6,0</t>
  </si>
  <si>
    <t>4,9-5,3</t>
  </si>
  <si>
    <t>3,9-4,5</t>
  </si>
  <si>
    <t xml:space="preserve">Надо вверх пересматривать 4q21. 4.9-5.3 
Базовая модель дает уже 5.1 (без перераспределения весов в корзине). Цены на сталь на фьюерсах выросли сильно. </t>
  </si>
  <si>
    <t>5,25-5,5</t>
  </si>
  <si>
    <t>5,5-6,0</t>
  </si>
  <si>
    <t>Я бы до 6 не ставил диапазон на конец года. 5.5-5.75.
Ключ 6% - это уже почти жесткая ДКП</t>
  </si>
  <si>
    <t>По модели платежного баланса, базовый сценарий</t>
  </si>
  <si>
    <t>USD/RUB, на конец года</t>
  </si>
  <si>
    <t>Справочно, предыдущий вариант - 2021-03-26</t>
  </si>
  <si>
    <t>Макросценарии для Набсовета</t>
  </si>
  <si>
    <t>Базовый</t>
  </si>
  <si>
    <t>Инфляционный</t>
  </si>
  <si>
    <t>Пессимистичный</t>
  </si>
  <si>
    <t>Q1 2021</t>
  </si>
  <si>
    <t>Q2 2021</t>
  </si>
  <si>
    <t>Прим. Кононов</t>
  </si>
  <si>
    <t>Нефть Brent</t>
  </si>
  <si>
    <t>В базовом Brent 70 до конца года.
В инфляционном пришлось поднять до 100-110, чтобы в среднем по году вышло 80.</t>
  </si>
  <si>
    <t>ВВП, физ. рост</t>
  </si>
  <si>
    <t>Инфляция, %г/г на конец года</t>
  </si>
  <si>
    <t>7.6%</t>
  </si>
  <si>
    <t>6.8%</t>
  </si>
  <si>
    <t>7.1%</t>
  </si>
  <si>
    <t>Инфляция, %г/г при разных прогнозах по стали</t>
  </si>
  <si>
    <t>Инфляция, %г/г на конец года при росте стали 0%г/г</t>
  </si>
  <si>
    <t>5.5%</t>
  </si>
  <si>
    <t>3.7%</t>
  </si>
  <si>
    <t>Безработица</t>
  </si>
  <si>
    <t>Ключевая ставка</t>
  </si>
  <si>
    <t>Дефицит(-)/Профицит(+) бюджета, % ВВП</t>
  </si>
  <si>
    <t>Курс доллара США, средний за период</t>
  </si>
  <si>
    <t>Поменял фактические курсы за 1-2 кв.
В инфляционном доходы от экспорта велики, USDRUB ~70 в четвертом квартале. Также в этом сценарии добавлен приток капитала на 20% выше "нормы", т.к. реальные ставки в РФ должны быть высокие относительно ФРС-ЕЦБ, и фондовый рынок должен быть привлекательным из-за цен на сырье .
В пессимистическом курс до конца года 74-76. Импорт стагнирует, и курс слегка укрепляется ("доходы есть, импорта нет").</t>
  </si>
  <si>
    <t>Ставка по 10-летней ОФЗ</t>
  </si>
  <si>
    <t>Доходность по 10-летней ОФЗ</t>
  </si>
  <si>
    <t>Нефть Brent, руб./барр.</t>
  </si>
  <si>
    <t>Предпосылки модели по инфляции</t>
  </si>
  <si>
    <t>Рост ЗП</t>
  </si>
  <si>
    <t>Миша - консенсус-прогноз Bloomberg:</t>
  </si>
  <si>
    <t>Пшеница / фьючи</t>
  </si>
  <si>
    <t>12.5%</t>
  </si>
  <si>
    <t>ВВП 2021 - 3,2%</t>
  </si>
  <si>
    <t>Сталь / фьючи</t>
  </si>
  <si>
    <t>59.1%</t>
  </si>
  <si>
    <t>https://ihsmarkit.com/solutions/steel-forecast.html</t>
  </si>
  <si>
    <t>Инфляция - 4,9% в 4кв21</t>
  </si>
  <si>
    <t>Молоко / фьючи</t>
  </si>
  <si>
    <t>Бюджетный дефицит - 21 (-0,9), 22 (-1,0), 23 (-1,1)</t>
  </si>
  <si>
    <t>Сахар / фьючи</t>
  </si>
  <si>
    <t>13.8%</t>
  </si>
  <si>
    <t>Ставка - 21 (5,75)</t>
  </si>
  <si>
    <t>USD/RUB - Q421 (71)</t>
  </si>
  <si>
    <t>USD/RUB, на конец</t>
  </si>
  <si>
    <t>ок</t>
  </si>
  <si>
    <t>66-74</t>
  </si>
  <si>
    <t>67-75</t>
  </si>
  <si>
    <t>65-73</t>
  </si>
  <si>
    <t>63-71</t>
  </si>
  <si>
    <t>пока ок</t>
  </si>
  <si>
    <t>6,3-6,5</t>
  </si>
  <si>
    <t>6,3-6,7</t>
  </si>
  <si>
    <t>5,9-6,3</t>
  </si>
  <si>
    <t>4,3-4,8</t>
  </si>
  <si>
    <t>6,0-6,5</t>
  </si>
  <si>
    <t>CPI RUS model при прогнозе по стали 25%г/г</t>
  </si>
  <si>
    <t>CPI RUS model при прогнозе по стали 0%г/г</t>
  </si>
  <si>
    <t>EURUSD</t>
  </si>
  <si>
    <t>71-76</t>
  </si>
  <si>
    <t>85-90</t>
  </si>
  <si>
    <t>86-91</t>
  </si>
  <si>
    <t>70-78</t>
  </si>
  <si>
    <t>пока ок, ну может на $1 снизить 2q22</t>
  </si>
  <si>
    <t>6,6-7,0</t>
  </si>
  <si>
    <t>6,0-6,4</t>
  </si>
  <si>
    <t>4,2-4,9</t>
  </si>
  <si>
    <t>4,0-4,7</t>
  </si>
  <si>
    <t>6,25-7,0</t>
  </si>
  <si>
    <t>(расположена внизу страницы)</t>
  </si>
  <si>
    <t>4,2 - модель Никиты</t>
  </si>
  <si>
    <t>Фьючи, сглаживание за 3 месяца</t>
  </si>
  <si>
    <t>Фьючи (смещение на месяц)</t>
  </si>
  <si>
    <t>Цена российского экспорта (прогноз на основе фьючей)</t>
  </si>
  <si>
    <t>янв</t>
  </si>
  <si>
    <t>фев</t>
  </si>
  <si>
    <t>Мар</t>
  </si>
  <si>
    <t>апр</t>
  </si>
  <si>
    <t>май</t>
  </si>
  <si>
    <t>Июн</t>
  </si>
  <si>
    <t>июл</t>
  </si>
  <si>
    <t>авг</t>
  </si>
  <si>
    <t>Сен</t>
  </si>
  <si>
    <t>окт</t>
  </si>
  <si>
    <t>ноя</t>
  </si>
  <si>
    <t>Дек</t>
  </si>
  <si>
    <t>В годовом выражении, %</t>
  </si>
  <si>
    <t>6,2 - Модель Никиты 10.06.21</t>
  </si>
  <si>
    <t>Медиана 2012-2020</t>
  </si>
  <si>
    <t>Медиана 2017-2020</t>
  </si>
  <si>
    <t>Янв</t>
  </si>
  <si>
    <t>Фев</t>
  </si>
  <si>
    <t>Апр</t>
  </si>
  <si>
    <t>Май</t>
  </si>
  <si>
    <t>Июл</t>
  </si>
  <si>
    <t>Авг</t>
  </si>
  <si>
    <t>Окт</t>
  </si>
  <si>
    <t>Ноя</t>
  </si>
  <si>
    <t>6,7-7,1</t>
  </si>
  <si>
    <t>6,1-6,5</t>
  </si>
  <si>
    <t>4,7-5,3</t>
  </si>
  <si>
    <t>6,5-7,0</t>
  </si>
  <si>
    <t>6,0-7,0</t>
  </si>
  <si>
    <t>5,5-6,5</t>
  </si>
  <si>
    <t>4,7 - модель Никиты</t>
  </si>
  <si>
    <t>6,2 - Модель Никиты 16.07.21</t>
  </si>
  <si>
    <t>68-76</t>
  </si>
  <si>
    <t>64-72</t>
  </si>
  <si>
    <t>6,8-7,2</t>
  </si>
  <si>
    <t>5,3-5,8</t>
  </si>
  <si>
    <t>4,5-5,0</t>
  </si>
  <si>
    <t>6,75-7,25</t>
  </si>
  <si>
    <t>6,5-7,25</t>
  </si>
  <si>
    <t>5,4 - модель Никиты</t>
  </si>
  <si>
    <t>38.2%</t>
  </si>
  <si>
    <t>15.9%</t>
  </si>
  <si>
    <t>107.6%</t>
  </si>
  <si>
    <t>-10.4%</t>
  </si>
  <si>
    <t>23.7%</t>
  </si>
  <si>
    <t>в сентябре добавить строку с СТО</t>
  </si>
  <si>
    <t>73.59</t>
  </si>
  <si>
    <t>Инфляционный (рост цен на сырье)</t>
  </si>
  <si>
    <t>Пессимистичный (падение цен на сырье)</t>
  </si>
  <si>
    <t>Нефть Brent (средний за период)</t>
  </si>
  <si>
    <t>Инфляционный - нефть 80 в 3к (т.е. 100 в октябре), 100 в 4к; пессимистический - 60 (50 в окт) и 50.</t>
  </si>
  <si>
    <t>Инфляция на конец, %г/г при разных прогнозах по стали</t>
  </si>
  <si>
    <t>инфляционный и пессимистичный поставила по модели</t>
  </si>
  <si>
    <t>Ключевая ставка, на конец</t>
  </si>
  <si>
    <t>Курс доллара США, средний за период (год)</t>
  </si>
  <si>
    <t>Доходность по 10-летней ОФЗ, на конец периода</t>
  </si>
  <si>
    <t>Прим. Ващелюк</t>
  </si>
  <si>
    <t>2021 г., г/г</t>
  </si>
  <si>
    <t>4 кв. 2021 г., г/г</t>
  </si>
  <si>
    <t>темп прироста разделен на 4 и на 2 в инфляционном</t>
  </si>
  <si>
    <t>справочно</t>
  </si>
  <si>
    <t>Нефть Brent, на конец года</t>
  </si>
  <si>
    <t>70-75</t>
  </si>
  <si>
    <t>80-85</t>
  </si>
  <si>
    <t>81-86</t>
  </si>
  <si>
    <t>82-87</t>
  </si>
  <si>
    <t>78-86</t>
  </si>
  <si>
    <t>71-79</t>
  </si>
  <si>
    <t>56-64</t>
  </si>
  <si>
    <t>7,2-7,7</t>
  </si>
  <si>
    <t>6,1-6,6</t>
  </si>
  <si>
    <t>5,4-5,9</t>
  </si>
  <si>
    <t>4,2-4,7</t>
  </si>
  <si>
    <t>3,8-4,3</t>
  </si>
  <si>
    <t>было -&gt;</t>
  </si>
  <si>
    <t>7,0-7,5</t>
  </si>
  <si>
    <t>справочно, было 27.08</t>
  </si>
  <si>
    <t>справочно, было 13.10 (с кривым обновлением блума)</t>
  </si>
  <si>
    <t>Справочно</t>
  </si>
  <si>
    <t>Кривая фьючей</t>
  </si>
  <si>
    <t>Кривая - консесус Марии и Михаила</t>
  </si>
  <si>
    <t>долл./ MMBTU</t>
  </si>
  <si>
    <t>Газ - хабы</t>
  </si>
  <si>
    <t>хабы Европы (TTF/ NBP) - 80% экспорта - прогноз Маши</t>
  </si>
  <si>
    <t>кривая фьючей</t>
  </si>
  <si>
    <t>Газ - нефтяная привязка</t>
  </si>
  <si>
    <t>14% * нефть (20% экспорта)</t>
  </si>
  <si>
    <t>Газ - среднее</t>
  </si>
  <si>
    <t>прогноз Маши итог; Газ - расчётная цена газа Газпрома в ЕС</t>
  </si>
  <si>
    <t>Спрэд</t>
  </si>
  <si>
    <t>разница хабов и нашей таможни</t>
  </si>
  <si>
    <t>Справочно, что вставлял в модель курса. Небольшие отклонения от факта в модели инфляции должны быть незначимы.</t>
  </si>
  <si>
    <t>СТО</t>
  </si>
  <si>
    <t>млрд долл</t>
  </si>
  <si>
    <t>74.4</t>
  </si>
  <si>
    <t>73.6</t>
  </si>
  <si>
    <t>72.8</t>
  </si>
  <si>
    <t>72.1</t>
  </si>
  <si>
    <t>74.2</t>
  </si>
  <si>
    <t>76.7</t>
  </si>
  <si>
    <t>76.3</t>
  </si>
  <si>
    <t>78.4</t>
  </si>
  <si>
    <t>На 29.11.2021</t>
  </si>
  <si>
    <t>Среднее значение за 6 месяцев</t>
  </si>
  <si>
    <t>Курс доллара</t>
  </si>
  <si>
    <t>Цены импорта</t>
  </si>
  <si>
    <t>Зарплата</t>
  </si>
  <si>
    <t>Продукция сельского хозяйства (внутренний рынок)</t>
  </si>
  <si>
    <t>Сталь (внутренний рынок)</t>
  </si>
  <si>
    <t>utilities, услуги транспорта (для производства)</t>
  </si>
  <si>
    <t>ИНФЛЯЦИЯ, % MoM</t>
  </si>
  <si>
    <t>ИНФЛЯЦИЯ, % YoY</t>
  </si>
  <si>
    <t>фев.21</t>
  </si>
  <si>
    <t>мар</t>
  </si>
  <si>
    <t>май.21</t>
  </si>
  <si>
    <t>июн</t>
  </si>
  <si>
    <t>сен</t>
  </si>
  <si>
    <t>сен.21</t>
  </si>
  <si>
    <t>ноя.21</t>
  </si>
  <si>
    <t>Ставка</t>
  </si>
  <si>
    <t>Реальная ставка</t>
  </si>
  <si>
    <t>дек</t>
  </si>
  <si>
    <t>фев.22</t>
  </si>
  <si>
    <t>май.22</t>
  </si>
  <si>
    <t>сен.22</t>
  </si>
  <si>
    <t>ноя.22</t>
  </si>
  <si>
    <t>71-75</t>
  </si>
  <si>
    <t>69-74</t>
  </si>
  <si>
    <t>81-85</t>
  </si>
  <si>
    <t>79-84</t>
  </si>
  <si>
    <t>83-88</t>
  </si>
  <si>
    <t>75-83</t>
  </si>
  <si>
    <t>8-8,5</t>
  </si>
  <si>
    <t>6-6,5</t>
  </si>
  <si>
    <t>5,5-6</t>
  </si>
  <si>
    <t>4,7-5,2</t>
  </si>
  <si>
    <t>8,0-8,5</t>
  </si>
  <si>
    <t>7,5-8,0</t>
  </si>
  <si>
    <t>справочно, было 27.08.21</t>
  </si>
  <si>
    <t xml:space="preserve">справочно, было 13.10.21 </t>
  </si>
  <si>
    <t>71,95 на 27 ноября включ. (по ЦБ)</t>
  </si>
  <si>
    <t>Факторы на отдельном листе</t>
  </si>
  <si>
    <t>Цена российского экспорта (Газпром на таможне)</t>
  </si>
  <si>
    <t>Справочно, что вставлял в модель курса. Если модель инфляции будет отклоняться на 1-2 п.п. влияние на курс должно быть небольшим.</t>
  </si>
  <si>
    <t>можно не смотреть</t>
  </si>
  <si>
    <t>сцен 1</t>
  </si>
  <si>
    <t>фикс сырьё (нефть 80, газ 28 (вместо стр. 39), импорт зафиксирован на рекордных 85 млрд в квартал</t>
  </si>
  <si>
    <t>сцен 2</t>
  </si>
  <si>
    <t>условно - война с украиной, сырьё как в базовом, руками вбит отток 60 млрд долл. в год с 1к22</t>
  </si>
  <si>
    <t>75-80</t>
  </si>
  <si>
    <t>84-92</t>
  </si>
  <si>
    <t>77-85</t>
  </si>
  <si>
    <t>8,2-8,7</t>
  </si>
  <si>
    <t>5,0-5,5</t>
  </si>
  <si>
    <t>9,25-9,75</t>
  </si>
  <si>
    <t>8,5-9,0</t>
  </si>
  <si>
    <t>max (trailing CPI 12m + 0.5%; forward CPI +3%)</t>
  </si>
  <si>
    <t>в целом ок, но предлагаю 9-10 в 1к22; 8-9 в 3к22; 7,5-8,5 в 4к</t>
  </si>
  <si>
    <t xml:space="preserve">справочно, было 26.11.21 </t>
  </si>
  <si>
    <t>Сценарий 1, сейчас базовый</t>
  </si>
  <si>
    <t>декабрь 2021</t>
  </si>
  <si>
    <t>январь 2022</t>
  </si>
  <si>
    <t>сценарий 1, новый базовый</t>
  </si>
  <si>
    <t>Наташа Ващелюк 13.01.22</t>
  </si>
  <si>
    <t>Месяц</t>
  </si>
  <si>
    <t>Январь</t>
  </si>
  <si>
    <t>8.6%</t>
  </si>
  <si>
    <t>8.5%</t>
  </si>
  <si>
    <t>февраль</t>
  </si>
  <si>
    <t>8.2%</t>
  </si>
  <si>
    <t>9.0%</t>
  </si>
  <si>
    <t>март</t>
  </si>
  <si>
    <t>7.8%</t>
  </si>
  <si>
    <t>апрель</t>
  </si>
  <si>
    <t>7.5%</t>
  </si>
  <si>
    <t>7.0%</t>
  </si>
  <si>
    <t>июнь</t>
  </si>
  <si>
    <t>6.6%</t>
  </si>
  <si>
    <t>июль</t>
  </si>
  <si>
    <t>6.7%</t>
  </si>
  <si>
    <t>август</t>
  </si>
  <si>
    <t>сентябрь</t>
  </si>
  <si>
    <t>6.2%</t>
  </si>
  <si>
    <t>октябрь</t>
  </si>
  <si>
    <t>5.7%</t>
  </si>
  <si>
    <t>8.0%</t>
  </si>
  <si>
    <t>ноябрь</t>
  </si>
  <si>
    <t>5.4%</t>
  </si>
  <si>
    <t>декабрь</t>
  </si>
  <si>
    <t>5.3%</t>
  </si>
  <si>
    <t>7.5-8%</t>
  </si>
  <si>
    <t>99.3</t>
  </si>
  <si>
    <t>110.5</t>
  </si>
  <si>
    <t>104.3</t>
  </si>
  <si>
    <t>99.9</t>
  </si>
  <si>
    <t>100.9</t>
  </si>
  <si>
    <t>101.3</t>
  </si>
  <si>
    <t>102.4</t>
  </si>
  <si>
    <t>106.6</t>
  </si>
  <si>
    <t>97.2</t>
  </si>
  <si>
    <t>128.1</t>
  </si>
  <si>
    <t>110.3</t>
  </si>
  <si>
    <t>101.0</t>
  </si>
  <si>
    <t>103.9</t>
  </si>
  <si>
    <t>102.9</t>
  </si>
  <si>
    <t>101.5</t>
  </si>
  <si>
    <t>105.5</t>
  </si>
  <si>
    <t>106.0</t>
  </si>
  <si>
    <t>106.8</t>
  </si>
  <si>
    <t>108.3</t>
  </si>
  <si>
    <t>108.1</t>
  </si>
  <si>
    <t>107.6</t>
  </si>
  <si>
    <t>107.0</t>
  </si>
  <si>
    <t>105.7</t>
  </si>
  <si>
    <t>Справочно, что вставлял в модель курса. Если модель инфляции будет отклоняться на 1-2 п.п. влияние на курс будет незначимо.</t>
  </si>
  <si>
    <t>Сценарий 1</t>
  </si>
  <si>
    <t>"Испуг"</t>
  </si>
  <si>
    <t>Сценарий 2</t>
  </si>
  <si>
    <t>"Паника"</t>
  </si>
  <si>
    <t>После заседания ЦБР и обострения в геополитике</t>
  </si>
  <si>
    <t>9,5-10,0</t>
  </si>
  <si>
    <t>8,75-9,25</t>
  </si>
  <si>
    <t>8,25-8,75</t>
  </si>
  <si>
    <t>После введения санкций на госдолг и банки</t>
  </si>
  <si>
    <t>94-102</t>
  </si>
  <si>
    <t>87-95</t>
  </si>
  <si>
    <t>80-88</t>
  </si>
  <si>
    <t>72-80</t>
  </si>
  <si>
    <t>1q23</t>
  </si>
  <si>
    <t>Brent $100 - средняя по 2022 году, Urals - $20 скидка</t>
  </si>
  <si>
    <t>60-65</t>
  </si>
  <si>
    <t>62-67</t>
  </si>
  <si>
    <t>CPI RUS (на конец квартала)</t>
  </si>
  <si>
    <t>13-15</t>
  </si>
  <si>
    <t>11-13</t>
  </si>
  <si>
    <t>CPI - сц. 2 (Мантуров)</t>
  </si>
  <si>
    <t>14-16</t>
  </si>
  <si>
    <t>7,5-8,5</t>
  </si>
  <si>
    <t>Key Rate Rus (Мантуров)</t>
  </si>
  <si>
    <t>8.5-9.5</t>
  </si>
  <si>
    <t>зеленым - факт</t>
  </si>
  <si>
    <t>по фьючерсам</t>
  </si>
  <si>
    <t>по Мантурову</t>
  </si>
  <si>
    <t>95-105</t>
  </si>
  <si>
    <t>90-100</t>
  </si>
  <si>
    <t>Дисконт Urals к Brent = $20</t>
  </si>
  <si>
    <t>Key Rate Rus (на конец квартала)</t>
  </si>
  <si>
    <t>6,5-7,5</t>
  </si>
  <si>
    <t>7,4-8,0</t>
  </si>
  <si>
    <t>58-62</t>
  </si>
  <si>
    <t>65-70</t>
  </si>
  <si>
    <t>Urals на 2023 = $60</t>
  </si>
  <si>
    <t>6,0-6,5 (5,5-7,0)</t>
  </si>
  <si>
    <t>12-13</t>
  </si>
  <si>
    <t>5,5-7,5</t>
  </si>
  <si>
    <t>Справочно - НЕ ОБНОВЛЯЛОСЬ!</t>
  </si>
  <si>
    <t>2q23</t>
  </si>
  <si>
    <t>3q23</t>
  </si>
  <si>
    <t>4q23</t>
  </si>
  <si>
    <t>Дисконт Urals к Brent = $25</t>
  </si>
  <si>
    <t>Urals на 2023 = $55</t>
  </si>
  <si>
    <t>прогноз модели по инфляции 6-8% (6% - слабый спрос, 8% - сильный спрос)</t>
  </si>
  <si>
    <t>Изменение курса</t>
  </si>
  <si>
    <t>Изменение инфляции</t>
  </si>
  <si>
    <t>3 фактора инфляции:</t>
  </si>
  <si>
    <t>Наташа - пик по ставке 8,5%</t>
  </si>
  <si>
    <t>Слабый рубль</t>
  </si>
  <si>
    <t>Миша - пик 8,5%</t>
  </si>
  <si>
    <t>Высокий дефицит бюджета</t>
  </si>
  <si>
    <t>Никита - пик 8,25%</t>
  </si>
  <si>
    <t>Дефицит кадров на рынке труда</t>
  </si>
  <si>
    <t>Маша - 8,0%</t>
  </si>
  <si>
    <t>Вопрос - в рознице, есть ли восстановление покупок авто в январе, как пишет Исаков?</t>
  </si>
  <si>
    <t>Urals на 2023 = $50</t>
  </si>
  <si>
    <t>Urals - 45</t>
  </si>
  <si>
    <t>прогноз модели по инфляции 7-8% (7% - слабый спрос, 8% - сильный спрос) - было 6-8%, стало 7-9%, подняли ставку, инфляция стала 7-8%</t>
  </si>
  <si>
    <t>(ключ в начале года 9, в конце года-7)</t>
  </si>
  <si>
    <t>Миша - 9%</t>
  </si>
  <si>
    <t>Никита - 9%</t>
  </si>
  <si>
    <t>Маша - 8,75%</t>
  </si>
  <si>
    <t>Наташа - 8,75%</t>
  </si>
  <si>
    <t>Коэффициент переноса = 0,2</t>
  </si>
  <si>
    <t>Курс +30%</t>
  </si>
  <si>
    <t>Зарплаты +10%</t>
  </si>
  <si>
    <t xml:space="preserve">прогноз модели по инфляции 5-7% </t>
  </si>
  <si>
    <t>Продовольствие дешевеет (-10% костов) - в результате минус 0</t>
  </si>
  <si>
    <t>Индексация ЖКХ уйдёт с декабря (-0,5%)</t>
  </si>
  <si>
    <t>Высокая база бензина прошлого года -&gt; около 0</t>
  </si>
  <si>
    <t>Снижение маржи розницы (с 3,2% до 1,3%)</t>
  </si>
  <si>
    <t>4 фактора инфляции:</t>
  </si>
  <si>
    <t>Факторы за понижение прогноза по инфляции</t>
  </si>
  <si>
    <t>Снижение издержек на логистику -5% (высокая база прошлого года), расшивка узких мест, снижение тарифов</t>
  </si>
  <si>
    <t>Минсельхоз ждет в этом году тоже рекордный урожай, ждут снижения цен на продовольствие</t>
  </si>
  <si>
    <t>Я за 5-6%</t>
  </si>
  <si>
    <t>Мираторг ждет снижения цен по кормам на 17% -&gt; снижение цен на мясо</t>
  </si>
  <si>
    <t>Наташа за 6%</t>
  </si>
  <si>
    <t>5,5-7,5%</t>
  </si>
  <si>
    <t>Новый прогноз по инфляции - 5-7% (вместо 7-8%)</t>
  </si>
  <si>
    <t>Маша за 7%</t>
  </si>
  <si>
    <t>Восстановление спроса после спада 2022 г.</t>
  </si>
  <si>
    <t>Никита за 7%</t>
  </si>
  <si>
    <t>Миша</t>
  </si>
  <si>
    <t>Маша</t>
  </si>
  <si>
    <t>Никита</t>
  </si>
  <si>
    <t>Наташа</t>
  </si>
  <si>
    <t>USDRUB = 92, с начала года +32%, с ноября +51% (на 07.07.2023)</t>
  </si>
  <si>
    <t>Гипотеза</t>
  </si>
  <si>
    <t>ЗА</t>
  </si>
  <si>
    <t>ПРОТИВ</t>
  </si>
  <si>
    <t>Цитата из ЦБР</t>
  </si>
  <si>
    <t>Ссылка на первоисточник (ЦБР)</t>
  </si>
  <si>
    <t>Сжатие СТО - в 2022 году был $233 млрд, в этом году прогнозируем $50 млрд. На фоне сжатия предложения валюты рубль стал чувсвительнее к спросу на валюту, валюты не хватает на возросший отток капитала.</t>
  </si>
  <si>
    <t>Профицит СТО в янв-мае 2023 сократился в 5,4 раза, до $22,8 млрд с $123,8 в 2022. Профицит ТБ сократился в 3,2 раза, до $44,7 млрд с $144,3 млрд в 2022.</t>
  </si>
  <si>
    <t>http://www.cbr.ru/statistics/macro_itm/svs/</t>
  </si>
  <si>
    <t>Экспорт падает (санкции на нефть и нефтепродукты, большие дисконты, издержки на логистику, нефть на минимумах года Brent $75, Urals $55)</t>
  </si>
  <si>
    <t>Профицит ТБ в январе-мае 2023 сократился в 3,2 раза, до $44,7 млрд с $144,3 млрд в 2022.
Предложение валюты экспортерами на рынке в июне снизилось до многомесячного минимума в $7 млрд.</t>
  </si>
  <si>
    <t>Вроде бы цены и объемы примерно стабильны. Уж точно не настолько упали, чтобы рубль сходил с 80 до 90..</t>
  </si>
  <si>
    <t>Смотри график от ВТБ справа.</t>
  </si>
  <si>
    <t>http://www.cbr.ru/statistics/macro_itm/svs/bop-eval/</t>
  </si>
  <si>
    <t>Физики покупают доллары и выводят, возможно, на фоне бунта Пригожина ("все нелояльные выводят бабки и уезжают, т.к. у прокуроров развязаны руки на посадку нелояльных")</t>
  </si>
  <si>
    <t>Инсайдер Тимура из силовых ведомств</t>
  </si>
  <si>
    <t>Колины знакомые uhnw, которые ничего не выводят (в июне-июле 2023)</t>
  </si>
  <si>
    <t>Население на фоне неопределенности 24 июня приобрело валюты на 7,1 млрд руб., в целом за месяц за счет продаж в остальные дни покупки валюты составили всего 0,3 млрд рублей.</t>
  </si>
  <si>
    <t>http://cbr.ru/Collection/Collection/File/45128/ORFR_2023-06.pdf</t>
  </si>
  <si>
    <t>Регулярный отток капитала физиков после СВО на депозиты в иностранные банки (Армения, Казахстан, ОАЭ и др.)</t>
  </si>
  <si>
    <t>http://www.cbr.ru/statistics/macro_itm/households/</t>
  </si>
  <si>
    <t>Отток капитала обусловлен в том числе крайне низкой разницей процентных ставок ФРС (5,25%) и ЦБР (7,5%).</t>
  </si>
  <si>
    <t>Иностранные компании продают свои активы в РФ и уходят из страны</t>
  </si>
  <si>
    <t>Лимит в 1 млрд$/мес прописан так, что его довольно легко можно обойти</t>
  </si>
  <si>
    <t>Правкомиссия, которая выдает разрешения компаниям, сейчас работает в пониженном темпе, пайплайн маленький</t>
  </si>
  <si>
    <t>Компании выводят капитал через займы дружественным нерезам</t>
  </si>
  <si>
    <t>Продлили вэйвер на выдачу</t>
  </si>
  <si>
    <t>Вэйвер был и раньше, ничего не изменилось с т.з. кэпитал контролс</t>
  </si>
  <si>
    <t>Экспортеры продают меньше валюты на бирже. Компании стали больше валюты откладывать на оффшоре, не возвращают в Россию</t>
  </si>
  <si>
    <t>Предложение валюты экспортерами на рынке в июне снизилось до многомесячного минимума в $7 млрд.
Сбер говорит, что такое возможно есть, но не касается нефтянки - за ними плотно смотрят. Ждем созвоны от Ростислава</t>
  </si>
  <si>
    <t>Ждем созвоны от Ростислава</t>
  </si>
  <si>
    <t>В целом отношение чистых продаж валюты к валютной выручке крупнейших экспортеров
(за исключением экспортной валютной выручки в рублях) с ноября 2022 г. по апрель 2023 г.
оставалось на высоком уровне – 80%.
Такое ослабление курса рубля в июне на 10% происходило преимущественно на фоне сокращения поступлений иностранной валюты по каналу российского
экспорта. Объем чистых продаж иностранной валюты крупнейшими экспортерами относительно мая (9,1 млрд долл. США) снизился на 22,9%, до 7,0 млрд долл. США1
. В целом отношение чистых продаж валюты к валютной выручке крупнейших экспортеров (за исключением экспортной валютной выручки в рублях) в мае 2023 г. оставалось на высоком уровне – 90%.</t>
  </si>
  <si>
    <t>Экспортеры больше получают рублей или локальных валют за свой экспорт</t>
  </si>
  <si>
    <t>Надо спрашивать у компаний подтверждения…</t>
  </si>
  <si>
    <t>По логике - Чтобы с нашими экспортерами расплатиться рублями - кто-то должен эти рубли сначала купить. Как? Продав валюту на нашей бирже, т.е. на предложение валюты это не влияет. На офф-шоре купить рубли можно, но их довольно малый оборот 1млрд$/ день. Если бы их с оффшора постоянно забирали на расплану с нами - они бы быстро кончились
 Предложение других soft currencies равносильно предложению долларов ввиду арбитража. Как в четверг - продали юаней, курс рубля к доллару укрепился.</t>
  </si>
  <si>
    <t>Доля юаня во  внешнеторговых операциях продолжила увеличиваться, достигнув в  мае 25% в  экспорте и  оставшись на  уровне 31% в  импорте (в  апреле 23 и  31% соответственно). В стоимостном выражении месячная экспортная выручка в китайских юанях выросла с 7,4 до 8,4 млрд долл. США, а импортные платежи – с 8,0 до 8,1 млрд долл. США (рис. 7, 8). 
Наряду с  повышением доли юаня продолжает возрастать также доля рубля во  внешней торговле. В  экспорте она достигла 39%, а  в  импорте превысила 30%. На  этом фоне доля «токсичных» валют (доллара США и евро) в экспорте и импорте сократилась в июне 2023 г. до 33 и 35% соответственно.</t>
  </si>
  <si>
    <t>Импорт растет сильнее, чем ожидалось</t>
  </si>
  <si>
    <t>Обычный импорт в контейнерах - не правда</t>
  </si>
  <si>
    <t>Импорт стимулируется за счет высокого дефицита бюджета (госрасходов) и мягкой ДКП (кредитование рекордное)</t>
  </si>
  <si>
    <t>Растет теневой импорт оружия - снарядов, техники из Китая и Ирана</t>
  </si>
  <si>
    <t>С фронтов появляются фото нового импортируемого нами вооружения</t>
  </si>
  <si>
    <t>Вроде бы, количества очень маленькие.. Делали прикидку, если полностью восполнять наши траты снарядов и других расходников - в сумме это около 15-20 $bln /год. Ну мы явно не покрываем все импортом.</t>
  </si>
  <si>
    <t>Упала ликвидность валютного рынка РФ (нерезидентов нет, крупные банки под санкциями), поэтому возросла чувствительность рубля к всплескам спроса на валюту.</t>
  </si>
  <si>
    <t>Компании и государство погашают свои внешние валютные долги, т.к. не могут рефинансировать их.</t>
  </si>
  <si>
    <t>http://www.cbr.ru/statistics/macro_itm/svs/p_balance/</t>
  </si>
  <si>
    <t>Основные покупатели российского экспорта теперь Китай, Индия, Турция, Белоруссия и Африка. Помимо скидок Турция, Белоруссия и Африка могут получать отсрочку платежей.</t>
  </si>
  <si>
    <t xml:space="preserve">Версия ЦБ об ослаблении рубля в июне: "На фоне ослабления рубля некоторые корпоративные клиенты кредитных организаций начали конвертировать свои валютные кредиты в рублевые. Кредитные организации одновременно начали покупки иностранной валюты, чтобы сбалансировать открытые валютные позиции. Таким образом, спрос на иностранную валюту усиливался, что оказывало дополнительное давление на рубль."
Спрос на  иностранную валюту стабильно увеличивался в  июне за  счет повышения концентрации крупных участников. Доля крупнейшего покупателя2 с начала месяца выросла с 10 до 40%. Доля крупнейших участников (топ-2, топ-3 и топ-5) также возрастала в два раза и более, что дополнительно влияло на динамику курса рубля </t>
  </si>
  <si>
    <t>Ослабление рубля вызвано покупками активов у нерезидентов. Покупка евробондов, акций и офз в евроклире и клирстриме. Просто периодически брокера показывают какие-то офера. По офз есть. Предполагаю где-то миллиардов 350 уже прошло и ещё миллиардов осталось 600 и всё.
В хорошие времена валютный рынок и рынок офз 10 млрд долларов  могли подвинуть. А сегодня, когда рынок низколиквидный, небольшая дополнительная покупка валюты может сильно повлиять на курс.
В рублях, с учетом дисконта. Мои оценки исходя из обьемов офз у нерезидентов, и дисконта с каким они продают, здесь телепортируемые и там евроклир и клирстрим. https://www.cbr.ru/vfs/statistics/credit_statistics/debt/table_ofz.xlsx Аналитики Сбера например оценивают покупку переведённых офз банками(указ 138)  в марте-мае до 270 млрд рублей(13-23 процента от телепортируемых за 2022 год офз).
Замещение евробондов - как вариант оттока капитала - евробонды на офшорном периметре меняются на замещающие облигации. Замещающие продаются за рубли, на рубли покупают валюту, валюту выводят.
Версия Димы Никонова: при замещении евробондов - наши банки продают евробонд, валютная позиция (актив) снижается, чтобы её сбалансировать, банки покупают фьючерс на доллар (спрос на валюту).</t>
  </si>
  <si>
    <t>Igor Rapokhin (Сбер): У нерезов на 1 июня ОФЗ на 1,7 трила, все выплаты на счета типа С. Ходили слухи о том, что хотят унифицировать выплаты с евробондами (то есть, дать формальное право конвертить в валюту и выводить), но ЦБ против.
Как я понимаю, ещё есть схематозы для нерезов по выходу из ОФЗ. Но это сложно, объемы таких операций снизились в разы по сравнению с прошлым годом. Очень сомневаюсь, что на курс есть влияние.</t>
  </si>
  <si>
    <t>1q24</t>
  </si>
  <si>
    <t>2q24</t>
  </si>
  <si>
    <t>3q24</t>
  </si>
  <si>
    <t>4q24</t>
  </si>
  <si>
    <t>Факт</t>
  </si>
  <si>
    <t>Прогноз</t>
  </si>
  <si>
    <t>Среднее значение</t>
  </si>
  <si>
    <t>USD/RUB
(в среднем за квартал)</t>
  </si>
  <si>
    <t>Brent, $
(в среднем за квартал)</t>
  </si>
  <si>
    <t>Реальная экспортная цена РФ FOB (~Urals), $</t>
  </si>
  <si>
    <t>Дисконт Brent-Urals</t>
  </si>
  <si>
    <t>Инфляция 
(на конец квартала)</t>
  </si>
  <si>
    <t>Модель 7-8% по инфляции на конец года, пик может быть 8-9% в 1П24, 5-6% на конец 24-го</t>
  </si>
  <si>
    <t>Ключевая ставка 
(на конец квартала)</t>
  </si>
  <si>
    <r>
      <rPr>
        <rFont val="Arial"/>
        <b/>
        <color theme="1"/>
      </rPr>
      <t>Рубль</t>
    </r>
    <r>
      <rPr>
        <rFont val="Arial"/>
        <color theme="1"/>
      </rPr>
      <t xml:space="preserve">        Миша</t>
    </r>
  </si>
  <si>
    <t>Коэффициент переноса</t>
  </si>
  <si>
    <t>Ослабление рубля на 10% - это плюс к инфляции</t>
  </si>
  <si>
    <t>Наша модель</t>
  </si>
  <si>
    <t>Пик по инфляции 8,5 - это 10,5</t>
  </si>
  <si>
    <t>ЦБ РФ</t>
  </si>
  <si>
    <t>https://www.rbc.ru/economics/08/08/2023/64d0baac9a79477a5253276f</t>
  </si>
  <si>
    <t>Ренессанс</t>
  </si>
  <si>
    <t>НИУ ВШЭ</t>
  </si>
  <si>
    <r>
      <rPr>
        <rFont val="Arial"/>
        <b/>
        <color theme="1"/>
      </rPr>
      <t>Ставка</t>
    </r>
    <r>
      <rPr>
        <rFont val="Arial"/>
        <color theme="1"/>
      </rPr>
      <t xml:space="preserve">       Миша</t>
    </r>
  </si>
  <si>
    <t>Эксперт РА</t>
  </si>
  <si>
    <t>Рисковый сценарий</t>
  </si>
  <si>
    <t>Конец 2023</t>
  </si>
  <si>
    <t>1кв24</t>
  </si>
  <si>
    <t>USDRUB 4кв</t>
  </si>
  <si>
    <t>8,5-9</t>
  </si>
  <si>
    <t>10-10,5 и риски вверх</t>
  </si>
  <si>
    <r>
      <rPr>
        <rFont val="Arial"/>
        <b/>
        <color theme="1"/>
      </rPr>
      <t>Рубль</t>
    </r>
    <r>
      <rPr>
        <rFont val="Arial"/>
        <color theme="1"/>
      </rPr>
      <t xml:space="preserve">        Миша</t>
    </r>
  </si>
  <si>
    <r>
      <rPr>
        <rFont val="Arial"/>
        <b/>
        <color theme="1"/>
      </rPr>
      <t>Ставка</t>
    </r>
    <r>
      <rPr>
        <rFont val="Arial"/>
        <color theme="1"/>
      </rPr>
      <t xml:space="preserve">       Миша</t>
    </r>
  </si>
  <si>
    <t>На конец 2024</t>
  </si>
  <si>
    <r>
      <rPr>
        <rFont val="Arial"/>
        <b/>
        <color theme="1"/>
      </rPr>
      <t>Инфляция</t>
    </r>
    <r>
      <rPr>
        <rFont val="Arial"/>
        <color theme="1"/>
      </rPr>
      <t xml:space="preserve">        Миша</t>
    </r>
  </si>
  <si>
    <t>14-15</t>
  </si>
  <si>
    <t>В модели ВВП повышение ставки на 1 п.п. снижает потребление на 0,5 п.п.</t>
  </si>
  <si>
    <t>Ингосстрах Инв</t>
  </si>
  <si>
    <t>Инфляция годовая
(на конец квартала)</t>
  </si>
  <si>
    <t>Модель дает инфляцию 5%</t>
  </si>
  <si>
    <t>ЦБ 11,5-12,5</t>
  </si>
  <si>
    <r>
      <rPr>
        <rFont val="Arial"/>
        <b/>
        <color theme="1"/>
      </rPr>
      <t>Рубль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</si>
  <si>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</si>
  <si>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Миша</t>
    </r>
  </si>
  <si>
    <t>Отодвинут ли цель по инфляции на 2025 год</t>
  </si>
  <si>
    <t xml:space="preserve">        Миша</t>
  </si>
  <si>
    <t>Да</t>
  </si>
  <si>
    <t>(если ставка весь год выше 10%)</t>
  </si>
  <si>
    <t>Да, 4,5%</t>
  </si>
  <si>
    <r>
      <rPr>
        <rFont val="Arial"/>
        <b/>
        <color theme="1"/>
      </rPr>
      <t>Ставка</t>
    </r>
    <r>
      <rPr>
        <rFont val="Arial"/>
        <color theme="1"/>
      </rPr>
      <t xml:space="preserve">       Миша</t>
    </r>
  </si>
  <si>
    <r>
      <rPr>
        <rFont val="Arial"/>
        <b/>
        <color theme="1"/>
      </rPr>
      <t>Инфляция</t>
    </r>
    <r>
      <rPr>
        <rFont val="Arial"/>
        <color theme="1"/>
      </rPr>
      <t xml:space="preserve">        Миша</t>
    </r>
  </si>
  <si>
    <t>В модели 7,7%, риски выросли</t>
  </si>
  <si>
    <r>
      <rPr>
        <rFont val="Arial"/>
        <b/>
        <color theme="1"/>
      </rPr>
      <t>Рубль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</si>
  <si>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</si>
  <si>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</si>
  <si>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t>Модель даёт +0,8 п.п. из-за повышения зарплат до 10% с 8%</t>
  </si>
  <si>
    <r>
      <rPr>
        <rFont val="Arial"/>
        <b/>
        <color theme="1"/>
      </rPr>
      <t>Инфляция</t>
    </r>
    <r>
      <rPr>
        <rFont val="Arial"/>
        <color theme="1"/>
      </rPr>
      <t xml:space="preserve"> на к2023       Миша</t>
    </r>
  </si>
  <si>
    <r>
      <rPr>
        <rFont val="Arial"/>
        <b/>
        <color theme="1"/>
      </rPr>
      <t>Ставка на к2024</t>
    </r>
    <r>
      <rPr>
        <rFont val="Arial"/>
        <color theme="1"/>
      </rPr>
      <t xml:space="preserve">       Миша</t>
    </r>
  </si>
  <si>
    <t>Модель даёт 7,7%, рубль укрепился, экспортные цены Китая и ЕС выше, но рост топлива, с/х, зарплаты выше</t>
  </si>
  <si>
    <r>
      <rPr>
        <rFont val="Arial"/>
        <b/>
        <color theme="1"/>
      </rPr>
      <t>Ставка</t>
    </r>
    <r>
      <rPr>
        <rFont val="Arial"/>
        <color theme="1"/>
      </rPr>
      <t xml:space="preserve"> на к2023      Миша</t>
    </r>
  </si>
  <si>
    <t>Средняя</t>
  </si>
  <si>
    <t>Экспортная нефть</t>
  </si>
  <si>
    <t>Дисконт B-U</t>
  </si>
  <si>
    <t>выше 10% на пике</t>
  </si>
  <si>
    <t>17-20</t>
  </si>
  <si>
    <t>Никита про платежный баланс</t>
  </si>
  <si>
    <t>Раньше баланс валюты сходился в ноль</t>
  </si>
  <si>
    <t>Сейчас стало</t>
  </si>
  <si>
    <t>СТО? Чистый экспорт ~7 млрд в месяц</t>
  </si>
  <si>
    <t>Обязательная продажа валютной выручки с 16 октября</t>
  </si>
  <si>
    <t>5 млрд уходила на дебиторку экспортеров</t>
  </si>
  <si>
    <t>Компании должны продавать 72% от валютной выручки</t>
  </si>
  <si>
    <t>1 млрд физики выводили</t>
  </si>
  <si>
    <t>Нижняя граница - не менее 50% от общей выручки</t>
  </si>
  <si>
    <t>1 млрд погашение кредитов экспортерами</t>
  </si>
  <si>
    <t>Если сейчас 60% валютной выручки от общей, то должны продавать 42% от общей валютной выручки</t>
  </si>
  <si>
    <t>1 млрд - уход нерезов (выкуп бизнеса)</t>
  </si>
  <si>
    <t>Но поскольку стоит нижняя граница в 50% от общей экспортной выручки</t>
  </si>
  <si>
    <t>Итого = баланс около нуля в месяц</t>
  </si>
  <si>
    <t>Поэтому должны продавать не 72%, а 50/60 = 83%</t>
  </si>
  <si>
    <t>Дебиторка нефтянки - 10% от нефтеэкспорта</t>
  </si>
  <si>
    <t>СТО в 4кв прогноз - 28 млрд</t>
  </si>
  <si>
    <t>9,5 млрд в месяц</t>
  </si>
  <si>
    <t>5 млрд в квартал</t>
  </si>
  <si>
    <t>Сейчас нефтяники будут оставлять на дебиторке 1,5 млрд</t>
  </si>
  <si>
    <t>Экспорт нефтяной в 3кв 48 млрд</t>
  </si>
  <si>
    <t>Экспорт нефтяной в 4кв 55 млрд</t>
  </si>
  <si>
    <t>приходит в валюте</t>
  </si>
  <si>
    <t>должны продать</t>
  </si>
  <si>
    <t>могут оставить на офшоре</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</si>
  <si>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</si>
  <si>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</si>
  <si>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t>5 млрд на погашение кредитов</t>
  </si>
  <si>
    <t>6 млрд на погашение кредитов</t>
  </si>
  <si>
    <t>2 млрд физики выведут</t>
  </si>
  <si>
    <t>3 млрд физики выведут</t>
  </si>
  <si>
    <t>0 млрд выход нерезов</t>
  </si>
  <si>
    <t>3 млрд выход нерезов</t>
  </si>
  <si>
    <t>Баланс валюты</t>
  </si>
  <si>
    <t>Итого +2 млрд</t>
  </si>
  <si>
    <t>Итого +10 млрд</t>
  </si>
  <si>
    <r>
      <rPr>
        <rFont val="Arial"/>
        <b/>
        <color theme="1"/>
      </rPr>
      <t>СТО в 2кв24</t>
    </r>
    <r>
      <rPr>
        <rFont val="Arial"/>
        <color theme="1"/>
      </rPr>
      <t xml:space="preserve"> = 15 - 5 на офшоре = 10 млрд</t>
    </r>
  </si>
  <si>
    <t>3 млрд на погашение кредитов</t>
  </si>
  <si>
    <t>Итого +1 млрд</t>
  </si>
  <si>
    <t>1к23</t>
  </si>
  <si>
    <t>2к23</t>
  </si>
  <si>
    <t>3к23</t>
  </si>
  <si>
    <t>4к23</t>
  </si>
  <si>
    <t>1к24</t>
  </si>
  <si>
    <t>2к24</t>
  </si>
  <si>
    <t>3к24</t>
  </si>
  <si>
    <t>4к24</t>
  </si>
  <si>
    <r>
      <rPr>
        <rFont val="Arial"/>
        <b/>
        <color theme="1"/>
      </rPr>
      <t>Рубль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</si>
  <si>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</si>
  <si>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</si>
  <si>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к2023       Миша</t>
    </r>
  </si>
  <si>
    <r>
      <rPr>
        <rFont val="Arial"/>
        <b/>
        <color theme="1"/>
      </rPr>
      <t>Ставка на к2024</t>
    </r>
    <r>
      <rPr>
        <rFont val="Arial"/>
        <color theme="1"/>
      </rPr>
      <t xml:space="preserve">       Миша</t>
    </r>
  </si>
  <si>
    <r>
      <rPr>
        <rFont val="Arial"/>
        <b/>
        <color theme="1"/>
      </rPr>
      <t>Ставка</t>
    </r>
    <r>
      <rPr>
        <rFont val="Arial"/>
        <color theme="1"/>
      </rPr>
      <t xml:space="preserve"> на к2023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</si>
  <si>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</si>
  <si>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</si>
  <si>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</si>
  <si>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Реальная экспортная цена нефти РФ FOB, $</t>
  </si>
  <si>
    <t>Средний дисконт Urals и ESPO к Brent, $</t>
  </si>
  <si>
    <t>Рост зарплат +10%</t>
  </si>
  <si>
    <t>ЦБ 12,5-14,5</t>
  </si>
  <si>
    <r>
      <rPr>
        <rFont val="Arial"/>
        <b/>
        <color theme="1"/>
      </rPr>
      <t>Рубль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</si>
  <si>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</si>
  <si>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</si>
  <si>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к2023       Миша</t>
    </r>
  </si>
  <si>
    <r>
      <rPr>
        <rFont val="Arial"/>
        <b/>
        <color theme="1"/>
      </rPr>
      <t>Ставка на к2024</t>
    </r>
    <r>
      <rPr>
        <rFont val="Arial"/>
        <color theme="1"/>
      </rPr>
      <t xml:space="preserve">       Миша</t>
    </r>
  </si>
  <si>
    <r>
      <rPr>
        <rFont val="Arial"/>
        <b/>
        <color theme="1"/>
      </rPr>
      <t>Ставка</t>
    </r>
    <r>
      <rPr>
        <rFont val="Arial"/>
        <color theme="1"/>
      </rPr>
      <t xml:space="preserve"> на к2023      Миша</t>
    </r>
  </si>
  <si>
    <t>январь</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</si>
  <si>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</si>
  <si>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</si>
  <si>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</si>
  <si>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r>
      <rPr>
        <rFont val="Arial"/>
        <b/>
        <color theme="1"/>
      </rPr>
      <t>Инфляция</t>
    </r>
    <r>
      <rPr>
        <rFont val="Arial"/>
        <color theme="1"/>
      </rPr>
      <t xml:space="preserve"> на к2024       Миша</t>
    </r>
  </si>
  <si>
    <r>
      <rPr>
        <rFont val="Arial"/>
        <b/>
        <color theme="1"/>
      </rPr>
      <t>Рубль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</si>
  <si>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</si>
  <si>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к2023       Миша</t>
    </r>
  </si>
  <si>
    <r>
      <rPr>
        <rFont val="Arial"/>
        <b/>
        <color theme="1"/>
      </rPr>
      <t>Ставка на к2024</t>
    </r>
    <r>
      <rPr>
        <rFont val="Arial"/>
        <color theme="1"/>
      </rPr>
      <t xml:space="preserve">       Миша</t>
    </r>
  </si>
  <si>
    <r>
      <rPr>
        <rFont val="Arial"/>
        <b/>
        <color theme="1"/>
      </rPr>
      <t>Ставка</t>
    </r>
    <r>
      <rPr>
        <rFont val="Arial"/>
        <color theme="1"/>
      </rPr>
      <t xml:space="preserve"> на к2023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</si>
  <si>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</si>
  <si>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</si>
  <si>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</si>
  <si>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Прогноз СТО стал 45 млрд по году, было 53 млрд (-8 млрд - это сделка ОПЕК+ и атаки на НПЗ, сокращение экспорта нефти и нефтепродуктов)</t>
  </si>
  <si>
    <t>Рубль вверх на 1</t>
  </si>
  <si>
    <t>Бензин +0,5 п.п.</t>
  </si>
  <si>
    <t>Инфляция должна быть 6,4%</t>
  </si>
  <si>
    <t>Повысили ставку 13% на конец и 15,3% вместо 15,1 средняя ,поэтому инфляция будет все таки 6%</t>
  </si>
  <si>
    <t>Рост зарплат +10% (коэффициент 0,6 в инфляцию)</t>
  </si>
  <si>
    <t>ЦБ 13,5-15,5</t>
  </si>
  <si>
    <r>
      <rPr>
        <rFont val="Arial"/>
        <b/>
        <color theme="1"/>
      </rPr>
      <t>Рубль</t>
    </r>
    <r>
      <rPr>
        <rFont val="Arial"/>
        <color theme="1"/>
      </rPr>
      <t xml:space="preserve">        Миша</t>
    </r>
  </si>
  <si>
    <t>IRD 26Апр24</t>
  </si>
  <si>
    <t>IRD 7Июн24</t>
  </si>
  <si>
    <t>IRD 26Июл24</t>
  </si>
  <si>
    <t>IRD 13Сен24</t>
  </si>
  <si>
    <t>IRD 25Окт24</t>
  </si>
  <si>
    <t>IRD 20Дек24</t>
  </si>
  <si>
    <t>В целом за год</t>
  </si>
  <si>
    <r>
      <rPr>
        <rFont val="Arial"/>
        <b/>
        <color theme="1"/>
      </rPr>
      <t>Инфляция</t>
    </r>
    <r>
      <rPr>
        <rFont val="Arial"/>
        <color theme="1"/>
      </rPr>
      <t xml:space="preserve"> на к2024       Миша</t>
    </r>
  </si>
  <si>
    <r>
      <rPr>
        <rFont val="Arial"/>
        <b/>
        <color theme="1"/>
      </rPr>
      <t>Ставка на к2024</t>
    </r>
    <r>
      <rPr>
        <rFont val="Arial"/>
        <color theme="1"/>
      </rPr>
      <t xml:space="preserve">       Миша</t>
    </r>
  </si>
  <si>
    <t>С учетом ужесточения ДКП</t>
  </si>
  <si>
    <t>=6,8% = Курс 0,3 п.п., бензин +0,5 п.п.</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</si>
  <si>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</si>
  <si>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</si>
  <si>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</si>
  <si>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Рост зарплат +10%.</t>
  </si>
  <si>
    <t>1) Рост зарплат.</t>
  </si>
  <si>
    <t>Риски: зарплаты могут вырасти на 12-14% (как и в 2023 году +14%).</t>
  </si>
  <si>
    <t>Модель на конец года показывает 6,2%, но в моменте она показывает +20%.</t>
  </si>
  <si>
    <t>Рост зарплат +10% (коэффициент 0,2 в инфляцию)</t>
  </si>
  <si>
    <r>
      <rPr>
        <rFont val="Arial"/>
        <b/>
        <color theme="1"/>
      </rPr>
      <t>Рубль</t>
    </r>
    <r>
      <rPr>
        <rFont val="Arial"/>
        <color theme="1"/>
      </rPr>
      <t xml:space="preserve">        Миша</t>
    </r>
  </si>
  <si>
    <t>14,5-16,5</t>
  </si>
  <si>
    <t>Рисковый</t>
  </si>
  <si>
    <r>
      <rPr>
        <rFont val="Arial"/>
        <b/>
        <color theme="1"/>
      </rPr>
      <t>Инфляция</t>
    </r>
    <r>
      <rPr>
        <rFont val="Arial"/>
        <color theme="1"/>
      </rPr>
      <t xml:space="preserve"> на к2024       Миша</t>
    </r>
  </si>
  <si>
    <r>
      <rPr>
        <rFont val="Arial"/>
        <b/>
        <color theme="1"/>
      </rPr>
      <t>Ставка на к2024</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</si>
  <si>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</si>
  <si>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</si>
  <si>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</si>
  <si>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Проблемы с платежами из-за санкций в марте возникли и ситуация не улучшается.</t>
  </si>
  <si>
    <t>Импорт с марта снизился сильнее, чем ожидали.</t>
  </si>
  <si>
    <t>Импорт -8 млрд в квартал (было 90 стало 83).</t>
  </si>
  <si>
    <t>Базовый сценарий - проблемы с марта по июль и затем полное восстановление в ноябре.</t>
  </si>
  <si>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</si>
  <si>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</si>
  <si>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Ставка на к2024</t>
    </r>
    <r>
      <rPr>
        <rFont val="Arial"/>
        <color theme="1"/>
      </rPr>
      <t xml:space="preserve">       Миша</t>
    </r>
  </si>
  <si>
    <t>на 15 мая</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</si>
  <si>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</si>
  <si>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</si>
  <si>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</si>
  <si>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Обновили прогноз роста М2.</t>
  </si>
  <si>
    <t>Обновили модель инфляции.</t>
  </si>
  <si>
    <t>Бюджет немного 1,5-2 трлн руб., кредиты основную роль.</t>
  </si>
  <si>
    <t>Прогноз по модели 7,4% (при росте зарплат 10%).</t>
  </si>
  <si>
    <t>Прошлись по категориям кредитов.</t>
  </si>
  <si>
    <t>Округлим до 7%.</t>
  </si>
  <si>
    <t>Вывод - М2 в этом году вырастет на 16,4%.</t>
  </si>
  <si>
    <t>ЦБ повысит ставку.</t>
  </si>
  <si>
    <t>Корп кредитование реагирует на ставку с лагом 9 мес - 1 год.</t>
  </si>
  <si>
    <t>Чувствительность +1% ставки -1,5-2% рост М2.</t>
  </si>
  <si>
    <t>Это всё выше, чем ожидалось ранее.</t>
  </si>
  <si>
    <t>Если ставку до 17%, то рост М2 15%.</t>
  </si>
  <si>
    <t>При жёстком рынке труда, как сейчас, зарплаты обычно стараются догонять М2.</t>
  </si>
  <si>
    <t>Обычно М2 растет на 20%, з/п растут на 10%.</t>
  </si>
  <si>
    <r>
      <rPr>
        <rFont val="Arial"/>
        <b/>
        <color theme="1"/>
      </rPr>
      <t>Рубль</t>
    </r>
    <r>
      <rPr>
        <rFont val="Arial"/>
        <color theme="1"/>
      </rPr>
      <t xml:space="preserve">        Миша</t>
    </r>
  </si>
  <si>
    <t>Рост зарплат сохранится на уровне 15%. Точная оцифровка будет позднее, но выше 10%, которые раньше прогнозировали.</t>
  </si>
  <si>
    <r>
      <rPr>
        <rFont val="Arial"/>
        <b/>
        <color theme="1"/>
      </rPr>
      <t>Инфляция</t>
    </r>
    <r>
      <rPr>
        <rFont val="Arial"/>
        <color theme="1"/>
      </rPr>
      <t xml:space="preserve"> на к2024       Миша</t>
    </r>
  </si>
  <si>
    <r>
      <rPr>
        <rFont val="Arial"/>
        <b/>
        <color theme="1"/>
      </rPr>
      <t>Ставка на к2024</t>
    </r>
    <r>
      <rPr>
        <rFont val="Arial"/>
        <color theme="1"/>
      </rPr>
      <t xml:space="preserve">       Миша</t>
    </r>
  </si>
  <si>
    <t>В коммуникации 17% ставка не предел.</t>
  </si>
  <si>
    <t>Может не хватить. В рисковом сценарии.</t>
  </si>
  <si>
    <t>А.Крылов - 18% на пике.</t>
  </si>
  <si>
    <t>М.Николаев - скорее 18-19-20%.</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</si>
  <si>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</si>
  <si>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</si>
  <si>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</si>
  <si>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</si>
  <si>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</si>
  <si>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Ставка на к2024</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</si>
  <si>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</si>
  <si>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</si>
  <si>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</si>
  <si>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Пересмотрим курс рубля.</t>
  </si>
  <si>
    <t>Широкий спектр мнений среди импортеров - кто-то говорит, что платежи не ходят совсем, а кто-то работает.</t>
  </si>
  <si>
    <t>М.Мишакова (прямые расчеты) и В.Устименко (обходные схемы) рассказывали так: крупные продолжают обслуживаться - бартер, мелкие региональные банки - но у них низкая пропускная способность.</t>
  </si>
  <si>
    <t>Наша гипотеза: сейчас только крупнейшие импортеры могут работать.</t>
  </si>
  <si>
    <t>71.1</t>
  </si>
  <si>
    <t>Мы посмотрели на структуру импорта и структуру импортеров.</t>
  </si>
  <si>
    <t>Рольф и дочки китайских автопроизводителей все ок.</t>
  </si>
  <si>
    <t>Всего импорт 400 в год.</t>
  </si>
  <si>
    <r>
      <rPr>
        <rFont val="Arial"/>
        <b/>
        <color theme="1"/>
      </rPr>
      <t>Рубль</t>
    </r>
    <r>
      <rPr>
        <rFont val="Arial"/>
        <color theme="1"/>
      </rPr>
      <t xml:space="preserve">        Миша</t>
    </r>
  </si>
  <si>
    <t>Гипотеза Никиты - процентов 10% импорта можно смело отбросить из-за санкций на НКЦ 12 июня.</t>
  </si>
  <si>
    <t>Во втором квартале уже -10 млрд руб. в квартал или -10% из-за ещё мартовских санкций.</t>
  </si>
  <si>
    <t>Модель по рублю -</t>
  </si>
  <si>
    <t>Если санкции не влияют, то как было курс 95 в 3-м и 4-м квартале.</t>
  </si>
  <si>
    <t>Если импорт -10%, то курс 90, в 4-м - 86.</t>
  </si>
  <si>
    <t>Юра Попов Сбер говорит, что может и до 70 дойти.</t>
  </si>
  <si>
    <r>
      <rPr>
        <rFont val="Arial"/>
        <b/>
        <color theme="1"/>
      </rPr>
      <t>Инфляция</t>
    </r>
    <r>
      <rPr>
        <rFont val="Arial"/>
        <color theme="1"/>
      </rPr>
      <t xml:space="preserve"> на к2024       Миша</t>
    </r>
  </si>
  <si>
    <r>
      <rPr>
        <rFont val="Arial"/>
        <b/>
        <color theme="1"/>
      </rPr>
      <t>Ставка на к2024</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</si>
  <si>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</si>
  <si>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</si>
  <si>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</si>
  <si>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1к25</t>
  </si>
  <si>
    <t>2к25</t>
  </si>
  <si>
    <t>3к25</t>
  </si>
  <si>
    <t>4к25</t>
  </si>
  <si>
    <t>ВВП за год</t>
  </si>
  <si>
    <t>Восстановление импорта до уровней 2023 и меньшая продажа валюты экспортерами из-за послаблений в обязательной продаже</t>
  </si>
  <si>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</si>
  <si>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</si>
  <si>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</si>
  <si>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t>Рост зарплат на 2024 - 17,5%, на 2025 - 14%</t>
  </si>
  <si>
    <r>
      <rPr>
        <rFont val="Arial"/>
        <b/>
        <color theme="1"/>
      </rPr>
      <t>Инфляция</t>
    </r>
    <r>
      <rPr>
        <rFont val="Arial"/>
        <color theme="1"/>
      </rPr>
      <t xml:space="preserve"> на к2025       Миша</t>
    </r>
  </si>
  <si>
    <r>
      <rPr>
        <rFont val="Arial"/>
        <b/>
        <color theme="1"/>
      </rPr>
      <t xml:space="preserve">Ставка </t>
    </r>
    <r>
      <rPr>
        <rFont val="Arial"/>
        <color theme="1"/>
      </rPr>
      <t>на к2025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</si>
  <si>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</si>
  <si>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</si>
  <si>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</si>
  <si>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</si>
  <si>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</si>
  <si>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</si>
  <si>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r>
      <rPr>
        <rFont val="Arial"/>
        <b/>
        <color theme="1"/>
      </rPr>
      <t>Инфляция</t>
    </r>
    <r>
      <rPr>
        <rFont val="Arial"/>
        <color theme="1"/>
      </rPr>
      <t xml:space="preserve"> на к2025       Миша</t>
    </r>
  </si>
  <si>
    <r>
      <rPr>
        <rFont val="Arial"/>
        <b/>
        <color theme="1"/>
      </rPr>
      <t xml:space="preserve">Ставка </t>
    </r>
    <r>
      <rPr>
        <rFont val="Arial"/>
        <color theme="1"/>
      </rPr>
      <t>на к2025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</si>
  <si>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</si>
  <si>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</si>
  <si>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</si>
  <si>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4кв24</t>
  </si>
  <si>
    <t>Модель</t>
  </si>
  <si>
    <r>
      <rPr>
        <rFont val="Arial"/>
        <b/>
        <color theme="1"/>
      </rPr>
      <t>Нефть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</si>
  <si>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</si>
  <si>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</si>
  <si>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</si>
  <si>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t>Рост зарплат на 2024 - 17,5%, на 2025 - 12% (понизили с 14%)</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</si>
  <si>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</si>
  <si>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</si>
  <si>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</si>
  <si>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Никита - повысили рост зарплат до 18% с 17,5% (М2 на 18%, вырос прогноз по консолидированному бюджету на этот год)</t>
  </si>
  <si>
    <t>Пересмотрели курс рубля на 2025 год (убрали задавливание импорта, импорт больше), курс стал 107</t>
  </si>
  <si>
    <t>Инфляция выросла до 5,5% с 4,5% (курс, тарифы)</t>
  </si>
  <si>
    <t>Никита 15.10.24 (созвон с РАЛ)</t>
  </si>
  <si>
    <t>Прогноз зарплат +12% на 2025 год</t>
  </si>
  <si>
    <t>Наша гипотеза - зарплаты растут в соответствии с М2.</t>
  </si>
  <si>
    <t>Прогноз по безработице на 2025 - 2,4% на весь год</t>
  </si>
  <si>
    <t>Прогноз зарплат на этот год - 18,5%.</t>
  </si>
  <si>
    <t>Рынок труда останется  напряженным.</t>
  </si>
  <si>
    <t>Модель по  инфляции дала 5,8% при старой траектории ставки 20-18-16-14</t>
  </si>
  <si>
    <t>Число занятых 74 млн человек - останется на историческом максимуме</t>
  </si>
  <si>
    <t>Модель по  инфляции дала 4,9% при траектории ставки 22-20-18-16</t>
  </si>
  <si>
    <t>Рост зарплат в 2025 будет соотвествовать росту М2.</t>
  </si>
  <si>
    <t>Рост М2 будет зависеть от ставки.</t>
  </si>
  <si>
    <r>
      <rPr>
        <rFont val="Arial"/>
        <b/>
        <color theme="1"/>
      </rPr>
      <t>Нефть</t>
    </r>
    <r>
      <rPr>
        <rFont val="Arial"/>
        <color theme="1"/>
      </rPr>
      <t xml:space="preserve">        Миша</t>
    </r>
  </si>
  <si>
    <r>
      <rPr>
        <rFont val="Arial"/>
        <b/>
        <color theme="1"/>
      </rPr>
      <t>Рубль</t>
    </r>
    <r>
      <rPr>
        <rFont val="Arial"/>
        <color theme="1"/>
      </rPr>
      <t xml:space="preserve">        Миша</t>
    </r>
  </si>
  <si>
    <t>Прогноз зарплат теперь +7%</t>
  </si>
  <si>
    <t>В среднем пока средняя 20%.</t>
  </si>
  <si>
    <t>Прогноз ВВП на 0,5%</t>
  </si>
  <si>
    <t>При такой ставке рост М2 будет 7%</t>
  </si>
  <si>
    <t>Тогда рост зарплат 7%</t>
  </si>
  <si>
    <t>Тогда инфляция будет недалеко от таргета.</t>
  </si>
  <si>
    <t>Денежная масса прирастет на 10 трлн руб.</t>
  </si>
  <si>
    <t>11 трлн руб. выдача кредитов - чистый прирост.</t>
  </si>
  <si>
    <r>
      <rPr>
        <rFont val="Arial"/>
        <b/>
        <color theme="1"/>
      </rPr>
      <t>Инфляция</t>
    </r>
    <r>
      <rPr>
        <rFont val="Arial"/>
        <color theme="1"/>
      </rPr>
      <t xml:space="preserve"> на к2024       Миша</t>
    </r>
  </si>
  <si>
    <t>5,8 (4,9)</t>
  </si>
  <si>
    <t>Ипотека - чистый прирост около 0.</t>
  </si>
  <si>
    <r>
      <rPr>
        <rFont val="Arial"/>
        <b/>
        <color theme="1"/>
      </rPr>
      <t>Инфляция</t>
    </r>
    <r>
      <rPr>
        <rFont val="Arial"/>
        <color theme="1"/>
      </rPr>
      <t xml:space="preserve"> на к2025       Миша</t>
    </r>
  </si>
  <si>
    <t>Розничное кредитование -1-2 трлн руб.</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</si>
  <si>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</si>
  <si>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</si>
  <si>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</si>
  <si>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Рост зарплат +7% на 2025 (при средней ставке 20,5%)</t>
  </si>
  <si>
    <t>Прогноз по ВВП на 2024 год в марте был 1% - факт ~4%.</t>
  </si>
  <si>
    <t>Опасения за стройку.</t>
  </si>
  <si>
    <r>
      <rPr>
        <rFont val="Arial"/>
        <b/>
        <color theme="1"/>
      </rPr>
      <t>Нефть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</si>
  <si>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</si>
  <si>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</si>
  <si>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</si>
  <si>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r>
      <rPr>
        <rFont val="Arial"/>
        <b/>
        <color theme="1"/>
      </rPr>
      <t>ВВП</t>
    </r>
    <r>
      <rPr>
        <rFont val="Arial"/>
        <color theme="1"/>
      </rPr>
      <t xml:space="preserve">       Миша</t>
    </r>
  </si>
  <si>
    <t>ВТБ</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</si>
  <si>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</si>
  <si>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</si>
  <si>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</si>
  <si>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Уточнили рост М2, зарплат, спреды по кредитованию, ужесточение макропру</t>
  </si>
  <si>
    <t>Рост М2 +4,2% дек/дек (было около 7%), 20+4/2=12% среднегодовой</t>
  </si>
  <si>
    <t>Рост зарплат +3% дек/дек, в среднем за год +18+3/2=10% в  среднем (было около 7%)</t>
  </si>
  <si>
    <t>Инфляция выросла по модели из-за более слабого рубля и роста средней зарплаты</t>
  </si>
  <si>
    <t>Прогноз по безработице вырастет с 2,3 до 2,6</t>
  </si>
  <si>
    <t>ЦБ</t>
  </si>
  <si>
    <t>Наш прогноз</t>
  </si>
  <si>
    <t>21-23</t>
  </si>
  <si>
    <t>Инфляция 9,1%</t>
  </si>
  <si>
    <r>
      <rPr>
        <rFont val="Arial"/>
        <b/>
        <color theme="1"/>
      </rPr>
      <t>Нефть</t>
    </r>
    <r>
      <rPr>
        <rFont val="Arial"/>
        <color theme="1"/>
      </rPr>
      <t xml:space="preserve">        Миша</t>
    </r>
  </si>
  <si>
    <r>
      <rPr>
        <rFont val="Arial"/>
        <b/>
        <color theme="1"/>
      </rPr>
      <t>Рубль</t>
    </r>
    <r>
      <rPr>
        <rFont val="Arial"/>
        <color theme="1"/>
      </rPr>
      <t xml:space="preserve">        Миша</t>
    </r>
  </si>
  <si>
    <t>Минус: ухудшение на рынке труда (безработица 2,3%)</t>
  </si>
  <si>
    <t>Ослабление рубля (импортеры закладывать 110-115)</t>
  </si>
  <si>
    <t>Плюс: умеренное замедление корпкредитования (оперативная статистика ЦБ)</t>
  </si>
  <si>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</si>
  <si>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</si>
  <si>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r>
      <rPr>
        <rFont val="Arial"/>
        <b/>
        <color theme="1"/>
      </rPr>
      <t>ВВП</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</si>
  <si>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</si>
  <si>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</si>
  <si>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</si>
  <si>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СХ сказал, что из-за политики ставку в декабре или 21% или 23%, выше не пойдёт (из-за политики и выросших спредов по кредитам).</t>
  </si>
  <si>
    <t>Поэтому сдвинули наш прогноз по ставке на 1 вниз.</t>
  </si>
  <si>
    <r>
      <rPr>
        <rFont val="Arial"/>
        <b/>
        <color theme="1"/>
      </rPr>
      <t>Нефть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</si>
  <si>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</si>
  <si>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</si>
  <si>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</si>
  <si>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r>
      <rPr>
        <rFont val="Arial"/>
        <b/>
        <color theme="1"/>
      </rPr>
      <t>ВВП</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</si>
  <si>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</si>
  <si>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</si>
  <si>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</si>
  <si>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r>
      <rPr>
        <rFont val="Arial"/>
        <b/>
        <color theme="1"/>
      </rPr>
      <t>Нефть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</si>
  <si>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</si>
  <si>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</si>
  <si>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</si>
  <si>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r>
      <rPr>
        <rFont val="Arial"/>
        <b/>
        <color theme="1"/>
      </rPr>
      <t>ВВП</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</si>
  <si>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</si>
  <si>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</si>
  <si>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</si>
  <si>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Кредит 10% договоренность ЦБ с банками (закрытая информация СХ).</t>
  </si>
  <si>
    <t>Договоренность неявная, но всех сильно попросили.</t>
  </si>
  <si>
    <t>Рост М2 теперь 7% дек/дек.</t>
  </si>
  <si>
    <t>Зарплаты номинальные 6%.</t>
  </si>
  <si>
    <t>Поэтому рубль слабее - стал 108, был 106.</t>
  </si>
  <si>
    <t>Инфляция 8% - зарплаты +1,5%, тарифы +1,4%, курс 6,2%.</t>
  </si>
  <si>
    <t>Подняли доходы людей - на импорт влияет.</t>
  </si>
  <si>
    <t>Базовый сценарий - сохранение геополитики.</t>
  </si>
  <si>
    <t>Розница +8%.</t>
  </si>
  <si>
    <r>
      <rPr>
        <rFont val="Arial"/>
        <b/>
        <color theme="1"/>
      </rPr>
      <t>Нефть</t>
    </r>
    <r>
      <rPr>
        <rFont val="Arial"/>
        <color theme="1"/>
      </rPr>
      <t xml:space="preserve">        Миша</t>
    </r>
  </si>
  <si>
    <r>
      <rPr>
        <rFont val="Arial"/>
        <b/>
        <color theme="1"/>
      </rPr>
      <t>Рубль</t>
    </r>
    <r>
      <rPr>
        <rFont val="Arial"/>
        <color theme="1"/>
      </rPr>
      <t xml:space="preserve">        Миша</t>
    </r>
  </si>
  <si>
    <t>Корпоративный +9,5%.</t>
  </si>
  <si>
    <t>Сейчас депозитные ставки на полгода-год КС +3,6% (на пике было +4%, до этого было +2,0+2,5%)</t>
  </si>
  <si>
    <t>Если депозитные упадут до КС+2,5%, т.е. минус 100 б.п., то ЦБ может поднять КС на 100 б.п., до 22%.</t>
  </si>
  <si>
    <t>Сейчас на кривую ОФЗ никто не ориентируется, фиксов нет.</t>
  </si>
  <si>
    <r>
      <rPr>
        <rFont val="Arial"/>
        <b/>
        <color theme="1"/>
      </rPr>
      <t>Инфляция</t>
    </r>
    <r>
      <rPr>
        <rFont val="Arial"/>
        <color theme="1"/>
      </rPr>
      <t xml:space="preserve"> на к2024       Миша</t>
    </r>
  </si>
  <si>
    <r>
      <rPr>
        <rFont val="Arial"/>
        <b/>
        <color theme="1"/>
      </rPr>
      <t>Инфляция</t>
    </r>
    <r>
      <rPr>
        <rFont val="Arial"/>
        <color theme="1"/>
      </rPr>
      <t xml:space="preserve"> на к2025       Миша</t>
    </r>
  </si>
  <si>
    <r>
      <rPr>
        <rFont val="Arial"/>
        <b/>
        <color theme="1"/>
      </rPr>
      <t>ВВП</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</si>
  <si>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</si>
  <si>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</si>
  <si>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</si>
  <si>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Ставки фондирования снижаются незначительно. Наша оценка снижения до 0,5 п.п.</t>
  </si>
  <si>
    <t>Андрей: в феврале-марте будут обсуждаться повышение ставки.</t>
  </si>
  <si>
    <t>Никита: ЦБ может обдумать не высока ли ставка 27% для кредитов экономике, учитывая замедление кредитования в декабре-январе. ЦБ может это устроить без повышения ключа.</t>
  </si>
  <si>
    <r>
      <rPr>
        <rFont val="Arial"/>
        <b/>
        <color theme="1"/>
      </rPr>
      <t>Нефть</t>
    </r>
    <r>
      <rPr>
        <rFont val="Arial"/>
        <color theme="1"/>
      </rPr>
      <t xml:space="preserve">        Миша</t>
    </r>
  </si>
  <si>
    <r>
      <rPr>
        <rFont val="Arial"/>
        <b/>
        <color theme="1"/>
      </rPr>
      <t>Рубль</t>
    </r>
    <r>
      <rPr>
        <rFont val="Arial"/>
        <color theme="1"/>
      </rPr>
      <t xml:space="preserve">        Миша</t>
    </r>
  </si>
  <si>
    <t>Маша: мы получили БКЛ только в январе (недавно).</t>
  </si>
  <si>
    <t>Андрей: в 4квартале SAAR выходит в 5%, поэтому ЦБ может начать снижать ставку в 4квартале.</t>
  </si>
  <si>
    <t>Аргументы за снижение ставки в 4кв: кредитование ниже прогноза.</t>
  </si>
  <si>
    <t>Андрей</t>
  </si>
  <si>
    <t>Наши КМ говорят клиентам: по кредитам - ограничения ЦБ, а по бондам ограничений нет - давайте размещать бонды.</t>
  </si>
  <si>
    <t>Миша Ник</t>
  </si>
  <si>
    <t>Сами банки свои кредиты будут секьюритизировать.</t>
  </si>
  <si>
    <t>Консенсус х3</t>
  </si>
  <si>
    <t>Посмотрим, когда ЦБ прочухается и что скажет.</t>
  </si>
  <si>
    <t>Консенсус х5</t>
  </si>
  <si>
    <t>Ещё аргументы за снижение ставки - массовые банкротства ЦБ может прозевать. Главное не перегнуть.</t>
  </si>
  <si>
    <r>
      <rPr>
        <rFont val="Arial"/>
        <b/>
        <color theme="1"/>
      </rPr>
      <t>Инфляция</t>
    </r>
    <r>
      <rPr>
        <rFont val="Arial"/>
        <color theme="1"/>
      </rPr>
      <t xml:space="preserve"> на к2025       Миша</t>
    </r>
  </si>
  <si>
    <t>Рост зарплат на 5,5% дек/дек</t>
  </si>
  <si>
    <t>Рост М2 6,5% дек/дек</t>
  </si>
  <si>
    <t>Посмотрим на прогноз ЦБ 14 февраля.</t>
  </si>
  <si>
    <t>29 января утро</t>
  </si>
  <si>
    <r>
      <rPr>
        <rFont val="Arial"/>
        <b/>
        <color theme="1"/>
      </rPr>
      <t>ВВП</t>
    </r>
    <r>
      <rPr>
        <rFont val="Arial"/>
        <color theme="1"/>
      </rPr>
      <t xml:space="preserve">       Миша</t>
    </r>
  </si>
  <si>
    <t>CNY/RUB</t>
  </si>
  <si>
    <t>USD/CNY</t>
  </si>
  <si>
    <t>EUR/USD</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</si>
  <si>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</si>
  <si>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</si>
  <si>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</si>
  <si>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r>
      <rPr>
        <rFont val="Arial"/>
        <b/>
        <color theme="1"/>
      </rPr>
      <t>Нефть</t>
    </r>
    <r>
      <rPr>
        <rFont val="Arial"/>
        <color theme="1"/>
      </rPr>
      <t xml:space="preserve">        Миша</t>
    </r>
  </si>
  <si>
    <r>
      <rPr>
        <rFont val="Arial"/>
        <b/>
        <color theme="1"/>
      </rPr>
      <t>Рубль</t>
    </r>
    <r>
      <rPr>
        <rFont val="Arial"/>
        <color theme="1"/>
      </rPr>
      <t xml:space="preserve">        Миша</t>
    </r>
  </si>
  <si>
    <r>
      <rPr>
        <rFont val="Arial"/>
        <b/>
        <color theme="1"/>
      </rPr>
      <t>Инфляция</t>
    </r>
    <r>
      <rPr>
        <rFont val="Arial"/>
        <color theme="1"/>
      </rPr>
      <t xml:space="preserve"> на к2025       Миша</t>
    </r>
  </si>
  <si>
    <t>Рост зарплат на X% дек/дек</t>
  </si>
  <si>
    <t>Рост М2 7% дек/дек</t>
  </si>
  <si>
    <r>
      <rPr>
        <rFont val="Arial"/>
        <b/>
        <color theme="1"/>
      </rPr>
      <t>ВВП</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</si>
  <si>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</si>
  <si>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</si>
  <si>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</si>
  <si>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Среднее знач-е</t>
  </si>
  <si>
    <t>Нефть Brent, $
(в среднем за квартал)</t>
  </si>
  <si>
    <t>Инфляция, %
(на конец квартала)</t>
  </si>
  <si>
    <t>Ключевая ставка, %
(на конец квартала)</t>
  </si>
  <si>
    <t>Золото, $/oz</t>
  </si>
  <si>
    <t>На 13 февраля</t>
  </si>
  <si>
    <t>Среднее</t>
  </si>
  <si>
    <t>Дисконт</t>
  </si>
  <si>
    <t>Мнения по геополитике</t>
  </si>
  <si>
    <t>Н.Кулагин - мир к Пасхе или 9 мая маловероятен.</t>
  </si>
  <si>
    <t>Наш реальный рычаг - это военные действия.</t>
  </si>
  <si>
    <t>Наши раньше времени заднюю не дадут.</t>
  </si>
  <si>
    <t>ДХ - единственная причина остановки конфликта - он нас усиляет, а США ослабляет. Гэп в производстве оружия сокращается.</t>
  </si>
  <si>
    <r>
      <rPr>
        <rFont val="Arial"/>
        <b/>
        <color theme="1"/>
      </rPr>
      <t xml:space="preserve">Сценарий мира </t>
    </r>
    <r>
      <rPr>
        <rFont val="Arial"/>
        <color theme="1"/>
      </rPr>
      <t>надо рассчитать.</t>
    </r>
  </si>
  <si>
    <t>4кв25</t>
  </si>
  <si>
    <r>
      <rPr>
        <rFont val="Arial"/>
        <b/>
        <color theme="1"/>
      </rPr>
      <t>Рубль</t>
    </r>
    <r>
      <rPr>
        <rFont val="Arial"/>
        <color theme="1"/>
      </rPr>
      <t xml:space="preserve">        Миша</t>
    </r>
  </si>
  <si>
    <t>Санкции с банков уберут.</t>
  </si>
  <si>
    <r>
      <rPr>
        <rFont val="Arial"/>
        <b/>
        <color theme="1"/>
      </rPr>
      <t>Нефть</t>
    </r>
    <r>
      <rPr>
        <rFont val="Arial"/>
        <color theme="1"/>
      </rPr>
      <t xml:space="preserve">        Миша</t>
    </r>
  </si>
  <si>
    <t>Дисконт с нефти уйдёт, с 12 до 5.</t>
  </si>
  <si>
    <t>Издержки на платежи снизятся.</t>
  </si>
  <si>
    <t>Приток капитала в страну - дружественные да, но мало.</t>
  </si>
  <si>
    <t>Недружественнные - осторожно.</t>
  </si>
  <si>
    <t>Рубль 94-95, инфляция 5-6%, ставка 16-18%</t>
  </si>
  <si>
    <t>СХ</t>
  </si>
  <si>
    <t>С начала года к 10 февраля инфляция 1,5%</t>
  </si>
  <si>
    <r>
      <rPr>
        <rFont val="Arial"/>
        <b/>
        <color theme="1"/>
      </rPr>
      <t>Инфляция</t>
    </r>
    <r>
      <rPr>
        <rFont val="Arial"/>
        <color theme="1"/>
      </rPr>
      <t xml:space="preserve"> на к2025       Миша</t>
    </r>
  </si>
  <si>
    <t>Рост зарплат на 9% дек/дек</t>
  </si>
  <si>
    <t>Рост М2 10% дек/дек</t>
  </si>
  <si>
    <t>на утро 19 февраля</t>
  </si>
  <si>
    <r>
      <rPr>
        <rFont val="Arial"/>
        <b/>
        <color theme="1"/>
      </rPr>
      <t>ВВП</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</si>
  <si>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</si>
  <si>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</si>
  <si>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</si>
  <si>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БАЗОВЫЙ</t>
  </si>
  <si>
    <t>Подробнее изучили вопрос отказа компаний от капексов.</t>
  </si>
  <si>
    <t>Геополитика - базовый сценарий - никаких изменений.</t>
  </si>
  <si>
    <t>Ухудшился прогноз по инвестициям.</t>
  </si>
  <si>
    <t>Боевые действия до конца года?</t>
  </si>
  <si>
    <t>Улучшился прогноз по ВВП за счет других компонент.</t>
  </si>
  <si>
    <t>Растет вероятность примирения.</t>
  </si>
  <si>
    <t>Проблема: положительная корреляция инвестиций к ставке.</t>
  </si>
  <si>
    <t>Санкции пока до конца года.</t>
  </si>
  <si>
    <t>Решили за счет более углубленного погружения в каждую отрасль.</t>
  </si>
  <si>
    <t>Какая армия останется у Украины? - ключевой вопрос</t>
  </si>
  <si>
    <t>Вопрос доверия к модели?</t>
  </si>
  <si>
    <t>В жилой недвижимости видим падение запусков в янв-фев.</t>
  </si>
  <si>
    <r>
      <rPr>
        <rFont val="Arial"/>
        <b/>
        <color theme="1"/>
      </rPr>
      <t>Рубль</t>
    </r>
    <r>
      <rPr>
        <rFont val="Arial"/>
        <color theme="1"/>
      </rPr>
      <t xml:space="preserve">        Миша</t>
    </r>
  </si>
  <si>
    <r>
      <rPr>
        <rFont val="Arial"/>
        <b/>
        <color theme="1"/>
      </rPr>
      <t>Нефть</t>
    </r>
    <r>
      <rPr>
        <rFont val="Arial"/>
        <color theme="1"/>
      </rPr>
      <t xml:space="preserve">        Миша</t>
    </r>
  </si>
  <si>
    <t>12 сен</t>
  </si>
  <si>
    <t>Рубль крепче, поэтому ниже модель инфляции</t>
  </si>
  <si>
    <t>25 апр и 6 июн</t>
  </si>
  <si>
    <t>25 июл и 12 сен</t>
  </si>
  <si>
    <t>24 окт и 19 дек</t>
  </si>
  <si>
    <t>Факт: С начала года к 10 марта инфляция 2,2%</t>
  </si>
  <si>
    <r>
      <rPr>
        <rFont val="Arial"/>
        <b/>
        <color theme="1"/>
      </rPr>
      <t>Инфляция</t>
    </r>
    <r>
      <rPr>
        <rFont val="Arial"/>
        <color theme="1"/>
      </rPr>
      <t xml:space="preserve"> на к2025       Миша</t>
    </r>
  </si>
  <si>
    <t>С 1 июля тарифы ЖКХ ещё минимум +1%.</t>
  </si>
  <si>
    <t>Рост з/п 9,5%</t>
  </si>
  <si>
    <t>Рост М2 10,5%</t>
  </si>
  <si>
    <t>на утро 13 марта</t>
  </si>
  <si>
    <r>
      <rPr>
        <rFont val="Arial"/>
        <b/>
        <color theme="1"/>
      </rPr>
      <t>ВВП</t>
    </r>
    <r>
      <rPr>
        <rFont val="Arial"/>
        <color theme="1"/>
      </rPr>
      <t xml:space="preserve">       Миша</t>
    </r>
  </si>
  <si>
    <t>СХ: Реструктуризации идут, их число растёт.</t>
  </si>
  <si>
    <t>Пайплайн будущих кредитов тоже вялый.</t>
  </si>
  <si>
    <t>Сбер КИБ подтвердил вялый.</t>
  </si>
  <si>
    <t>У нашего КИБ пока бодро, и кредиты, и бонды.</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</si>
  <si>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</si>
  <si>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</si>
  <si>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</si>
  <si>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Тема - торговые войны Трампа</t>
  </si>
  <si>
    <t>(было 96)</t>
  </si>
  <si>
    <t>Оценка - минус 10% от уровней конца марта по нефти Brent и всем комодам тоже.</t>
  </si>
  <si>
    <t>(было 71)</t>
  </si>
  <si>
    <t>Нефть</t>
  </si>
  <si>
    <r>
      <rPr>
        <rFont val="Arial"/>
        <b/>
        <color theme="1"/>
      </rPr>
      <t>Нефть</t>
    </r>
    <r>
      <rPr>
        <rFont val="Arial"/>
        <color theme="1"/>
      </rPr>
      <t xml:space="preserve">        Миша</t>
    </r>
  </si>
  <si>
    <t>Замедление мировой экономики</t>
  </si>
  <si>
    <t>Заседания ЦБ по ставке</t>
  </si>
  <si>
    <t>На вечер 15 апреля</t>
  </si>
  <si>
    <t>Рубль</t>
  </si>
  <si>
    <t>Факт, экспортеры продают больше</t>
  </si>
  <si>
    <t>Хотя нефть ниже, но физ объемы теже, более активная продажа из ФНБ</t>
  </si>
  <si>
    <t>Экспорт в 1 кв выше ожиданий - влияет на валютную выручку во 2кв</t>
  </si>
  <si>
    <t>Все цены на сырьё ниже на 10% - во 2П влияние на рубль</t>
  </si>
  <si>
    <t>Факт: С начала года к 10 апреля инфляция 2,9%</t>
  </si>
  <si>
    <t>С 1 июля тарифы ЖКХ +12% -&gt; ещё минимум +1%.</t>
  </si>
  <si>
    <t>Рост з/п 7% дек/дек</t>
  </si>
  <si>
    <t>Рост М2 8% дек/дек</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</si>
  <si>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</si>
  <si>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</si>
  <si>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</si>
  <si>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Новые изменения:</t>
  </si>
  <si>
    <t>(было 90,5)</t>
  </si>
  <si>
    <t>Более крепкий курс рубля</t>
  </si>
  <si>
    <t>(было 64,5)</t>
  </si>
  <si>
    <t>Новая модель по М2 - теперь чуть выше М2 и рост з/п</t>
  </si>
  <si>
    <t>В модели по инфляции пересмотрели цены экспорта Европы и Китая в РФ</t>
  </si>
  <si>
    <t>Нефть повыше, т.к. пошлины Трамп снизил на Китай со 145% до 30%, острая фаза торговых войн прошла, перспективы мировой экономики получше.</t>
  </si>
  <si>
    <r>
      <rPr>
        <rFont val="Arial"/>
        <b/>
        <color theme="1"/>
      </rPr>
      <t>Нефть</t>
    </r>
    <r>
      <rPr>
        <rFont val="Arial"/>
        <color theme="1"/>
      </rPr>
      <t xml:space="preserve">        Миша</t>
    </r>
  </si>
  <si>
    <t>На утро 21 мая</t>
  </si>
  <si>
    <t>Факт - рубль крепче</t>
  </si>
  <si>
    <t>Экспорт в 1кв25 чуть лучше, чем ожидали</t>
  </si>
  <si>
    <t>Экспортеры всё ещё продают много (90% валютной выручки)</t>
  </si>
  <si>
    <t>В модели с 3кв25 80% закладываем, постепенно к этому придём</t>
  </si>
  <si>
    <t>Логика - с 3кв ставка вниз и поэтому экспортеры будут продавать больше валютной выручки</t>
  </si>
  <si>
    <t>Понизили отток физиков в валюту, т.к. факт околонулевой</t>
  </si>
  <si>
    <t>Новый законопроект - возможен приток нерезов на фондовый рынок</t>
  </si>
  <si>
    <t>Со слов Мишаковой - импортеры ждут ясности ослабления санкций - ясность и они начнут покупать импорт</t>
  </si>
  <si>
    <t>Факт: С начала года к 12 мая инфляция 3,2%</t>
  </si>
  <si>
    <t>Рост з/п 8,5% дек/дек</t>
  </si>
  <si>
    <t>Рост М2 9,5% дек/дек</t>
  </si>
  <si>
    <t>Вероятность снижения в июне - 20% (Никита), Миша - 10%</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</si>
  <si>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</si>
  <si>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</si>
  <si>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</si>
  <si>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13.3.25 мир</t>
  </si>
  <si>
    <t>1к25 баз</t>
  </si>
  <si>
    <t>2к25 баз</t>
  </si>
  <si>
    <t>3к25 мир</t>
  </si>
  <si>
    <t>4к25 мир</t>
  </si>
  <si>
    <t>МИР</t>
  </si>
  <si>
    <t>Геополитика - сценарий мира</t>
  </si>
  <si>
    <t>Наши предпосылки</t>
  </si>
  <si>
    <t>Снятие многих санкций</t>
  </si>
  <si>
    <t>Все изменения заложены с 3 квартала 2025 г.</t>
  </si>
  <si>
    <t>Открытие потоков капитала, заход инвесторов</t>
  </si>
  <si>
    <t>Основной пересмотр прогноза - это платежный баланс</t>
  </si>
  <si>
    <t>1. Лаги</t>
  </si>
  <si>
    <t>Рынок труда - значимого улучшения не видим</t>
  </si>
  <si>
    <t>Мы заложили снижение лага по экспорту с текущих 2 месяцев до 0 в течение нескольких кварталов</t>
  </si>
  <si>
    <t>ВПК ещё много лет будет работать на склад</t>
  </si>
  <si>
    <t>Мы также заложили снижение лага по импорту с текущих 3 месяцев, но медленными темпами</t>
  </si>
  <si>
    <t>Часть СВОшников 100-200-300К могут отпустить</t>
  </si>
  <si>
    <t>Примерно на 0,25 месяцев в квартал</t>
  </si>
  <si>
    <t>Это +0,3 п.п. к безработице</t>
  </si>
  <si>
    <r>
      <rPr>
        <rFont val="Arial"/>
        <b/>
        <color theme="1"/>
      </rPr>
      <t>Рубль</t>
    </r>
    <r>
      <rPr>
        <rFont val="Arial"/>
        <color theme="1"/>
      </rPr>
      <t xml:space="preserve">        Миша</t>
    </r>
  </si>
  <si>
    <t>В новых регионах будет военный контингент</t>
  </si>
  <si>
    <t>2. Спреды</t>
  </si>
  <si>
    <r>
      <rPr>
        <rFont val="Arial"/>
        <b/>
        <color theme="1"/>
      </rPr>
      <t>Нефть</t>
    </r>
    <r>
      <rPr>
        <rFont val="Arial"/>
        <color theme="1"/>
      </rPr>
      <t xml:space="preserve">        Миша</t>
    </r>
  </si>
  <si>
    <t>Релоканты - значимая часть уже вернулась, а часть останется навсегда</t>
  </si>
  <si>
    <t>Мы заложили снижение спреда российской нефти к Brent с текущих $12 до $5 (исторический $3 + фрахт)</t>
  </si>
  <si>
    <t>Плюс в сценарии мира возможен оптимизм и снова дорогие кредиты начнут брать (СХ)</t>
  </si>
  <si>
    <t xml:space="preserve"> </t>
  </si>
  <si>
    <t>Снижение будет происходить в течение 2-3 кварталов</t>
  </si>
  <si>
    <t>ДХ - ставка 18% и выше - нежизнеспособна для экономики</t>
  </si>
  <si>
    <t>Аналогично будет происходить и в нефтепродуктах</t>
  </si>
  <si>
    <t>ТБ</t>
  </si>
  <si>
    <t>3. Импорт</t>
  </si>
  <si>
    <t>1) Снижение лагов (экспорт 2 мес, импорт 3 мес) -&gt; Лаг может сократиться на 1 мес, до экспорт 1 мес, импорт 2 мес в течение 3х кварталов</t>
  </si>
  <si>
    <t>После 2021 г. физический объем импорта сократился</t>
  </si>
  <si>
    <t>В момент улучшения лагов будет разовый приток валюты, а спрос на валюту упадет</t>
  </si>
  <si>
    <t>Мы определили, что 80% импорта является несанкционным, и именно может начать расти более активно</t>
  </si>
  <si>
    <t>Эффект 25-30 млрд в квартал.</t>
  </si>
  <si>
    <t>С учетом прошеднего удорожания товаров с 2021 г. и отложенного спроса мы предполагаем, что</t>
  </si>
  <si>
    <r>
      <rPr>
        <rFont val="Arial"/>
        <b/>
        <color theme="1"/>
      </rPr>
      <t>Инфляция</t>
    </r>
    <r>
      <rPr>
        <rFont val="Arial"/>
        <color theme="1"/>
      </rPr>
      <t xml:space="preserve"> на к2025       Миша</t>
    </r>
  </si>
  <si>
    <t>2) Сокращение спредов Urals и нефтепродуктов.</t>
  </si>
  <si>
    <t>этот импорт может дополнительно расти на 15% г/г в течение года с момента снятия санкций</t>
  </si>
  <si>
    <t>Рост з/п %</t>
  </si>
  <si>
    <t xml:space="preserve">3) Импорт. </t>
  </si>
  <si>
    <t>Рост М2 16%</t>
  </si>
  <si>
    <t>Импорт просел.</t>
  </si>
  <si>
    <t>4. Приток FDI</t>
  </si>
  <si>
    <t>Санкции на двойного назначения сохранятся.</t>
  </si>
  <si>
    <t>В 2021 г. приток инвестиций из недруж. стран был $38 млрд год, из дружественных $2 млрд</t>
  </si>
  <si>
    <t>Импорт вырастет на 15%.</t>
  </si>
  <si>
    <t>Мы предполагаем, что поток из дружественных стран может удвоиться от уровня 2021, а из недруж стран быть сдержанным (порядка 20% от 2021)</t>
  </si>
  <si>
    <t>4) Фин.потоки.</t>
  </si>
  <si>
    <t>В 2021 был приток ПИИ $38 млрд из недружей и 2 млрд из дружей.</t>
  </si>
  <si>
    <t>5. Портфельные инвестиции (кэрри-трейд)</t>
  </si>
  <si>
    <t>Мы ставим 10 млрд в год (ПИИ).</t>
  </si>
  <si>
    <t>Доля нерезидентов в ОФЗ за 3 года снизилась с 21% до 7%. Мы предполагаем, что участие нерезидентов может частично восстановиться, до 13-15%</t>
  </si>
  <si>
    <r>
      <rPr>
        <rFont val="Arial"/>
        <b/>
        <color theme="1"/>
      </rPr>
      <t>ВВП</t>
    </r>
    <r>
      <rPr>
        <rFont val="Arial"/>
        <color theme="1"/>
      </rPr>
      <t xml:space="preserve">       Миша</t>
    </r>
  </si>
  <si>
    <t>Керри-трейд  ? Порядок $10-20 млрд.</t>
  </si>
  <si>
    <t>На счетах С 2 трлн руб. ($20 млрд)</t>
  </si>
  <si>
    <t>6. Счета типа С</t>
  </si>
  <si>
    <t>ВТБ и GS: нерезы на счетах С - разнородные настроения (кто-то бизнес продал и ждет выхода, у кого-то ОФЗ заморожены)</t>
  </si>
  <si>
    <t>На этих счетах, по нашей оценке, около $20 млрд. мы предполагаем, что с них будут выпускать в соответствии с указом президента - по $1 млрд в месяц</t>
  </si>
  <si>
    <t>Нетто-приток портфельных инвестиций 10 млрд</t>
  </si>
  <si>
    <t>При этом, в случае высоких портфельных инвестиций, выпуск со счетов может быть увеличен</t>
  </si>
  <si>
    <t>С 3-го квартала изменения.</t>
  </si>
  <si>
    <t>7. Покупки валюты ЦБ</t>
  </si>
  <si>
    <t>В результате курс 74 на конец года.</t>
  </si>
  <si>
    <t>Этот фактор не учтен в нашем расчете, однако в случае сильно укрепления рубля ЦБ может начать покупку валюты, что сдержит рубль</t>
  </si>
  <si>
    <t>Инфляция 2,6%.</t>
  </si>
  <si>
    <t>Ставка до 10%.</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</si>
  <si>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</si>
  <si>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</si>
  <si>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</si>
  <si>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1к26</t>
  </si>
  <si>
    <t>2к26</t>
  </si>
  <si>
    <t>3к26</t>
  </si>
  <si>
    <t>4к26</t>
  </si>
  <si>
    <t>Обострение на Ближнем Востоке.</t>
  </si>
  <si>
    <t>Наш базовый сценарий: обострение на пару недель (максимум месяц)</t>
  </si>
  <si>
    <t>Более высокая цена на нефть.</t>
  </si>
  <si>
    <t>Более высокие инвестиции в РФ в 1кв25 (химия, ритейл, энергетика (Интер РАО), оборонка).</t>
  </si>
  <si>
    <t>Подняли инвестиции на этот год, подняли прогноз по ВВП.</t>
  </si>
  <si>
    <t>Безработица чуть ниже будет (2,7% в среднем было и 3% на конец года) -&gt; 2,4% в среднем по году, на конец года 2,5%</t>
  </si>
  <si>
    <t>Доходы выше, рост з/п 8,3% на конец года, в среднем - 12%</t>
  </si>
  <si>
    <r>
      <rPr>
        <rFont val="Arial"/>
        <b/>
        <color theme="1"/>
      </rPr>
      <t>Нефть</t>
    </r>
    <r>
      <rPr>
        <rFont val="Arial"/>
        <color theme="1"/>
      </rPr>
      <t xml:space="preserve">        Миша</t>
    </r>
  </si>
  <si>
    <t>Сценарий ЦБ</t>
  </si>
  <si>
    <t>На утро 19 июня</t>
  </si>
  <si>
    <t>Рубль крепче, т.к. нефть выше.</t>
  </si>
  <si>
    <t>Факт - рубль крепче.</t>
  </si>
  <si>
    <t>Выросла рублевая доля в оплате экспорте (100% репатриация валютной выручки).</t>
  </si>
  <si>
    <t>Выше продажи валюты по БП.</t>
  </si>
  <si>
    <t>Факт: С начала года к 16 июня инфляция 3,6%</t>
  </si>
  <si>
    <t>Рост з/п 8,3% дек/дек</t>
  </si>
  <si>
    <t>Рост з/п 11% дек/дек (при ключе 14%)</t>
  </si>
  <si>
    <t>Рост М2 8,8% дек/дек</t>
  </si>
  <si>
    <t>Рост М2 12% дек/дек</t>
  </si>
  <si>
    <t>Кредит - корп 8%, розн - 3%</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</si>
  <si>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</si>
  <si>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</si>
  <si>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</si>
  <si>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r>
      <rPr>
        <rFont val="Arial"/>
        <b/>
        <color theme="1"/>
      </rPr>
      <t>Нефть</t>
    </r>
    <r>
      <rPr>
        <rFont val="Arial"/>
        <color theme="1"/>
      </rPr>
      <t xml:space="preserve">        Миша</t>
    </r>
  </si>
  <si>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</si>
  <si>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</si>
  <si>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</si>
  <si>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Геополитика - базовый сценарий - никаких изменений в 2026 году.</t>
  </si>
  <si>
    <t>Нефть пониже в 2026 году - спрос не вырастет, ОПЕК+ наращивает, сланцы могут немного добавить.</t>
  </si>
  <si>
    <t>Рубль крепче, т.к. факт крепче и экспортеры продают по факту больше, в том числе из-за рублевой выручки.</t>
  </si>
  <si>
    <t>Физики перстали выводить в валюту.</t>
  </si>
  <si>
    <t>Раньше компании гасили внешние кредиты, теперь меньше.</t>
  </si>
  <si>
    <t>Никита: осторожно по ставке, 14% на конец года - кредитование оживилось, норма сбережений падает.</t>
  </si>
  <si>
    <t>ВПК продолжает наращивать производство и нанимать людей из частного сектора.</t>
  </si>
  <si>
    <t>На утро 27 августа</t>
  </si>
  <si>
    <t>Факт: С начала года к 18 августа инфляция 4,16%</t>
  </si>
  <si>
    <t>Рост з/п 10,5% дек/дек</t>
  </si>
  <si>
    <t>Рост з/п 9,5% дек/дек</t>
  </si>
  <si>
    <t>Рост М2 10-11%</t>
  </si>
  <si>
    <t>Дефицит бюджета поменьше, кредит побольше</t>
  </si>
  <si>
    <t>Никита: большой рост потребления физиков, больше импорт</t>
  </si>
  <si>
    <t>Ускорение за счет потребления физиков, снижается норма сбережений из-за ставки</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</si>
  <si>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</si>
  <si>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</si>
  <si>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</si>
  <si>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Утильсбор и НДС</t>
  </si>
  <si>
    <t>Самая риск сезон для курса - это сейчас идёт.</t>
  </si>
  <si>
    <t>Утильсбор повышается с 1 ноября. Может добавить спроса на импорт в 1 млрд $.</t>
  </si>
  <si>
    <t>Сейчас возрос спрос на импорт автомобилей.</t>
  </si>
  <si>
    <t>Сезонно высокий импорт до конца октября.</t>
  </si>
  <si>
    <t>Госрасходы могут добавить импорту в декабре.</t>
  </si>
  <si>
    <t>Есть риски того, что ставка уже достаточно низкая, чтобы экспортёры придерживали валютную выручки и финансировались рублевыми кредитами.</t>
  </si>
  <si>
    <t xml:space="preserve">Гипотеза Никиты: в августе было ускорение кредитования из-за ожиданий ставки на конец года 14%. При ожиданиях 15-16% кредитование в сентябре замедлится. </t>
  </si>
  <si>
    <t>Факт.данные</t>
  </si>
  <si>
    <t>На утро 24 сентября</t>
  </si>
  <si>
    <t>При ставке 14% на конец 2026 инфляция по модели 6%.</t>
  </si>
  <si>
    <t>Миша Н</t>
  </si>
  <si>
    <t>Факт: С начала года к 15 сентября инфляция 4,1%</t>
  </si>
  <si>
    <t>Рост М2 11%</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</si>
  <si>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</si>
  <si>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</si>
  <si>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</si>
  <si>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В геополитике не ждем изменений в ближайшие полтора года (пока не возьмут С и К).</t>
  </si>
  <si>
    <t>На утро 22 октября</t>
  </si>
  <si>
    <t>Фактический курс, Роснефть получила $15-17 млрд аванс или кредит в сентябре (инфо от Сбера, м.б. из Китая) и продаёт в рынок, меньше отток физиков, компании меньше гасят долг.</t>
  </si>
  <si>
    <t>Рост импорта в 3кв (оплата), снижение ставки, экспортеры меньше продавать будут в % от выручки.</t>
  </si>
  <si>
    <t>Рубль крепче в прогнозе - факт крепче, ставка влияет сильнее в пользу крепче.</t>
  </si>
  <si>
    <t>Факт: С начала года к 15 сентября инфляция 4,72%</t>
  </si>
  <si>
    <t>M2 10% дек/дек</t>
  </si>
  <si>
    <t>M2 11% дек/дек</t>
  </si>
  <si>
    <t>З/п 9% дек/дек</t>
  </si>
  <si>
    <t>З/п 10% дек/дек</t>
  </si>
  <si>
    <t>6-7% - 14-18%</t>
  </si>
  <si>
    <t>6,5 - 16</t>
  </si>
  <si>
    <t>6,7-17</t>
  </si>
  <si>
    <t>6,3 - 15</t>
  </si>
  <si>
    <t>Эконом активность будет снижаться быстро, поэтому будут смягчать ДКП</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</si>
  <si>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</si>
  <si>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</si>
  <si>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</si>
  <si>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ДХ опасается большого количества дефолтов (все компании уже или скоро будут в рестракте).</t>
  </si>
  <si>
    <t>Оценка Маши портфеля КИБа - 2+5+5% стрёмные - проблемные или серые = 12%.</t>
  </si>
  <si>
    <t>По поводу Лукойла и санкций SDN, всё серьёзнее.</t>
  </si>
  <si>
    <t>Дисконты Urals расширились до $25.</t>
  </si>
  <si>
    <t>Егор поговорил с кем-то. Друг работал в Лукойл Дубай и там закрывают офис в феврале 2026 из-за санкций.</t>
  </si>
  <si>
    <t>Лукойл не был готов к санкциям.</t>
  </si>
  <si>
    <t>Вывод: Риски возросли, спред/дисконт может сужаться дольше, чем мы думали месяц-два.</t>
  </si>
  <si>
    <t>&lt;- обновлено 20/11</t>
  </si>
  <si>
    <t>Налоговые новации 2026 года будут более проинфляционные, чем мы ожидали (+0,7 п.п. НДС  и ещё +0,8 п.п. от УСН, льгот на ФОТ, НДС на эквайринг)</t>
  </si>
  <si>
    <t>На утро 20 ноября</t>
  </si>
  <si>
    <t>Дисконт B-U/E</t>
  </si>
  <si>
    <t>Ещё 0,5 п.п. от УСН/налогов с 2026</t>
  </si>
  <si>
    <t>(15,5 в уме)</t>
  </si>
  <si>
    <t>Повысили здания, понизили оборудование.</t>
  </si>
  <si>
    <t>Изменилась модель/данные: по сравнению с прошлым разом снизился прогноз роста потребления физиков.</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</si>
  <si>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</si>
  <si>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</si>
  <si>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</si>
  <si>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Рубль крепче - факт крепче (78), импорт ниже, чем прогнозировали, экспорт ненефтегазовый хорошо себя чувствует (металлы)</t>
  </si>
  <si>
    <t>&lt;- обновлено 24/12</t>
  </si>
  <si>
    <t>На утро 4 февраля</t>
  </si>
  <si>
    <t>Егор</t>
  </si>
  <si>
    <t>Факт: С начала года к 15 декабря инфляция 5,37%</t>
  </si>
  <si>
    <t>З/п 11% дек/дек</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</si>
  <si>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</si>
  <si>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</si>
  <si>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</si>
  <si>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&lt;- обновлено 04/02</t>
  </si>
  <si>
    <t>На утро 24 декабря</t>
  </si>
  <si>
    <t>При 84% продаж экспортерами валютной выручки</t>
  </si>
  <si>
    <t>Золото было 10 млрд в год, теперь 25 млрд в 2025, 39 млрд в 2026 прогноз</t>
  </si>
  <si>
    <t>Все металлы 73 млрд</t>
  </si>
  <si>
    <t>Доллар ослаб в мире</t>
  </si>
  <si>
    <t>Если БП отменят в марте, то курс 92 к концу года</t>
  </si>
  <si>
    <t>В этом году 30 млрд по БП</t>
  </si>
  <si>
    <t>Если 90% продажи валютной выручки, то курс на 74 в 4кв26</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</si>
  <si>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</si>
  <si>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</si>
  <si>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</si>
  <si>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Ближний Восток - базовый сценарий до конца апреля закончится острая фаза.</t>
  </si>
  <si>
    <t>В марте вырастет нефть и нефтепродукты +6 млрд$ из-за цен</t>
  </si>
  <si>
    <t>Весь экспорт в марте вырастет на 8 млрд$ (6+2)</t>
  </si>
  <si>
    <t>Важно: со спреда бальше валюты стало заходить в РОссию из-за bargaining power</t>
  </si>
  <si>
    <t>На утро 18 марта</t>
  </si>
  <si>
    <t>Гипотеза - в БП новая цена отсечения 50$ с апреля</t>
  </si>
  <si>
    <t>9 млрд - 4 млрд  = 5 млрд продажи за год по БП</t>
  </si>
  <si>
    <t>Факт: с начала года к 10 марта инфляция составила 2,5%.</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</si>
  <si>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</si>
  <si>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</si>
  <si>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</si>
  <si>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Со слов Колычева вчера - цена отсечения в этом году не меняется</t>
  </si>
  <si>
    <t>Продажи за год 20 млрд $ по БП</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</si>
  <si>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</si>
  <si>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</si>
  <si>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</si>
  <si>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1к27</t>
  </si>
  <si>
    <t>2к27</t>
  </si>
  <si>
    <t>3к27</t>
  </si>
  <si>
    <t>4к27</t>
  </si>
  <si>
    <t>2026/2025</t>
  </si>
  <si>
    <t>На утро 14 апреля</t>
  </si>
  <si>
    <t>Brent dated (Reuters - Oil BRDT)</t>
  </si>
  <si>
    <t>Базовый прогноз теперь - завершение БВ к июню (сдвинули на месяц).</t>
  </si>
  <si>
    <t>Юралс  $105 -&gt; $14 млрд доп в месяц экспортной выручки (по сравнению с Юралс 45) - рубль крепче на 3 рубля</t>
  </si>
  <si>
    <t>Минфин должен забрать $9 млрд</t>
  </si>
  <si>
    <t>Рубль на рубль в месяц крепче</t>
  </si>
  <si>
    <t>Экспортная нефть (для налогообложения)</t>
  </si>
  <si>
    <t>Гипотеза Минфин вернется с мая</t>
  </si>
  <si>
    <t>Каждый месяц БВ дает +0,3 п.п. к инфляции в месяц</t>
  </si>
  <si>
    <t>Факт: С начала года к 9 апреля инфляция 3,15%</t>
  </si>
  <si>
    <t>М2 +10% дек/дек</t>
  </si>
  <si>
    <t>КС</t>
  </si>
  <si>
    <t>Округлили до 0,5</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</si>
  <si>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</si>
  <si>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</si>
  <si>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</si>
  <si>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На утро 27 мая</t>
  </si>
  <si>
    <t>ЦБ теперь решил накладывать доп.резервы на банки</t>
  </si>
  <si>
    <t>Эффект повышенных банковских резервов.</t>
  </si>
  <si>
    <t>Денежная масса с 11 до 9, рост з/п также</t>
  </si>
  <si>
    <t>Минус 0,4 п.п. к инфляции</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</si>
  <si>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</si>
  <si>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</si>
  <si>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</si>
  <si>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На утро 24 июня</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</si>
  <si>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</si>
  <si>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</si>
  <si>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</si>
  <si>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На утро 14 июля</t>
  </si>
  <si>
    <t>Факт: С начала года к 6 июля инфляция 4,5%</t>
  </si>
  <si>
    <r>
      <rPr>
        <rFont val="Arial"/>
        <b/>
        <color theme="1"/>
      </rPr>
      <t>СТО в 3кв23</t>
    </r>
    <r>
      <rPr>
        <rFont val="Arial"/>
        <color theme="1"/>
      </rPr>
      <t xml:space="preserve"> = 17 - 8 на офшоре = 9 млрд</t>
    </r>
  </si>
  <si>
    <r>
      <rPr>
        <rFont val="Arial"/>
        <b/>
        <color theme="1"/>
      </rPr>
      <t>СТО в 4кв23</t>
    </r>
    <r>
      <rPr>
        <rFont val="Arial"/>
        <color theme="1"/>
      </rPr>
      <t xml:space="preserve"> = 28 - 5,6 на офшоре = 22 млрд</t>
    </r>
  </si>
  <si>
    <r>
      <rPr>
        <rFont val="Arial"/>
        <b/>
        <color theme="1"/>
      </rPr>
      <t>СТО в 2кв24</t>
    </r>
    <r>
      <rPr>
        <rFont val="Arial"/>
        <color theme="1"/>
      </rPr>
      <t xml:space="preserve"> = 15 - 5 на офшоре = 10 млрд</t>
    </r>
  </si>
  <si>
    <t>2027/2026</t>
  </si>
  <si>
    <t>Реальная экспортная цена нефти РФ FOB, $ (налоговая Юралс)</t>
  </si>
  <si>
    <t>На утро 26 августа</t>
  </si>
  <si>
    <t>Факт: С начала года к 6 июля инфляция 4,7%</t>
  </si>
  <si>
    <t xml:space="preserve">1) Нефть. </t>
  </si>
  <si>
    <t>Ближний Восток.</t>
  </si>
  <si>
    <r>
      <rPr>
        <rFont val="Arial"/>
        <b/>
        <color theme="1"/>
      </rPr>
      <t>СТО в 3кв23</t>
    </r>
    <r>
      <rPr>
        <rFont val="Arial"/>
        <color theme="1"/>
      </rPr>
      <t xml:space="preserve"> = 17 - 8 на офшоре = 9 млрд</t>
    </r>
  </si>
  <si>
    <t>Дисконт Юралс-Брент</t>
  </si>
  <si>
    <t>На утро 23 сентября</t>
  </si>
  <si>
    <t>Факт: С начала года к 14 сентября инфляция 4,7%</t>
  </si>
  <si>
    <t>М2 +12% дек/дек</t>
  </si>
  <si>
    <r>
      <rPr>
        <rFont val="Arial"/>
        <b/>
        <color theme="1"/>
      </rPr>
      <t>СТО в 3кв23</t>
    </r>
    <r>
      <rPr>
        <rFont val="Arial"/>
        <color theme="1"/>
      </rPr>
      <t xml:space="preserve"> = 17 - 8 на офшоре = 9 млрд</t>
    </r>
  </si>
  <si>
    <t>CNY/RUB
(в среднем за квартал)</t>
  </si>
  <si>
    <t>EUR/RUB
(в среднем за квартал)</t>
  </si>
  <si>
    <t>Нефть Brent, $/барр.
(в среднем за квартал)</t>
  </si>
  <si>
    <t>Нефть Юралс, $/барр.
(в среднем за квартал)</t>
  </si>
  <si>
    <t>Февраль</t>
  </si>
  <si>
    <t>Март</t>
  </si>
  <si>
    <t>Апрель</t>
  </si>
  <si>
    <t>Июнь</t>
  </si>
  <si>
    <t>Июль</t>
  </si>
  <si>
    <t>Август</t>
  </si>
  <si>
    <t>Сентябрь</t>
  </si>
  <si>
    <t>3кв среднее</t>
  </si>
  <si>
    <t>2кв среднее</t>
  </si>
  <si>
    <t>CNYRUB</t>
  </si>
  <si>
    <t>USDCNY</t>
  </si>
  <si>
    <t>EURRUB</t>
  </si>
  <si>
    <t>RuOil</t>
  </si>
  <si>
    <t>На конец периода</t>
  </si>
  <si>
    <t>Золото, $</t>
  </si>
  <si>
    <r>
      <rPr>
        <rFont val="Arial"/>
        <b/>
        <color theme="1"/>
      </rPr>
      <t>СТО в 3кв23</t>
    </r>
    <r>
      <rPr>
        <rFont val="Arial"/>
        <color theme="1"/>
      </rPr>
      <t xml:space="preserve"> = 17 - 8 на офшоре = 9 млрд</t>
    </r>
  </si>
</sst>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d.m"/>
    <numFmt numFmtId="166" formatCode="0.0%"/>
    <numFmt numFmtId="167" formatCode="d.m.yy"/>
    <numFmt numFmtId="168" formatCode="dd.mm.yy"/>
    <numFmt numFmtId="169" formatCode="#,##0.0"/>
    <numFmt numFmtId="170" formatCode="mmmd"/>
    <numFmt numFmtId="171" formatCode="d-m"/>
    <numFmt numFmtId="172" formatCode="0.000"/>
    <numFmt numFmtId="173" formatCode="d mmm"/>
    <numFmt numFmtId="174" formatCode="MMM yyyy"/>
  </numFmts>
  <fonts count="43">
    <font>
      <sz val="10.0"/>
      <color rgb="FF000000"/>
      <name val="Arial"/>
      <scheme val="minor"/>
    </font>
    <font>
      <color theme="1"/>
      <name val="Arial"/>
      <scheme val="minor"/>
    </font>
    <font>
      <color rgb="FF000000"/>
      <name val="Arial"/>
    </font>
    <font>
      <color rgb="FF000000"/>
      <name val="&quot;Times New Roman&quot;"/>
    </font>
    <font>
      <b/>
      <color theme="1"/>
      <name val="Arial"/>
      <scheme val="minor"/>
    </font>
    <font>
      <sz val="11.0"/>
      <color rgb="FF000000"/>
      <name val="Calibri"/>
    </font>
    <font>
      <sz val="11.0"/>
      <color rgb="FF000000"/>
      <name val="&quot;Helvetica Neue&quot;"/>
    </font>
    <font>
      <u/>
      <color rgb="FF0000FF"/>
    </font>
    <font>
      <color theme="1"/>
      <name val="Arial"/>
    </font>
    <font>
      <color theme="1"/>
      <name val="&quot;Times New Roman&quot;"/>
    </font>
    <font>
      <b/>
      <sz val="13.0"/>
      <color rgb="FF003366"/>
      <name val="Arial"/>
    </font>
    <font>
      <b/>
      <sz val="12.0"/>
      <color rgb="FF000000"/>
      <name val="Arial"/>
    </font>
    <font>
      <b/>
      <sz val="14.0"/>
      <color rgb="FF000000"/>
      <name val="Calibri"/>
    </font>
    <font>
      <sz val="13.0"/>
      <color rgb="FF000000"/>
      <name val="Calibri"/>
    </font>
    <font>
      <b/>
      <sz val="11.0"/>
      <color rgb="FF000000"/>
      <name val="Arial"/>
    </font>
    <font>
      <sz val="11.0"/>
      <color rgb="FFFF0000"/>
      <name val="Calibri"/>
    </font>
    <font>
      <b/>
      <sz val="12.0"/>
      <color rgb="FFFF0000"/>
      <name val="Arial"/>
    </font>
    <font>
      <color rgb="FF000000"/>
      <name val="Arial"/>
      <scheme val="minor"/>
    </font>
    <font>
      <color rgb="FFFF0000"/>
      <name val="Arial"/>
      <scheme val="minor"/>
    </font>
    <font>
      <color rgb="FFFF0000"/>
      <name val="&quot;Times New Roman&quot;"/>
    </font>
    <font>
      <color rgb="FF999999"/>
      <name val="Arial"/>
      <scheme val="minor"/>
    </font>
    <font>
      <color rgb="FFFFFFFF"/>
      <name val="Arial"/>
      <scheme val="minor"/>
    </font>
    <font>
      <color rgb="FFFFFFFF"/>
      <name val="&quot;Times New Roman&quot;"/>
    </font>
    <font>
      <sz val="11.0"/>
      <color rgb="FF000000"/>
      <name val="&quot;Roboto Light&quot;"/>
    </font>
    <font>
      <b/>
      <sz val="11.0"/>
      <color rgb="FF000000"/>
      <name val="&quot;Roboto Light&quot;"/>
    </font>
    <font>
      <b/>
      <sz val="11.0"/>
      <color rgb="FF000000"/>
      <name val="Calibri"/>
    </font>
    <font>
      <b/>
      <sz val="12.0"/>
      <color rgb="FF000000"/>
      <name val="&quot;Times New Roman&quot;"/>
    </font>
    <font>
      <b/>
      <sz val="12.0"/>
      <color theme="1"/>
      <name val="Arial"/>
      <scheme val="minor"/>
    </font>
    <font>
      <sz val="12.0"/>
      <color rgb="FF000000"/>
      <name val="&quot;Times New Roman&quot;"/>
    </font>
    <font>
      <sz val="12.0"/>
      <color theme="1"/>
      <name val="Arial"/>
      <scheme val="minor"/>
    </font>
    <font>
      <sz val="8.0"/>
      <color theme="1"/>
      <name val="Arial"/>
    </font>
    <font>
      <b/>
      <color rgb="FFFF0000"/>
      <name val="Arial"/>
      <scheme val="minor"/>
    </font>
    <font>
      <u/>
      <color theme="1"/>
      <name val="Arial"/>
      <scheme val="minor"/>
    </font>
    <font>
      <sz val="12.0"/>
      <color rgb="FF000000"/>
      <name val="Calibri"/>
    </font>
    <font>
      <sz val="12.0"/>
      <color rgb="FF000000"/>
      <name val="Roboto"/>
    </font>
    <font>
      <b/>
      <color rgb="FF000000"/>
      <name val="Arial"/>
    </font>
    <font>
      <color theme="1"/>
      <name val="Verdana"/>
    </font>
    <font>
      <b/>
      <color theme="1"/>
      <name val="Arial"/>
    </font>
    <font>
      <color rgb="FF212121"/>
      <name val="Arial"/>
    </font>
    <font>
      <i/>
      <color theme="1"/>
      <name val="Arial"/>
      <scheme val="minor"/>
    </font>
    <font>
      <i/>
      <color theme="1"/>
      <name val="Verdana"/>
    </font>
    <font>
      <i/>
      <color theme="1"/>
      <name val="Arial"/>
    </font>
    <font>
      <color rgb="FF212121"/>
      <name val="Times New Roman"/>
    </font>
  </fonts>
  <fills count="28">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B6D7A8"/>
        <bgColor rgb="FFB6D7A8"/>
      </patternFill>
    </fill>
    <fill>
      <patternFill patternType="solid">
        <fgColor rgb="FFFFD966"/>
        <bgColor rgb="FFFFD966"/>
      </patternFill>
    </fill>
    <fill>
      <patternFill patternType="solid">
        <fgColor rgb="FFD9EAD3"/>
        <bgColor rgb="FFD9EAD3"/>
      </patternFill>
    </fill>
    <fill>
      <patternFill patternType="solid">
        <fgColor rgb="FFD9D9D9"/>
        <bgColor rgb="FFD9D9D9"/>
      </patternFill>
    </fill>
    <fill>
      <patternFill patternType="solid">
        <fgColor rgb="FFFFFF99"/>
        <bgColor rgb="FFFFFF99"/>
      </patternFill>
    </fill>
    <fill>
      <patternFill patternType="solid">
        <fgColor rgb="FFDCE6F1"/>
        <bgColor rgb="FFDCE6F1"/>
      </patternFill>
    </fill>
    <fill>
      <patternFill patternType="solid">
        <fgColor rgb="FF00FFFF"/>
        <bgColor rgb="FF00FFFF"/>
      </patternFill>
    </fill>
    <fill>
      <patternFill patternType="solid">
        <fgColor rgb="FFF9CB9C"/>
        <bgColor rgb="FFF9CB9C"/>
      </patternFill>
    </fill>
    <fill>
      <patternFill patternType="solid">
        <fgColor rgb="FFCCCCCC"/>
        <bgColor rgb="FFCCCCCC"/>
      </patternFill>
    </fill>
    <fill>
      <patternFill patternType="solid">
        <fgColor rgb="FFB7B7B7"/>
        <bgColor rgb="FFB7B7B7"/>
      </patternFill>
    </fill>
    <fill>
      <patternFill patternType="solid">
        <fgColor rgb="FF93C47D"/>
        <bgColor rgb="FF93C47D"/>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C9DAF8"/>
        <bgColor rgb="FFC9DAF8"/>
      </patternFill>
    </fill>
    <fill>
      <patternFill patternType="solid">
        <fgColor theme="8"/>
        <bgColor theme="8"/>
      </patternFill>
    </fill>
    <fill>
      <patternFill patternType="solid">
        <fgColor rgb="FFEBF1DE"/>
        <bgColor rgb="FFEBF1DE"/>
      </patternFill>
    </fill>
    <fill>
      <patternFill patternType="solid">
        <fgColor rgb="FFFCD5B4"/>
        <bgColor rgb="FFFCD5B4"/>
      </patternFill>
    </fill>
    <fill>
      <patternFill patternType="solid">
        <fgColor rgb="FFE4DFEC"/>
        <bgColor rgb="FFE4DFEC"/>
      </patternFill>
    </fill>
    <fill>
      <patternFill patternType="solid">
        <fgColor rgb="FFF4CCCC"/>
        <bgColor rgb="FFF4CCCC"/>
      </patternFill>
    </fill>
  </fills>
  <borders count="24">
    <border/>
    <border>
      <left style="thin">
        <color rgb="FF000000"/>
      </left>
      <right style="thin">
        <color rgb="FF000000"/>
      </right>
      <top style="thin">
        <color rgb="FF000000"/>
      </top>
      <bottom style="thin">
        <color rgb="FF000000"/>
      </bottom>
    </border>
    <border>
      <right style="thin">
        <color rgb="FFC0C0C0"/>
      </right>
    </border>
    <border>
      <right style="thin">
        <color rgb="FFC0C0C0"/>
      </right>
      <top style="thin">
        <color rgb="FFC0C0C0"/>
      </top>
      <bottom style="thin">
        <color rgb="FFC0C0C0"/>
      </bottom>
    </border>
    <border>
      <right style="thin">
        <color rgb="FF000000"/>
      </right>
      <top style="thin">
        <color rgb="FFC0C0C0"/>
      </top>
      <bottom style="thin">
        <color rgb="FFC0C0C0"/>
      </bottom>
    </border>
    <border>
      <right style="thin">
        <color rgb="FFC0C0C0"/>
      </right>
      <top style="thin">
        <color rgb="FFC0C0C0"/>
      </top>
      <bottom style="thin">
        <color rgb="FF000000"/>
      </bottom>
    </border>
    <border>
      <right style="thin">
        <color rgb="FFC0C0C0"/>
      </right>
      <bottom style="thin">
        <color rgb="FF000000"/>
      </bottom>
    </border>
    <border>
      <right style="thin">
        <color rgb="FF000000"/>
      </right>
      <bottom style="thin">
        <color rgb="FF000000"/>
      </bottom>
    </border>
    <border>
      <left style="thin">
        <color rgb="FFC0C0C0"/>
      </left>
      <right style="thin">
        <color rgb="FFC0C0C0"/>
      </right>
      <top style="thin">
        <color rgb="FFC0C0C0"/>
      </top>
      <bottom style="thin">
        <color rgb="FFC0C0C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
      <top style="thin">
        <color rgb="FF000000"/>
      </top>
    </border>
    <border>
      <right style="thin">
        <color rgb="FF000000"/>
      </right>
      <top style="thin">
        <color rgb="FF000000"/>
      </top>
    </border>
    <border>
      <left style="thin">
        <color rgb="FF000000"/>
      </left>
      <top style="thin">
        <color rgb="FF000000"/>
      </top>
    </border>
    <border>
      <left style="thin">
        <color rgb="FFFFFFFF"/>
      </left>
      <right style="thin">
        <color rgb="FF000000"/>
      </right>
      <bottom style="thin">
        <color rgb="FFFFFFFF"/>
      </bottom>
    </border>
    <border>
      <right style="thin">
        <color rgb="FF000000"/>
      </right>
      <top style="thin">
        <color rgb="FFFFFFFF"/>
      </top>
      <bottom style="thin">
        <color rgb="FFFFFFFF"/>
      </bottom>
    </border>
  </borders>
  <cellStyleXfs count="1">
    <xf borderId="0" fillId="0" fontId="0" numFmtId="0" applyAlignment="1" applyFont="1"/>
  </cellStyleXfs>
  <cellXfs count="48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2" fontId="1" numFmtId="0" xfId="0" applyAlignment="1" applyFill="1" applyFont="1">
      <alignment readingOrder="0"/>
    </xf>
    <xf borderId="0" fillId="3" fontId="2" numFmtId="0" xfId="0" applyAlignment="1" applyFill="1" applyFont="1">
      <alignment horizontal="left" readingOrder="0"/>
    </xf>
    <xf borderId="0" fillId="2" fontId="1" numFmtId="0" xfId="0" applyAlignment="1" applyFill="1" applyFont="1">
      <alignment horizontal="center" readingOrder="0"/>
    </xf>
    <xf borderId="0" fillId="0" fontId="1" numFmtId="164" xfId="0" applyAlignment="1" applyFont="1" applyNumberFormat="1">
      <alignment horizontal="center" readingOrder="0"/>
    </xf>
    <xf borderId="0" fillId="0" fontId="3" numFmtId="0" xfId="0" applyAlignment="1" applyFont="1">
      <alignment horizontal="center" readingOrder="0" shrinkToFit="0" vertical="bottom" wrapText="0"/>
    </xf>
    <xf borderId="0" fillId="3" fontId="3" numFmtId="0" xfId="0" applyAlignment="1" applyFill="1" applyFont="1">
      <alignment horizontal="center" readingOrder="0" shrinkToFit="0" vertical="bottom" wrapText="0"/>
    </xf>
    <xf borderId="0" fillId="3" fontId="1" numFmtId="0" xfId="0" applyAlignment="1" applyFill="1" applyFont="1">
      <alignment readingOrder="0"/>
    </xf>
    <xf borderId="0" fillId="3" fontId="1" numFmtId="0" xfId="0" applyFill="1" applyFont="1"/>
    <xf borderId="0" fillId="0" fontId="1" numFmtId="165" xfId="0" applyAlignment="1" applyFont="1" applyNumberFormat="1">
      <alignment horizontal="center" readingOrder="0"/>
    </xf>
    <xf borderId="0" fillId="0" fontId="4" numFmtId="0" xfId="0" applyAlignment="1" applyFont="1">
      <alignment readingOrder="0" shrinkToFit="0" wrapText="0"/>
    </xf>
    <xf borderId="0" fillId="3" fontId="5" numFmtId="0" xfId="0" applyAlignment="1" applyFill="1" applyFont="1">
      <alignment horizontal="center" readingOrder="0" shrinkToFit="0" vertical="bottom" wrapText="0"/>
    </xf>
    <xf borderId="0" fillId="4" fontId="5" numFmtId="0" xfId="0" applyAlignment="1" applyFill="1" applyFont="1">
      <alignment horizontal="left" readingOrder="0" shrinkToFit="0" vertical="bottom" wrapText="0"/>
    </xf>
    <xf borderId="0" fillId="0" fontId="5" numFmtId="0" xfId="0" applyAlignment="1" applyFont="1">
      <alignment horizontal="center" readingOrder="0" shrinkToFit="0" vertical="bottom" wrapText="0"/>
    </xf>
    <xf borderId="0" fillId="5" fontId="1" numFmtId="0" xfId="0" applyAlignment="1" applyFill="1" applyFont="1">
      <alignment readingOrder="0"/>
    </xf>
    <xf borderId="0" fillId="0" fontId="5" numFmtId="9" xfId="0" applyAlignment="1" applyFont="1" applyNumberFormat="1">
      <alignment horizontal="center" readingOrder="0" shrinkToFit="0" vertical="bottom" wrapText="0"/>
    </xf>
    <xf borderId="0" fillId="0" fontId="5" numFmtId="10" xfId="0" applyAlignment="1" applyFont="1" applyNumberFormat="1">
      <alignment horizontal="center" readingOrder="0" shrinkToFit="0" vertical="bottom" wrapText="0"/>
    </xf>
    <xf borderId="0" fillId="0" fontId="3" numFmtId="0" xfId="0" applyAlignment="1" applyFont="1">
      <alignment readingOrder="0" shrinkToFit="0" vertical="bottom" wrapText="0"/>
    </xf>
    <xf borderId="0" fillId="3" fontId="1" numFmtId="0" xfId="0" applyAlignment="1" applyFill="1" applyFont="1">
      <alignment horizontal="center" readingOrder="0"/>
    </xf>
    <xf borderId="0" fillId="5" fontId="1" numFmtId="0" xfId="0" applyAlignment="1" applyFill="1" applyFont="1">
      <alignment horizontal="center" readingOrder="0"/>
    </xf>
    <xf borderId="0" fillId="0" fontId="3" numFmtId="164" xfId="0" applyAlignment="1" applyFont="1" applyNumberFormat="1">
      <alignment horizontal="center" readingOrder="0" shrinkToFit="0" vertical="bottom" wrapText="0"/>
    </xf>
    <xf borderId="0" fillId="6" fontId="3" numFmtId="164" xfId="0" applyAlignment="1" applyFill="1" applyFont="1" applyNumberFormat="1">
      <alignment horizontal="center" readingOrder="0" shrinkToFit="0" vertical="bottom" wrapText="0"/>
    </xf>
    <xf borderId="0" fillId="6" fontId="1" numFmtId="0" xfId="0" applyAlignment="1" applyFill="1" applyFont="1">
      <alignment horizontal="center" readingOrder="0"/>
    </xf>
    <xf borderId="0" fillId="7" fontId="5" numFmtId="10" xfId="0" applyAlignment="1" applyFill="1" applyFont="1" applyNumberFormat="1">
      <alignment horizontal="center" readingOrder="0" shrinkToFit="0" vertical="bottom" wrapText="0"/>
    </xf>
    <xf borderId="0" fillId="0" fontId="5" numFmtId="164" xfId="0" applyAlignment="1" applyFont="1" applyNumberFormat="1">
      <alignment horizontal="center" readingOrder="0" shrinkToFit="0" vertical="bottom" wrapText="0"/>
    </xf>
    <xf borderId="0" fillId="0" fontId="3" numFmtId="0" xfId="0" applyAlignment="1" applyFont="1">
      <alignment horizontal="right" readingOrder="0" shrinkToFit="0" vertical="bottom" wrapText="0"/>
    </xf>
    <xf borderId="0" fillId="0" fontId="4" numFmtId="0" xfId="0" applyAlignment="1" applyFont="1">
      <alignment readingOrder="0"/>
    </xf>
    <xf borderId="0" fillId="0" fontId="4" numFmtId="0" xfId="0" applyAlignment="1" applyFont="1">
      <alignment horizontal="center" readingOrder="0"/>
    </xf>
    <xf borderId="0" fillId="8" fontId="1" numFmtId="0" xfId="0" applyAlignment="1" applyFill="1" applyFont="1">
      <alignment readingOrder="0"/>
    </xf>
    <xf borderId="0" fillId="8" fontId="4" numFmtId="0" xfId="0" applyAlignment="1" applyFill="1" applyFont="1">
      <alignment readingOrder="0"/>
    </xf>
    <xf borderId="0" fillId="0" fontId="1" numFmtId="0" xfId="0" applyFont="1"/>
    <xf borderId="0" fillId="0" fontId="1" numFmtId="166" xfId="0" applyAlignment="1" applyFont="1" applyNumberFormat="1">
      <alignment horizontal="center" readingOrder="0"/>
    </xf>
    <xf borderId="0" fillId="9" fontId="4" numFmtId="0" xfId="0" applyAlignment="1" applyFill="1" applyFont="1">
      <alignment readingOrder="0"/>
    </xf>
    <xf borderId="0" fillId="9" fontId="1" numFmtId="166" xfId="0" applyAlignment="1" applyFill="1" applyFont="1" applyNumberFormat="1">
      <alignment horizontal="center" readingOrder="0"/>
    </xf>
    <xf borderId="0" fillId="9" fontId="6" numFmtId="166" xfId="0" applyAlignment="1" applyFill="1" applyFont="1" applyNumberFormat="1">
      <alignment horizontal="center" readingOrder="0" shrinkToFit="0" wrapText="0"/>
    </xf>
    <xf borderId="0" fillId="0" fontId="6" numFmtId="0" xfId="0" applyAlignment="1" applyFont="1">
      <alignment horizontal="center" readingOrder="0" shrinkToFit="0" wrapText="0"/>
    </xf>
    <xf borderId="0" fillId="0" fontId="1" numFmtId="9" xfId="0" applyAlignment="1" applyFont="1" applyNumberFormat="1">
      <alignment horizontal="center" readingOrder="0"/>
    </xf>
    <xf borderId="0" fillId="8" fontId="3" numFmtId="164" xfId="0" applyAlignment="1" applyFill="1" applyFont="1" applyNumberFormat="1">
      <alignment horizontal="center" readingOrder="0" shrinkToFit="0" vertical="bottom" wrapText="0"/>
    </xf>
    <xf borderId="0" fillId="8" fontId="1" numFmtId="0" xfId="0" applyAlignment="1" applyFill="1" applyFont="1">
      <alignment horizontal="center" readingOrder="0"/>
    </xf>
    <xf borderId="0" fillId="8" fontId="1" numFmtId="0" xfId="0" applyAlignment="1" applyFill="1" applyFont="1">
      <alignment horizontal="center"/>
    </xf>
    <xf borderId="0" fillId="2" fontId="1" numFmtId="9" xfId="0" applyAlignment="1" applyFill="1" applyFont="1" applyNumberFormat="1">
      <alignment horizontal="center" readingOrder="0"/>
    </xf>
    <xf borderId="0" fillId="7" fontId="1" numFmtId="0" xfId="0" applyAlignment="1" applyFill="1" applyFont="1">
      <alignment readingOrder="0"/>
    </xf>
    <xf borderId="0" fillId="7" fontId="1" numFmtId="9" xfId="0" applyAlignment="1" applyFill="1" applyFont="1" applyNumberFormat="1">
      <alignment horizontal="center" readingOrder="0"/>
    </xf>
    <xf borderId="0" fillId="7" fontId="1" numFmtId="0" xfId="0" applyAlignment="1" applyFill="1" applyFont="1">
      <alignment horizontal="center" readingOrder="0"/>
    </xf>
    <xf borderId="0" fillId="0" fontId="7" numFmtId="0" xfId="0" applyAlignment="1" applyFont="1">
      <alignment readingOrder="0"/>
    </xf>
    <xf borderId="0" fillId="8" fontId="3" numFmtId="164" xfId="0" applyAlignment="1" applyFill="1" applyFont="1" applyNumberFormat="1">
      <alignment horizontal="right" readingOrder="0" shrinkToFit="0" vertical="bottom" wrapText="0"/>
    </xf>
    <xf borderId="0" fillId="8" fontId="3" numFmtId="0" xfId="0" applyAlignment="1" applyFill="1" applyFont="1">
      <alignment horizontal="right" readingOrder="0" shrinkToFit="0" vertical="bottom" wrapText="0"/>
    </xf>
    <xf borderId="0" fillId="0" fontId="8" numFmtId="0" xfId="0" applyAlignment="1" applyFont="1">
      <alignment readingOrder="0" vertical="bottom"/>
    </xf>
    <xf borderId="0" fillId="0" fontId="8" numFmtId="0" xfId="0" applyAlignment="1" applyFont="1">
      <alignment vertical="bottom"/>
    </xf>
    <xf borderId="0" fillId="4" fontId="1" numFmtId="0" xfId="0" applyAlignment="1" applyFill="1" applyFont="1">
      <alignment horizontal="center" readingOrder="0"/>
    </xf>
    <xf borderId="0" fillId="0" fontId="8" numFmtId="0" xfId="0" applyAlignment="1" applyFont="1">
      <alignment vertical="bottom"/>
    </xf>
    <xf borderId="1" fillId="0" fontId="6" numFmtId="10" xfId="0" applyAlignment="1" applyBorder="1" applyFont="1" applyNumberFormat="1">
      <alignment horizontal="center" readingOrder="0" shrinkToFit="0" wrapText="0"/>
    </xf>
    <xf borderId="0" fillId="7" fontId="5" numFmtId="9" xfId="0" applyAlignment="1" applyFill="1" applyFont="1" applyNumberFormat="1">
      <alignment horizontal="center" readingOrder="0" shrinkToFit="0" vertical="bottom" wrapText="0"/>
    </xf>
    <xf borderId="0" fillId="0" fontId="9" numFmtId="0" xfId="0" applyAlignment="1" applyFont="1">
      <alignment horizontal="right" readingOrder="0" shrinkToFit="0" wrapText="0"/>
    </xf>
    <xf borderId="0" fillId="0" fontId="1" numFmtId="2" xfId="0" applyFont="1" applyNumberFormat="1"/>
    <xf borderId="0" fillId="0" fontId="1" numFmtId="167"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4" fontId="1" numFmtId="164" xfId="0" applyAlignment="1" applyFill="1" applyFont="1" applyNumberFormat="1">
      <alignment horizontal="center" readingOrder="0"/>
    </xf>
    <xf borderId="0" fillId="10" fontId="3" numFmtId="0" xfId="0" applyAlignment="1" applyFill="1" applyFont="1">
      <alignment horizontal="center" readingOrder="0" shrinkToFit="0" vertical="bottom" wrapText="0"/>
    </xf>
    <xf borderId="0" fillId="10" fontId="3" numFmtId="164" xfId="0" applyAlignment="1" applyFill="1" applyFont="1" applyNumberFormat="1">
      <alignment horizontal="center" readingOrder="0" shrinkToFit="0" vertical="bottom" wrapText="0"/>
    </xf>
    <xf borderId="0" fillId="0" fontId="1" numFmtId="164" xfId="0" applyFont="1" applyNumberFormat="1"/>
    <xf borderId="0" fillId="0" fontId="5" numFmtId="0" xfId="0" applyAlignment="1" applyFont="1">
      <alignment shrinkToFit="0" vertical="bottom" wrapText="0"/>
    </xf>
    <xf borderId="1" fillId="11" fontId="10" numFmtId="0" xfId="0" applyAlignment="1" applyBorder="1" applyFill="1" applyFont="1">
      <alignment horizontal="center" readingOrder="0" vertical="bottom"/>
    </xf>
    <xf borderId="1" fillId="3" fontId="11" numFmtId="0" xfId="0" applyAlignment="1" applyBorder="1" applyFill="1" applyFont="1">
      <alignment horizontal="right" readingOrder="0"/>
    </xf>
    <xf borderId="2" fillId="0" fontId="11" numFmtId="0" xfId="0" applyAlignment="1" applyBorder="1" applyFont="1">
      <alignment horizontal="center" readingOrder="0"/>
    </xf>
    <xf borderId="2" fillId="12" fontId="11" numFmtId="0" xfId="0" applyAlignment="1" applyBorder="1" applyFill="1" applyFont="1">
      <alignment horizontal="center" readingOrder="0"/>
    </xf>
    <xf borderId="3" fillId="12" fontId="11" numFmtId="0" xfId="0" applyAlignment="1" applyBorder="1" applyFill="1" applyFont="1">
      <alignment horizontal="center" readingOrder="0"/>
    </xf>
    <xf borderId="4" fillId="12" fontId="11" numFmtId="0" xfId="0" applyAlignment="1" applyBorder="1" applyFill="1" applyFont="1">
      <alignment horizontal="center" readingOrder="0"/>
    </xf>
    <xf borderId="0" fillId="0" fontId="12" numFmtId="0" xfId="0" applyAlignment="1" applyFont="1">
      <alignment horizontal="center" shrinkToFit="0" vertical="bottom" wrapText="0"/>
    </xf>
    <xf borderId="0" fillId="0" fontId="13" numFmtId="0" xfId="0" applyAlignment="1" applyFont="1">
      <alignment shrinkToFit="0" vertical="bottom" wrapText="0"/>
    </xf>
    <xf borderId="1" fillId="13" fontId="14" numFmtId="0" xfId="0" applyAlignment="1" applyBorder="1" applyFill="1" applyFont="1">
      <alignment horizontal="right" readingOrder="0"/>
    </xf>
    <xf borderId="5" fillId="13" fontId="11" numFmtId="0" xfId="0" applyAlignment="1" applyBorder="1" applyFill="1" applyFont="1">
      <alignment horizontal="center" readingOrder="0"/>
    </xf>
    <xf borderId="6" fillId="13" fontId="11" numFmtId="0" xfId="0" applyAlignment="1" applyBorder="1" applyFill="1" applyFont="1">
      <alignment horizontal="center" readingOrder="0"/>
    </xf>
    <xf borderId="7" fillId="5" fontId="11" numFmtId="0" xfId="0" applyAlignment="1" applyBorder="1" applyFill="1" applyFont="1">
      <alignment horizontal="center" readingOrder="0"/>
    </xf>
    <xf borderId="0" fillId="0" fontId="12" numFmtId="0" xfId="0" applyAlignment="1" applyFont="1">
      <alignment horizontal="center" readingOrder="0" shrinkToFit="0" vertical="bottom" wrapText="0"/>
    </xf>
    <xf borderId="0" fillId="0" fontId="13" numFmtId="0" xfId="0" applyAlignment="1" applyFont="1">
      <alignment horizontal="left" readingOrder="0" shrinkToFit="0" vertical="bottom" wrapText="0"/>
    </xf>
    <xf borderId="0" fillId="0" fontId="5" numFmtId="0" xfId="0" applyAlignment="1" applyFont="1">
      <alignment readingOrder="0" shrinkToFit="0" vertical="bottom" wrapText="0"/>
    </xf>
    <xf borderId="0" fillId="0" fontId="15" numFmtId="0" xfId="0" applyAlignment="1" applyFont="1">
      <alignment horizontal="center" readingOrder="0" shrinkToFit="0" vertical="bottom" wrapText="0"/>
    </xf>
    <xf borderId="1" fillId="11" fontId="10" numFmtId="0" xfId="0" applyAlignment="1" applyBorder="1" applyFill="1" applyFont="1">
      <alignment horizontal="right" readingOrder="0" vertical="bottom"/>
    </xf>
    <xf borderId="3" fillId="12" fontId="16" numFmtId="0" xfId="0" applyAlignment="1" applyBorder="1" applyFill="1" applyFont="1">
      <alignment horizontal="center" readingOrder="0"/>
    </xf>
    <xf borderId="0" fillId="6" fontId="1" numFmtId="164" xfId="0" applyAlignment="1" applyFill="1" applyFont="1" applyNumberFormat="1">
      <alignment horizontal="center" readingOrder="0"/>
    </xf>
    <xf borderId="0" fillId="5" fontId="5" numFmtId="9" xfId="0" applyAlignment="1" applyFill="1" applyFont="1" applyNumberFormat="1">
      <alignment horizontal="center" readingOrder="0" shrinkToFit="0" vertical="bottom" wrapText="0"/>
    </xf>
    <xf borderId="0" fillId="4" fontId="5" numFmtId="9" xfId="0" applyAlignment="1" applyFill="1" applyFont="1" applyNumberFormat="1">
      <alignment horizontal="center" readingOrder="0" shrinkToFit="0" vertical="bottom" wrapText="0"/>
    </xf>
    <xf borderId="0" fillId="5" fontId="5" numFmtId="10" xfId="0" applyAlignment="1" applyFill="1" applyFont="1" applyNumberFormat="1">
      <alignment horizontal="center" readingOrder="0" shrinkToFit="0" vertical="bottom" wrapText="0"/>
    </xf>
    <xf borderId="0" fillId="5" fontId="5" numFmtId="0" xfId="0" applyAlignment="1" applyFill="1" applyFont="1">
      <alignment horizontal="center" readingOrder="0" shrinkToFit="0" vertical="bottom" wrapText="0"/>
    </xf>
    <xf borderId="8" fillId="12" fontId="11" numFmtId="0" xfId="0" applyAlignment="1" applyBorder="1" applyFill="1" applyFont="1">
      <alignment horizontal="center" readingOrder="0"/>
    </xf>
    <xf borderId="1" fillId="13" fontId="11" numFmtId="0" xfId="0" applyAlignment="1" applyBorder="1" applyFill="1" applyFont="1">
      <alignment horizontal="center" readingOrder="0"/>
    </xf>
    <xf borderId="0" fillId="0" fontId="1" numFmtId="168" xfId="0" applyAlignment="1" applyFont="1" applyNumberFormat="1">
      <alignment horizontal="center" readingOrder="0" shrinkToFit="0" vertical="center" wrapText="1"/>
    </xf>
    <xf borderId="0" fillId="2" fontId="3" numFmtId="0" xfId="0" applyAlignment="1" applyFill="1" applyFont="1">
      <alignment horizontal="center" readingOrder="0" shrinkToFit="0" vertical="bottom" wrapText="0"/>
    </xf>
    <xf borderId="0" fillId="6" fontId="1" numFmtId="165" xfId="0" applyAlignment="1" applyFill="1" applyFont="1" applyNumberFormat="1">
      <alignment horizontal="center" readingOrder="0"/>
    </xf>
    <xf borderId="0" fillId="14" fontId="5" numFmtId="9" xfId="0" applyAlignment="1" applyFill="1" applyFont="1" applyNumberFormat="1">
      <alignment horizontal="center" readingOrder="0" shrinkToFit="0" vertical="bottom" wrapText="0"/>
    </xf>
    <xf borderId="0" fillId="6" fontId="1" numFmtId="0" xfId="0" applyAlignment="1" applyFill="1" applyFont="1">
      <alignment readingOrder="0"/>
    </xf>
    <xf borderId="0" fillId="8" fontId="3" numFmtId="0" xfId="0" applyAlignment="1" applyFill="1" applyFont="1">
      <alignment horizontal="center" readingOrder="0" shrinkToFit="0" vertical="bottom" wrapText="0"/>
    </xf>
    <xf borderId="3" fillId="0" fontId="11" numFmtId="0" xfId="0" applyAlignment="1" applyBorder="1" applyFont="1">
      <alignment horizontal="center" readingOrder="0"/>
    </xf>
    <xf borderId="0" fillId="0" fontId="1" numFmtId="0" xfId="0" applyAlignment="1" applyFont="1">
      <alignment horizontal="left" readingOrder="0"/>
    </xf>
    <xf borderId="0" fillId="10" fontId="1" numFmtId="0" xfId="0" applyAlignment="1" applyFill="1" applyFont="1">
      <alignment readingOrder="0"/>
    </xf>
    <xf borderId="0" fillId="10" fontId="1" numFmtId="0" xfId="0" applyAlignment="1" applyFill="1" applyFont="1">
      <alignment horizontal="center" readingOrder="0"/>
    </xf>
    <xf borderId="0" fillId="10" fontId="1" numFmtId="166" xfId="0" applyAlignment="1" applyFill="1" applyFont="1" applyNumberFormat="1">
      <alignment horizontal="center" readingOrder="0"/>
    </xf>
    <xf borderId="0" fillId="5" fontId="1" numFmtId="166" xfId="0" applyAlignment="1" applyFill="1" applyFont="1" applyNumberFormat="1">
      <alignment horizontal="center" readingOrder="0"/>
    </xf>
    <xf borderId="0" fillId="2" fontId="1" numFmtId="166" xfId="0" applyAlignment="1" applyFill="1" applyFont="1" applyNumberFormat="1">
      <alignment horizontal="center" readingOrder="0"/>
    </xf>
    <xf borderId="0" fillId="15" fontId="1" numFmtId="166" xfId="0" applyAlignment="1" applyFill="1" applyFont="1" applyNumberFormat="1">
      <alignment horizontal="center" readingOrder="0"/>
    </xf>
    <xf borderId="0" fillId="5" fontId="6" numFmtId="0" xfId="0" applyAlignment="1" applyFill="1" applyFont="1">
      <alignment horizontal="center" readingOrder="0" shrinkToFit="0" wrapText="0"/>
    </xf>
    <xf borderId="0" fillId="5" fontId="1" numFmtId="9" xfId="0" applyAlignment="1" applyFill="1" applyFont="1" applyNumberFormat="1">
      <alignment horizontal="center" readingOrder="0"/>
    </xf>
    <xf borderId="0" fillId="10" fontId="17" numFmtId="164" xfId="0" applyAlignment="1" applyFill="1" applyFont="1" applyNumberFormat="1">
      <alignment horizontal="center" readingOrder="0" shrinkToFit="0" vertical="bottom" wrapText="0"/>
    </xf>
    <xf borderId="0" fillId="10" fontId="1" numFmtId="3" xfId="0" applyAlignment="1" applyFill="1" applyFont="1" applyNumberFormat="1">
      <alignment horizontal="center"/>
    </xf>
    <xf borderId="0" fillId="10" fontId="18" numFmtId="166" xfId="0" applyAlignment="1" applyFill="1" applyFont="1" applyNumberFormat="1">
      <alignment horizontal="center" readingOrder="0"/>
    </xf>
    <xf borderId="0" fillId="16" fontId="1" numFmtId="0" xfId="0" applyAlignment="1" applyFill="1" applyFont="1">
      <alignment horizontal="right" readingOrder="0"/>
    </xf>
    <xf borderId="0" fillId="16" fontId="1" numFmtId="0" xfId="0" applyAlignment="1" applyFill="1" applyFont="1">
      <alignment horizontal="center" readingOrder="0"/>
    </xf>
    <xf borderId="0" fillId="4" fontId="1" numFmtId="0" xfId="0" applyFill="1" applyFont="1"/>
    <xf borderId="0" fillId="11" fontId="1" numFmtId="0" xfId="0" applyAlignment="1" applyFill="1" applyFont="1">
      <alignment horizontal="right" readingOrder="0"/>
    </xf>
    <xf borderId="0" fillId="11" fontId="1" numFmtId="0" xfId="0" applyAlignment="1" applyFill="1" applyFont="1">
      <alignment horizontal="center" readingOrder="0"/>
    </xf>
    <xf borderId="0" fillId="5" fontId="1" numFmtId="164" xfId="0" applyAlignment="1" applyFill="1" applyFont="1" applyNumberFormat="1">
      <alignment horizontal="center" readingOrder="0"/>
    </xf>
    <xf borderId="0" fillId="16" fontId="1" numFmtId="164" xfId="0" applyAlignment="1" applyFill="1" applyFont="1" applyNumberFormat="1">
      <alignment horizontal="center" readingOrder="0"/>
    </xf>
    <xf borderId="0" fillId="17" fontId="3" numFmtId="0" xfId="0" applyAlignment="1" applyFill="1" applyFont="1">
      <alignment horizontal="center" readingOrder="0" shrinkToFit="0" vertical="bottom" wrapText="0"/>
    </xf>
    <xf borderId="0" fillId="17" fontId="1" numFmtId="0" xfId="0" applyAlignment="1" applyFill="1" applyFont="1">
      <alignment readingOrder="0"/>
    </xf>
    <xf borderId="0" fillId="18" fontId="3" numFmtId="0" xfId="0" applyAlignment="1" applyFill="1" applyFont="1">
      <alignment horizontal="center" readingOrder="0" shrinkToFit="0" vertical="bottom" wrapText="0"/>
    </xf>
    <xf borderId="0" fillId="5" fontId="3" numFmtId="0" xfId="0" applyAlignment="1" applyFill="1" applyFont="1">
      <alignment horizontal="center" readingOrder="0" shrinkToFit="0" vertical="bottom" wrapText="0"/>
    </xf>
    <xf borderId="0" fillId="5" fontId="3" numFmtId="0" xfId="0" applyAlignment="1" applyFill="1" applyFont="1">
      <alignment horizontal="left" readingOrder="0" shrinkToFit="0" vertical="bottom" wrapText="0"/>
    </xf>
    <xf borderId="0" fillId="5" fontId="3" numFmtId="169" xfId="0" applyAlignment="1" applyFill="1" applyFont="1" applyNumberFormat="1">
      <alignment horizontal="center" readingOrder="0" shrinkToFit="0" vertical="bottom" wrapText="0"/>
    </xf>
    <xf borderId="0" fillId="0" fontId="3" numFmtId="165" xfId="0" applyAlignment="1" applyFont="1" applyNumberFormat="1">
      <alignment horizontal="center" readingOrder="0" shrinkToFit="0" vertical="bottom" wrapText="0"/>
    </xf>
    <xf borderId="0" fillId="0" fontId="19" numFmtId="0" xfId="0" applyAlignment="1" applyFont="1">
      <alignment horizontal="left" readingOrder="0" shrinkToFit="0" vertical="bottom" wrapText="0"/>
    </xf>
    <xf borderId="0" fillId="3" fontId="3" numFmtId="165" xfId="0" applyAlignment="1" applyFill="1" applyFont="1" applyNumberFormat="1">
      <alignment horizontal="center" readingOrder="0" shrinkToFit="0" vertical="bottom" wrapText="0"/>
    </xf>
    <xf borderId="0" fillId="0" fontId="18" numFmtId="0" xfId="0" applyAlignment="1" applyFont="1">
      <alignment readingOrder="0"/>
    </xf>
    <xf borderId="0" fillId="3" fontId="3" numFmtId="169" xfId="0" applyAlignment="1" applyFill="1" applyFont="1" applyNumberFormat="1">
      <alignment horizontal="center" readingOrder="0" shrinkToFit="0" vertical="bottom" wrapText="0"/>
    </xf>
    <xf borderId="0" fillId="0" fontId="20" numFmtId="0" xfId="0" applyAlignment="1" applyFont="1">
      <alignment readingOrder="0"/>
    </xf>
    <xf borderId="0" fillId="0" fontId="20" numFmtId="0" xfId="0" applyFont="1"/>
    <xf borderId="0" fillId="0" fontId="20" numFmtId="169" xfId="0" applyFont="1" applyNumberFormat="1"/>
    <xf borderId="0" fillId="3" fontId="21" numFmtId="0" xfId="0" applyAlignment="1" applyFill="1" applyFont="1">
      <alignment readingOrder="0"/>
    </xf>
    <xf borderId="0" fillId="3" fontId="22" numFmtId="0" xfId="0" applyAlignment="1" applyFill="1" applyFont="1">
      <alignment horizontal="center" readingOrder="0" shrinkToFit="0" vertical="bottom" wrapText="0"/>
    </xf>
    <xf borderId="0" fillId="3" fontId="21" numFmtId="0" xfId="0" applyFill="1" applyFont="1"/>
    <xf borderId="6" fillId="13" fontId="11" numFmtId="2" xfId="0" applyAlignment="1" applyBorder="1" applyFill="1" applyFont="1" applyNumberFormat="1">
      <alignment horizontal="center" readingOrder="0"/>
    </xf>
    <xf borderId="0" fillId="0" fontId="1" numFmtId="0" xfId="0" applyAlignment="1" applyFont="1">
      <alignment readingOrder="0" shrinkToFit="0" wrapText="1"/>
    </xf>
    <xf borderId="0" fillId="0" fontId="1" numFmtId="0" xfId="0" applyAlignment="1" applyFont="1">
      <alignment horizontal="center" readingOrder="0" shrinkToFit="0" wrapText="1"/>
    </xf>
    <xf borderId="0" fillId="0" fontId="4" numFmtId="0" xfId="0" applyAlignment="1" applyFont="1">
      <alignment horizontal="center" readingOrder="0" shrinkToFit="0" wrapText="1"/>
    </xf>
    <xf borderId="9" fillId="19" fontId="23" numFmtId="0" xfId="0" applyAlignment="1" applyBorder="1" applyFill="1" applyFont="1">
      <alignment horizontal="center" readingOrder="0" shrinkToFit="0" vertical="bottom" wrapText="0"/>
    </xf>
    <xf borderId="0" fillId="19" fontId="23" numFmtId="0" xfId="0" applyAlignment="1" applyFill="1" applyFont="1">
      <alignment horizontal="center" readingOrder="0" shrinkToFit="0" vertical="bottom" wrapText="0"/>
    </xf>
    <xf borderId="9" fillId="0" fontId="23" numFmtId="9" xfId="0" applyAlignment="1" applyBorder="1" applyFont="1" applyNumberFormat="1">
      <alignment horizontal="center" readingOrder="0" shrinkToFit="0" vertical="bottom" wrapText="0"/>
    </xf>
    <xf borderId="0" fillId="0" fontId="23" numFmtId="9" xfId="0" applyAlignment="1" applyFont="1" applyNumberFormat="1">
      <alignment horizontal="center" readingOrder="0" shrinkToFit="0" vertical="bottom" wrapText="0"/>
    </xf>
    <xf borderId="10" fillId="0" fontId="23" numFmtId="9" xfId="0" applyAlignment="1" applyBorder="1" applyFont="1" applyNumberFormat="1">
      <alignment horizontal="center" readingOrder="0" shrinkToFit="0" vertical="bottom" wrapText="0"/>
    </xf>
    <xf borderId="0" fillId="0" fontId="5" numFmtId="170" xfId="0" applyAlignment="1" applyFont="1" applyNumberFormat="1">
      <alignment horizontal="right" readingOrder="0" shrinkToFit="0" vertical="bottom" wrapText="0"/>
    </xf>
    <xf borderId="0" fillId="0" fontId="5" numFmtId="0" xfId="0" applyAlignment="1" applyFont="1">
      <alignment horizontal="right" readingOrder="0" shrinkToFit="0" vertical="bottom" wrapText="0"/>
    </xf>
    <xf borderId="0" fillId="20" fontId="23" numFmtId="9" xfId="0" applyAlignment="1" applyFill="1" applyFont="1" applyNumberFormat="1">
      <alignment horizontal="center" readingOrder="0" shrinkToFit="0" vertical="bottom" wrapText="0"/>
    </xf>
    <xf borderId="9" fillId="20" fontId="23" numFmtId="9" xfId="0" applyAlignment="1" applyBorder="1" applyFill="1" applyFont="1" applyNumberFormat="1">
      <alignment horizontal="center" readingOrder="0" shrinkToFit="0" vertical="bottom" wrapText="0"/>
    </xf>
    <xf borderId="10" fillId="20" fontId="23" numFmtId="9" xfId="0" applyAlignment="1" applyBorder="1" applyFill="1" applyFont="1" applyNumberFormat="1">
      <alignment horizontal="center" readingOrder="0" shrinkToFit="0" vertical="bottom" wrapText="0"/>
    </xf>
    <xf borderId="9" fillId="19" fontId="24" numFmtId="0" xfId="0" applyAlignment="1" applyBorder="1" applyFill="1" applyFont="1">
      <alignment horizontal="center" readingOrder="0" shrinkToFit="0" vertical="bottom" wrapText="0"/>
    </xf>
    <xf borderId="0" fillId="19" fontId="24" numFmtId="0" xfId="0" applyAlignment="1" applyFill="1" applyFont="1">
      <alignment horizontal="center" readingOrder="0" shrinkToFit="0" vertical="bottom" wrapText="0"/>
    </xf>
    <xf borderId="9" fillId="20" fontId="24" numFmtId="9" xfId="0" applyAlignment="1" applyBorder="1" applyFill="1" applyFont="1" applyNumberFormat="1">
      <alignment horizontal="center" readingOrder="0" shrinkToFit="0" vertical="bottom" wrapText="0"/>
    </xf>
    <xf borderId="0" fillId="20" fontId="24" numFmtId="9" xfId="0" applyAlignment="1" applyFill="1" applyFont="1" applyNumberFormat="1">
      <alignment horizontal="center" readingOrder="0" shrinkToFit="0" vertical="bottom" wrapText="0"/>
    </xf>
    <xf borderId="10" fillId="20" fontId="24" numFmtId="9" xfId="0" applyAlignment="1" applyBorder="1" applyFill="1" applyFont="1" applyNumberFormat="1">
      <alignment horizontal="center" readingOrder="0" shrinkToFit="0" vertical="bottom" wrapText="0"/>
    </xf>
    <xf borderId="0" fillId="0" fontId="25" numFmtId="170" xfId="0" applyAlignment="1" applyFont="1" applyNumberFormat="1">
      <alignment horizontal="right" readingOrder="0" shrinkToFit="0" vertical="bottom" wrapText="0"/>
    </xf>
    <xf borderId="0" fillId="10" fontId="25" numFmtId="10" xfId="0" applyAlignment="1" applyFill="1" applyFont="1" applyNumberFormat="1">
      <alignment horizontal="center" readingOrder="0" shrinkToFit="0" vertical="bottom" wrapText="0"/>
    </xf>
    <xf borderId="0" fillId="0" fontId="1" numFmtId="10" xfId="0" applyAlignment="1" applyFont="1" applyNumberFormat="1">
      <alignment horizontal="center" readingOrder="0"/>
    </xf>
    <xf borderId="0" fillId="0" fontId="1" numFmtId="10" xfId="0" applyAlignment="1" applyFont="1" applyNumberFormat="1">
      <alignment horizontal="center"/>
    </xf>
    <xf borderId="0" fillId="10" fontId="5" numFmtId="10" xfId="0" applyAlignment="1" applyFill="1" applyFont="1" applyNumberFormat="1">
      <alignment horizontal="center" readingOrder="0" shrinkToFit="0" vertical="bottom" wrapText="0"/>
    </xf>
    <xf borderId="11" fillId="19" fontId="24" numFmtId="0" xfId="0" applyAlignment="1" applyBorder="1" applyFill="1" applyFont="1">
      <alignment horizontal="center" readingOrder="0" shrinkToFit="0" vertical="bottom" wrapText="0"/>
    </xf>
    <xf borderId="12" fillId="19" fontId="24" numFmtId="0" xfId="0" applyAlignment="1" applyBorder="1" applyFill="1" applyFont="1">
      <alignment horizontal="center" readingOrder="0" shrinkToFit="0" vertical="bottom" wrapText="0"/>
    </xf>
    <xf borderId="11" fillId="20" fontId="24" numFmtId="9" xfId="0" applyAlignment="1" applyBorder="1" applyFill="1" applyFont="1" applyNumberFormat="1">
      <alignment horizontal="center" readingOrder="0" shrinkToFit="0" vertical="bottom" wrapText="0"/>
    </xf>
    <xf borderId="12" fillId="20" fontId="24" numFmtId="9" xfId="0" applyAlignment="1" applyBorder="1" applyFill="1" applyFont="1" applyNumberFormat="1">
      <alignment horizontal="center" readingOrder="0" shrinkToFit="0" vertical="bottom" wrapText="0"/>
    </xf>
    <xf borderId="7" fillId="20" fontId="24" numFmtId="9" xfId="0" applyAlignment="1" applyBorder="1" applyFill="1" applyFont="1" applyNumberFormat="1">
      <alignment horizontal="center" readingOrder="0" shrinkToFit="0" vertical="bottom" wrapText="0"/>
    </xf>
    <xf borderId="0" fillId="0" fontId="1" numFmtId="0" xfId="0" applyAlignment="1" applyFont="1">
      <alignment readingOrder="0"/>
    </xf>
    <xf borderId="0" fillId="8" fontId="3" numFmtId="2" xfId="0" applyAlignment="1" applyFill="1" applyFont="1" applyNumberFormat="1">
      <alignment horizontal="center" readingOrder="0" shrinkToFit="0" vertical="bottom" wrapText="0"/>
    </xf>
    <xf borderId="0" fillId="4" fontId="1" numFmtId="165" xfId="0" applyAlignment="1" applyFill="1" applyFont="1" applyNumberFormat="1">
      <alignment horizontal="center" readingOrder="0"/>
    </xf>
    <xf borderId="0" fillId="4" fontId="3" numFmtId="0" xfId="0" applyAlignment="1" applyFill="1" applyFont="1">
      <alignment horizontal="center" readingOrder="0" shrinkToFit="0" vertical="bottom" wrapText="0"/>
    </xf>
    <xf borderId="0" fillId="21" fontId="3" numFmtId="0" xfId="0" applyAlignment="1" applyFill="1" applyFont="1">
      <alignment horizontal="center" readingOrder="0" shrinkToFit="0" vertical="bottom" wrapText="0"/>
    </xf>
    <xf borderId="0" fillId="8" fontId="3" numFmtId="0" xfId="0" applyAlignment="1" applyFill="1" applyFont="1">
      <alignment horizontal="left" readingOrder="0" shrinkToFit="0" vertical="bottom" wrapText="0"/>
    </xf>
    <xf borderId="8" fillId="0" fontId="11" numFmtId="0" xfId="0" applyAlignment="1" applyBorder="1" applyFont="1">
      <alignment horizontal="center" readingOrder="0"/>
    </xf>
    <xf borderId="7" fillId="5" fontId="11" numFmtId="2" xfId="0" applyAlignment="1" applyBorder="1" applyFill="1" applyFont="1" applyNumberFormat="1">
      <alignment horizontal="center" readingOrder="0"/>
    </xf>
    <xf quotePrefix="1" borderId="0" fillId="0" fontId="1" numFmtId="0" xfId="0" applyAlignment="1" applyFont="1">
      <alignment readingOrder="0"/>
    </xf>
    <xf borderId="0" fillId="17" fontId="1" numFmtId="0" xfId="0" applyFill="1" applyFont="1"/>
    <xf borderId="0" fillId="17" fontId="1" numFmtId="165" xfId="0" applyAlignment="1" applyFill="1" applyFont="1" applyNumberFormat="1">
      <alignment horizontal="center" readingOrder="0"/>
    </xf>
    <xf borderId="0" fillId="17" fontId="1" numFmtId="0" xfId="0" applyAlignment="1" applyFill="1" applyFont="1">
      <alignment horizontal="center" readingOrder="0"/>
    </xf>
    <xf borderId="0" fillId="2" fontId="1" numFmtId="165" xfId="0" applyAlignment="1" applyFill="1" applyFont="1" applyNumberFormat="1">
      <alignment horizontal="center" readingOrder="0"/>
    </xf>
    <xf borderId="0" fillId="0" fontId="26" numFmtId="0" xfId="0" applyAlignment="1" applyFont="1">
      <alignment horizontal="center" readingOrder="0" shrinkToFit="0" vertical="bottom" wrapText="0"/>
    </xf>
    <xf borderId="1" fillId="3" fontId="5" numFmtId="0" xfId="0" applyAlignment="1" applyBorder="1" applyFill="1" applyFont="1">
      <alignment readingOrder="0" vertical="top"/>
    </xf>
    <xf borderId="13" fillId="3" fontId="5" numFmtId="0" xfId="0" applyAlignment="1" applyBorder="1" applyFill="1" applyFont="1">
      <alignment readingOrder="0" vertical="bottom"/>
    </xf>
    <xf borderId="14" fillId="3" fontId="5" numFmtId="0" xfId="0" applyAlignment="1" applyBorder="1" applyFill="1" applyFont="1">
      <alignment readingOrder="0"/>
    </xf>
    <xf borderId="7" fillId="3" fontId="5" numFmtId="0" xfId="0" applyAlignment="1" applyBorder="1" applyFill="1" applyFont="1">
      <alignment horizontal="center" readingOrder="0" vertical="bottom"/>
    </xf>
    <xf borderId="0" fillId="2" fontId="3" numFmtId="0" xfId="0" applyAlignment="1" applyFill="1" applyFont="1">
      <alignment horizontal="left" readingOrder="0" shrinkToFit="0" vertical="bottom" wrapText="0"/>
    </xf>
    <xf borderId="4" fillId="0" fontId="11" numFmtId="0" xfId="0" applyAlignment="1" applyBorder="1" applyFont="1">
      <alignment horizontal="center" readingOrder="0"/>
    </xf>
    <xf borderId="7" fillId="13" fontId="11" numFmtId="2" xfId="0" applyAlignment="1" applyBorder="1" applyFill="1" applyFont="1" applyNumberFormat="1">
      <alignment horizontal="center" readingOrder="0"/>
    </xf>
    <xf borderId="0" fillId="0" fontId="4" numFmtId="0" xfId="0" applyFont="1"/>
    <xf borderId="0" fillId="0" fontId="27" numFmtId="0" xfId="0" applyAlignment="1" applyFont="1">
      <alignment readingOrder="0"/>
    </xf>
    <xf borderId="0" fillId="0" fontId="28" numFmtId="0" xfId="0" applyAlignment="1" applyFont="1">
      <alignment horizontal="center" readingOrder="0" shrinkToFit="0" vertical="bottom" wrapText="0"/>
    </xf>
    <xf borderId="0" fillId="0" fontId="29" numFmtId="0" xfId="0" applyAlignment="1" applyFont="1">
      <alignment readingOrder="0"/>
    </xf>
    <xf borderId="0" fillId="14" fontId="1" numFmtId="0" xfId="0" applyAlignment="1" applyFill="1" applyFont="1">
      <alignment readingOrder="0"/>
    </xf>
    <xf borderId="0" fillId="14" fontId="1" numFmtId="0" xfId="0" applyAlignment="1" applyFill="1" applyFont="1">
      <alignment horizontal="center" readingOrder="0"/>
    </xf>
    <xf borderId="0" fillId="4" fontId="1" numFmtId="0" xfId="0" applyAlignment="1" applyFill="1" applyFont="1">
      <alignment readingOrder="0"/>
    </xf>
    <xf borderId="0" fillId="5" fontId="1" numFmtId="0" xfId="0" applyAlignment="1" applyFill="1" applyFont="1">
      <alignment horizontal="center"/>
    </xf>
    <xf borderId="0" fillId="10" fontId="3" numFmtId="0" xfId="0" applyAlignment="1" applyFill="1" applyFont="1">
      <alignment horizontal="center" readingOrder="0" shrinkToFit="0" vertical="bottom" wrapText="0"/>
    </xf>
    <xf borderId="0" fillId="0" fontId="1" numFmtId="164" xfId="0" applyAlignment="1" applyFont="1" applyNumberFormat="1">
      <alignment readingOrder="0"/>
    </xf>
    <xf borderId="0" fillId="3" fontId="1" numFmtId="164" xfId="0" applyAlignment="1" applyFill="1" applyFont="1" applyNumberFormat="1">
      <alignment readingOrder="0"/>
    </xf>
    <xf borderId="0" fillId="10" fontId="9" numFmtId="0" xfId="0" applyAlignment="1" applyFill="1" applyFont="1">
      <alignment horizontal="right" readingOrder="0" shrinkToFit="0" vertical="bottom" wrapText="0"/>
    </xf>
    <xf borderId="0" fillId="2" fontId="1" numFmtId="171" xfId="0" applyAlignment="1" applyFill="1" applyFont="1" applyNumberFormat="1">
      <alignment horizontal="center" readingOrder="0"/>
    </xf>
    <xf borderId="0" fillId="2" fontId="26" numFmtId="0" xfId="0" applyAlignment="1" applyFill="1" applyFont="1">
      <alignment horizontal="center" readingOrder="0" shrinkToFit="0" vertical="bottom" wrapText="0"/>
    </xf>
    <xf borderId="0" fillId="20" fontId="30" numFmtId="10" xfId="0" applyAlignment="1" applyFill="1" applyFont="1" applyNumberFormat="1">
      <alignment horizontal="right" readingOrder="0" shrinkToFit="0" vertical="bottom" wrapText="0"/>
    </xf>
    <xf borderId="0" fillId="0" fontId="30" numFmtId="10" xfId="0" applyAlignment="1" applyFont="1" applyNumberFormat="1">
      <alignment horizontal="right" readingOrder="0" shrinkToFit="0" vertical="bottom" wrapText="0"/>
    </xf>
    <xf borderId="0" fillId="0" fontId="5" numFmtId="10" xfId="0" applyAlignment="1" applyFont="1" applyNumberFormat="1">
      <alignment shrinkToFit="0" vertical="bottom" wrapText="0"/>
    </xf>
    <xf borderId="0" fillId="2" fontId="1" numFmtId="0" xfId="0" applyAlignment="1" applyFill="1" applyFont="1">
      <alignment horizontal="center"/>
    </xf>
    <xf borderId="0" fillId="5" fontId="26" numFmtId="0" xfId="0" applyAlignment="1" applyFill="1" applyFont="1">
      <alignment horizontal="center" readingOrder="0" shrinkToFit="0" vertical="bottom" wrapText="0"/>
    </xf>
    <xf borderId="0" fillId="5" fontId="1" numFmtId="171" xfId="0" applyAlignment="1" applyFill="1" applyFont="1" applyNumberFormat="1">
      <alignment horizontal="center" readingOrder="0"/>
    </xf>
    <xf borderId="0" fillId="0" fontId="31" numFmtId="0" xfId="0" applyAlignment="1" applyFont="1">
      <alignment readingOrder="0"/>
    </xf>
    <xf borderId="0" fillId="16" fontId="1" numFmtId="0" xfId="0" applyAlignment="1" applyFill="1" applyFont="1">
      <alignment horizontal="center"/>
    </xf>
    <xf borderId="0" fillId="16" fontId="1" numFmtId="171" xfId="0" applyAlignment="1" applyFill="1" applyFont="1" applyNumberFormat="1">
      <alignment horizontal="center" readingOrder="0"/>
    </xf>
    <xf borderId="0" fillId="2" fontId="1" numFmtId="1" xfId="0" applyAlignment="1" applyFill="1" applyFont="1" applyNumberFormat="1">
      <alignment horizontal="center" readingOrder="0"/>
    </xf>
    <xf borderId="0" fillId="2" fontId="1" numFmtId="164" xfId="0" applyAlignment="1" applyFill="1" applyFont="1" applyNumberFormat="1">
      <alignment horizontal="center" readingOrder="0"/>
    </xf>
    <xf borderId="0" fillId="0" fontId="8" numFmtId="0" xfId="0" applyAlignment="1" applyFont="1">
      <alignment horizontal="right" readingOrder="0" vertical="bottom"/>
    </xf>
    <xf borderId="0" fillId="2" fontId="1" numFmtId="2" xfId="0" applyAlignment="1" applyFill="1" applyFont="1" applyNumberFormat="1">
      <alignment horizontal="center" readingOrder="0"/>
    </xf>
    <xf borderId="0" fillId="0" fontId="1" numFmtId="166" xfId="0" applyAlignment="1" applyFont="1" applyNumberFormat="1">
      <alignment horizontal="center"/>
    </xf>
    <xf borderId="0" fillId="0" fontId="32" numFmtId="0" xfId="0" applyAlignment="1" applyFont="1">
      <alignment readingOrder="0"/>
    </xf>
    <xf borderId="0" fillId="5" fontId="1" numFmtId="2" xfId="0" applyAlignment="1" applyFill="1" applyFont="1" applyNumberFormat="1">
      <alignment horizontal="center" readingOrder="0"/>
    </xf>
    <xf borderId="0" fillId="0" fontId="1" numFmtId="9" xfId="0" applyAlignment="1" applyFont="1" applyNumberFormat="1">
      <alignment readingOrder="0"/>
    </xf>
    <xf borderId="0" fillId="0" fontId="1" numFmtId="10" xfId="0" applyAlignment="1" applyFont="1" applyNumberFormat="1">
      <alignment readingOrder="0"/>
    </xf>
    <xf borderId="0" fillId="5" fontId="1" numFmtId="1" xfId="0" applyAlignment="1" applyFill="1" applyFont="1" applyNumberFormat="1">
      <alignment horizontal="center" readingOrder="0"/>
    </xf>
    <xf borderId="0" fillId="0" fontId="1" numFmtId="0" xfId="0" applyAlignment="1" applyFont="1">
      <alignment horizontal="right" readingOrder="0"/>
    </xf>
    <xf borderId="0" fillId="11" fontId="5" numFmtId="0" xfId="0" applyAlignment="1" applyFill="1" applyFont="1">
      <alignment readingOrder="0" vertical="bottom"/>
    </xf>
    <xf borderId="0" fillId="0" fontId="5" numFmtId="0" xfId="0" applyAlignment="1" applyFont="1">
      <alignment readingOrder="0" shrinkToFit="0" vertical="bottom" wrapText="1"/>
    </xf>
    <xf borderId="0" fillId="3" fontId="33" numFmtId="0" xfId="0" applyAlignment="1" applyFill="1" applyFont="1">
      <alignment readingOrder="0"/>
    </xf>
    <xf borderId="0" fillId="3" fontId="34" numFmtId="0" xfId="0" applyAlignment="1" applyFill="1" applyFont="1">
      <alignment readingOrder="0" shrinkToFit="0" wrapText="0"/>
    </xf>
    <xf borderId="0" fillId="22" fontId="1" numFmtId="1" xfId="0" applyAlignment="1" applyFill="1" applyFont="1" applyNumberFormat="1">
      <alignment horizontal="center" readingOrder="0"/>
    </xf>
    <xf borderId="0" fillId="3" fontId="2" numFmtId="0" xfId="0" applyAlignment="1" applyFill="1" applyFont="1">
      <alignment horizontal="center" readingOrder="0"/>
    </xf>
    <xf borderId="0" fillId="0" fontId="8" numFmtId="0" xfId="0" applyAlignment="1" applyFont="1">
      <alignment horizontal="center" readingOrder="0" vertical="bottom"/>
    </xf>
    <xf borderId="0" fillId="22" fontId="1" numFmtId="164" xfId="0" applyAlignment="1" applyFill="1" applyFont="1" applyNumberFormat="1">
      <alignment horizontal="center" readingOrder="0"/>
    </xf>
    <xf borderId="0" fillId="16" fontId="1" numFmtId="2" xfId="0" applyAlignment="1" applyFill="1" applyFont="1" applyNumberFormat="1">
      <alignment horizontal="center" readingOrder="0"/>
    </xf>
    <xf borderId="12" fillId="0" fontId="1" numFmtId="0" xfId="0" applyBorder="1" applyFont="1"/>
    <xf borderId="12" fillId="0" fontId="1" numFmtId="0" xfId="0" applyAlignment="1" applyBorder="1" applyFont="1">
      <alignment horizontal="center"/>
    </xf>
    <xf borderId="0" fillId="23" fontId="4" numFmtId="0" xfId="0" applyAlignment="1" applyFill="1" applyFont="1">
      <alignment readingOrder="0"/>
    </xf>
    <xf borderId="0" fillId="2" fontId="2" numFmtId="0" xfId="0" applyAlignment="1" applyFill="1" applyFont="1">
      <alignment horizontal="center" readingOrder="0"/>
    </xf>
    <xf borderId="0" fillId="2" fontId="8" numFmtId="0" xfId="0" applyAlignment="1" applyFill="1" applyFont="1">
      <alignment horizontal="center" readingOrder="0" vertical="bottom"/>
    </xf>
    <xf borderId="0" fillId="4" fontId="8" numFmtId="0" xfId="0" applyAlignment="1" applyFill="1" applyFont="1">
      <alignment horizontal="center" readingOrder="0" vertical="bottom"/>
    </xf>
    <xf borderId="12" fillId="0" fontId="4" numFmtId="164" xfId="0" applyAlignment="1" applyBorder="1" applyFont="1" applyNumberFormat="1">
      <alignment horizontal="center"/>
    </xf>
    <xf borderId="12" fillId="0" fontId="4" numFmtId="0" xfId="0" applyAlignment="1" applyBorder="1" applyFont="1">
      <alignment horizontal="center"/>
    </xf>
    <xf borderId="0" fillId="5" fontId="8" numFmtId="0" xfId="0" applyAlignment="1" applyFill="1" applyFont="1">
      <alignment horizontal="center" readingOrder="0" vertical="bottom"/>
    </xf>
    <xf borderId="0" fillId="0" fontId="4" numFmtId="0" xfId="0" applyAlignment="1" applyFont="1">
      <alignment horizontal="center"/>
    </xf>
    <xf borderId="0" fillId="2" fontId="2" numFmtId="164" xfId="0" applyAlignment="1" applyFill="1" applyFont="1" applyNumberFormat="1">
      <alignment horizontal="center" readingOrder="0"/>
    </xf>
    <xf borderId="0" fillId="16" fontId="1" numFmtId="1" xfId="0" applyAlignment="1" applyFill="1" applyFont="1" applyNumberFormat="1">
      <alignment horizontal="center" readingOrder="0"/>
    </xf>
    <xf borderId="0" fillId="17" fontId="1" numFmtId="1" xfId="0" applyAlignment="1" applyFill="1" applyFont="1" applyNumberFormat="1">
      <alignment horizontal="center" readingOrder="0"/>
    </xf>
    <xf borderId="0" fillId="2" fontId="2" numFmtId="2" xfId="0" applyAlignment="1" applyFill="1" applyFont="1" applyNumberFormat="1">
      <alignment horizontal="center" readingOrder="0"/>
    </xf>
    <xf borderId="0" fillId="20" fontId="1" numFmtId="0" xfId="0" applyAlignment="1" applyFill="1" applyFont="1">
      <alignment horizontal="center" readingOrder="0"/>
    </xf>
    <xf borderId="0" fillId="20" fontId="1" numFmtId="164" xfId="0" applyAlignment="1" applyFill="1" applyFont="1" applyNumberFormat="1">
      <alignment horizontal="center" readingOrder="0"/>
    </xf>
    <xf borderId="0" fillId="0" fontId="1" numFmtId="1" xfId="0" applyAlignment="1" applyFont="1" applyNumberFormat="1">
      <alignment horizontal="center"/>
    </xf>
    <xf borderId="0" fillId="0" fontId="1" numFmtId="0" xfId="0" applyAlignment="1" applyFont="1">
      <alignment readingOrder="0" vertical="center"/>
    </xf>
    <xf borderId="0" fillId="16" fontId="1" numFmtId="1" xfId="0" applyAlignment="1" applyFill="1" applyFont="1" applyNumberFormat="1">
      <alignment horizontal="center" readingOrder="0" vertical="center"/>
    </xf>
    <xf borderId="0" fillId="5" fontId="1" numFmtId="0" xfId="0" applyAlignment="1" applyFill="1" applyFont="1">
      <alignment horizontal="center" readingOrder="0" vertical="center"/>
    </xf>
    <xf borderId="0" fillId="22" fontId="1" numFmtId="1" xfId="0" applyAlignment="1" applyFill="1" applyFont="1" applyNumberFormat="1">
      <alignment horizontal="center" readingOrder="0" vertical="center"/>
    </xf>
    <xf borderId="0" fillId="0" fontId="1" numFmtId="0" xfId="0" applyAlignment="1" applyFont="1">
      <alignment horizontal="center" vertical="center"/>
    </xf>
    <xf borderId="0" fillId="5" fontId="2" numFmtId="0" xfId="0" applyAlignment="1" applyFill="1" applyFont="1">
      <alignment horizontal="center" readingOrder="0" vertical="center"/>
    </xf>
    <xf borderId="0" fillId="5" fontId="8" numFmtId="0" xfId="0" applyAlignment="1" applyFill="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17" fontId="1" numFmtId="1" xfId="0" applyAlignment="1" applyFill="1" applyFont="1" applyNumberFormat="1">
      <alignment horizontal="center" readingOrder="0" vertical="center"/>
    </xf>
    <xf borderId="0" fillId="17" fontId="1" numFmtId="0" xfId="0" applyAlignment="1" applyFill="1" applyFont="1">
      <alignment horizontal="center" readingOrder="0" vertical="center"/>
    </xf>
    <xf borderId="0" fillId="16" fontId="1" numFmtId="164" xfId="0" applyAlignment="1" applyFill="1" applyFont="1" applyNumberFormat="1">
      <alignment horizontal="center" readingOrder="0" vertical="center"/>
    </xf>
    <xf borderId="0" fillId="5" fontId="1" numFmtId="164" xfId="0" applyAlignment="1" applyFill="1" applyFont="1" applyNumberFormat="1">
      <alignment horizontal="center" readingOrder="0" vertical="center"/>
    </xf>
    <xf borderId="0" fillId="22" fontId="1" numFmtId="164" xfId="0" applyAlignment="1" applyFill="1" applyFont="1" applyNumberFormat="1">
      <alignment horizontal="center" readingOrder="0" vertical="center"/>
    </xf>
    <xf borderId="0" fillId="5" fontId="2" numFmtId="164" xfId="0" applyAlignment="1" applyFill="1" applyFont="1" applyNumberFormat="1">
      <alignment horizontal="center" readingOrder="0" vertical="center"/>
    </xf>
    <xf borderId="0" fillId="16" fontId="1" numFmtId="2" xfId="0" applyAlignment="1" applyFill="1" applyFont="1" applyNumberFormat="1">
      <alignment horizontal="center" readingOrder="0" vertical="center"/>
    </xf>
    <xf borderId="0" fillId="5" fontId="1" numFmtId="2" xfId="0" applyAlignment="1" applyFill="1" applyFont="1" applyNumberFormat="1">
      <alignment horizontal="center" readingOrder="0" vertical="center"/>
    </xf>
    <xf borderId="0" fillId="5" fontId="2" numFmtId="2" xfId="0" applyAlignment="1" applyFill="1" applyFont="1" applyNumberFormat="1">
      <alignment horizontal="center" readingOrder="0" vertical="center"/>
    </xf>
    <xf borderId="0" fillId="16" fontId="1" numFmtId="0" xfId="0" applyAlignment="1" applyFill="1" applyFont="1">
      <alignment horizontal="center" readingOrder="0" vertical="center"/>
    </xf>
    <xf borderId="0" fillId="2" fontId="1" numFmtId="0" xfId="0" applyAlignment="1" applyFill="1" applyFont="1">
      <alignment horizontal="center" readingOrder="0" vertical="center"/>
    </xf>
    <xf borderId="0" fillId="2" fontId="2" numFmtId="0" xfId="0" applyAlignment="1" applyFill="1" applyFont="1">
      <alignment horizontal="center" readingOrder="0" vertical="center"/>
    </xf>
    <xf borderId="0" fillId="2" fontId="8" numFmtId="0" xfId="0" applyAlignment="1" applyFill="1" applyFont="1">
      <alignment horizontal="center" readingOrder="0" vertical="center"/>
    </xf>
    <xf borderId="0" fillId="2" fontId="1" numFmtId="164" xfId="0" applyAlignment="1" applyFill="1" applyFont="1" applyNumberFormat="1">
      <alignment horizontal="center" readingOrder="0" vertical="center"/>
    </xf>
    <xf borderId="0" fillId="2" fontId="2" numFmtId="164" xfId="0" applyAlignment="1" applyFill="1" applyFont="1" applyNumberFormat="1">
      <alignment horizontal="center" readingOrder="0" vertical="center"/>
    </xf>
    <xf borderId="0" fillId="2" fontId="1" numFmtId="2" xfId="0" applyAlignment="1" applyFill="1" applyFont="1" applyNumberFormat="1">
      <alignment horizontal="center" readingOrder="0" vertical="center"/>
    </xf>
    <xf borderId="0" fillId="2" fontId="2" numFmtId="2" xfId="0" applyAlignment="1" applyFill="1" applyFont="1" applyNumberFormat="1">
      <alignment horizontal="center" readingOrder="0" vertical="center"/>
    </xf>
    <xf borderId="0" fillId="17" fontId="1" numFmtId="2" xfId="0" applyAlignment="1" applyFill="1" applyFont="1" applyNumberFormat="1">
      <alignment horizontal="center" readingOrder="0" vertical="center"/>
    </xf>
    <xf borderId="15" fillId="24" fontId="35" numFmtId="0" xfId="0" applyAlignment="1" applyBorder="1" applyFill="1" applyFont="1">
      <alignment horizontal="center" readingOrder="0"/>
    </xf>
    <xf borderId="16" fillId="0" fontId="35" numFmtId="0" xfId="0" applyAlignment="1" applyBorder="1" applyFont="1">
      <alignment horizontal="center" readingOrder="0"/>
    </xf>
    <xf borderId="16" fillId="24" fontId="35" numFmtId="0" xfId="0" applyAlignment="1" applyBorder="1" applyFill="1" applyFont="1">
      <alignment horizontal="center" readingOrder="0"/>
    </xf>
    <xf borderId="16" fillId="0" fontId="25" numFmtId="0" xfId="0" applyAlignment="1" applyBorder="1" applyFont="1">
      <alignment horizontal="center" readingOrder="0"/>
    </xf>
    <xf borderId="17" fillId="25" fontId="2" numFmtId="0" xfId="0" applyAlignment="1" applyBorder="1" applyFill="1" applyFont="1">
      <alignment horizontal="center" readingOrder="0"/>
    </xf>
    <xf borderId="18" fillId="25" fontId="2" numFmtId="0" xfId="0" applyAlignment="1" applyBorder="1" applyFill="1" applyFont="1">
      <alignment horizontal="center" readingOrder="0"/>
    </xf>
    <xf borderId="18" fillId="26" fontId="35" numFmtId="0" xfId="0" applyAlignment="1" applyBorder="1" applyFill="1" applyFont="1">
      <alignment horizontal="center" readingOrder="0"/>
    </xf>
    <xf borderId="15" fillId="5" fontId="2" numFmtId="0" xfId="0" applyAlignment="1" applyBorder="1" applyFill="1" applyFont="1">
      <alignment horizontal="center" readingOrder="0"/>
    </xf>
    <xf borderId="16" fillId="5" fontId="2" numFmtId="0" xfId="0" applyAlignment="1" applyBorder="1" applyFill="1" applyFont="1">
      <alignment horizontal="center" readingOrder="0"/>
    </xf>
    <xf borderId="16" fillId="26" fontId="35" numFmtId="0" xfId="0" applyAlignment="1" applyBorder="1" applyFill="1" applyFont="1">
      <alignment horizontal="center" readingOrder="0"/>
    </xf>
    <xf borderId="0" fillId="17" fontId="1" numFmtId="164" xfId="0" applyAlignment="1" applyFill="1" applyFont="1" applyNumberFormat="1">
      <alignment horizontal="center" readingOrder="0" vertical="center"/>
    </xf>
    <xf borderId="0" fillId="0" fontId="4" numFmtId="164" xfId="0" applyAlignment="1" applyFont="1" applyNumberFormat="1">
      <alignment horizontal="center"/>
    </xf>
    <xf borderId="0" fillId="17" fontId="8" numFmtId="0" xfId="0" applyAlignment="1" applyFill="1" applyFont="1">
      <alignment horizontal="center" readingOrder="0" vertical="bottom"/>
    </xf>
    <xf borderId="0" fillId="17" fontId="1" numFmtId="164" xfId="0" applyAlignment="1" applyFill="1" applyFont="1" applyNumberFormat="1">
      <alignment horizontal="center" readingOrder="0"/>
    </xf>
    <xf borderId="0" fillId="0" fontId="1" numFmtId="164" xfId="0" applyAlignment="1" applyFont="1" applyNumberFormat="1">
      <alignment horizontal="center"/>
    </xf>
    <xf borderId="0" fillId="4" fontId="1" numFmtId="0" xfId="0" applyAlignment="1" applyFill="1" applyFont="1">
      <alignment horizontal="left" readingOrder="0"/>
    </xf>
    <xf borderId="0" fillId="4" fontId="1" numFmtId="0" xfId="0" applyAlignment="1" applyFill="1" applyFont="1">
      <alignment horizontal="right" readingOrder="0"/>
    </xf>
    <xf borderId="0" fillId="4" fontId="36" numFmtId="169" xfId="0" applyAlignment="1" applyFill="1" applyFont="1" applyNumberFormat="1">
      <alignment horizontal="center" readingOrder="0" vertical="bottom"/>
    </xf>
    <xf borderId="0" fillId="0" fontId="8" numFmtId="0" xfId="0" applyAlignment="1" applyFont="1">
      <alignment horizontal="center" vertical="bottom"/>
    </xf>
    <xf borderId="0" fillId="0" fontId="8" numFmtId="0" xfId="0" applyAlignment="1" applyFont="1">
      <alignment horizontal="right" vertical="bottom"/>
    </xf>
    <xf borderId="0" fillId="20" fontId="8" numFmtId="164" xfId="0" applyAlignment="1" applyFill="1" applyFont="1" applyNumberFormat="1">
      <alignment horizontal="center" vertical="bottom"/>
    </xf>
    <xf borderId="12" fillId="0" fontId="37" numFmtId="164" xfId="0" applyAlignment="1" applyBorder="1" applyFont="1" applyNumberFormat="1">
      <alignment horizontal="center" vertical="bottom"/>
    </xf>
    <xf borderId="0" fillId="20" fontId="8" numFmtId="0" xfId="0" applyAlignment="1" applyFill="1" applyFont="1">
      <alignment vertical="bottom"/>
    </xf>
    <xf borderId="0" fillId="0" fontId="8" numFmtId="166" xfId="0" applyAlignment="1" applyFont="1" applyNumberFormat="1">
      <alignment vertical="bottom"/>
    </xf>
    <xf borderId="0" fillId="17" fontId="8" numFmtId="164" xfId="0" applyAlignment="1" applyFill="1" applyFont="1" applyNumberFormat="1">
      <alignment horizontal="center" readingOrder="0" vertical="bottom"/>
    </xf>
    <xf borderId="0" fillId="17" fontId="2" numFmtId="2" xfId="0" applyAlignment="1" applyFill="1" applyFont="1" applyNumberFormat="1">
      <alignment horizontal="center" readingOrder="0" vertical="center"/>
    </xf>
    <xf borderId="0" fillId="4" fontId="36" numFmtId="3" xfId="0" applyAlignment="1" applyFill="1" applyFont="1" applyNumberFormat="1">
      <alignment horizontal="center" readingOrder="0" vertical="bottom"/>
    </xf>
    <xf borderId="0" fillId="0" fontId="1" numFmtId="3" xfId="0" applyFont="1" applyNumberFormat="1"/>
    <xf borderId="0" fillId="20" fontId="1" numFmtId="3" xfId="0" applyAlignment="1" applyFill="1" applyFont="1" applyNumberFormat="1">
      <alignment horizontal="center" readingOrder="0"/>
    </xf>
    <xf borderId="0" fillId="20" fontId="8" numFmtId="164" xfId="0" applyAlignment="1" applyFill="1" applyFont="1" applyNumberFormat="1">
      <alignment horizontal="center" readingOrder="0" vertical="bottom"/>
    </xf>
    <xf borderId="0" fillId="17" fontId="1" numFmtId="0" xfId="0" applyAlignment="1" applyFill="1" applyFont="1">
      <alignment horizontal="center"/>
    </xf>
    <xf borderId="0" fillId="0" fontId="8" numFmtId="164" xfId="0" applyAlignment="1" applyFont="1" applyNumberFormat="1">
      <alignment horizontal="center" readingOrder="0" vertical="bottom"/>
    </xf>
    <xf borderId="0" fillId="17" fontId="8" numFmtId="0" xfId="0" applyAlignment="1" applyFill="1" applyFont="1">
      <alignment horizontal="center" readingOrder="0" vertical="center"/>
    </xf>
    <xf borderId="16" fillId="2" fontId="2" numFmtId="0" xfId="0" applyAlignment="1" applyBorder="1" applyFill="1" applyFont="1">
      <alignment horizontal="center" readingOrder="0"/>
    </xf>
    <xf borderId="17" fillId="2" fontId="2" numFmtId="0" xfId="0" applyAlignment="1" applyBorder="1" applyFill="1" applyFont="1">
      <alignment horizontal="center" readingOrder="0"/>
    </xf>
    <xf borderId="0" fillId="3" fontId="38" numFmtId="0" xfId="0" applyAlignment="1" applyFill="1" applyFont="1">
      <alignment horizontal="center" readingOrder="0" vertical="bottom"/>
    </xf>
    <xf borderId="0" fillId="3" fontId="38" numFmtId="0" xfId="0" applyAlignment="1" applyFill="1" applyFont="1">
      <alignment readingOrder="0" vertical="bottom"/>
    </xf>
    <xf borderId="0" fillId="3" fontId="38" numFmtId="0" xfId="0" applyAlignment="1" applyFill="1" applyFont="1">
      <alignment readingOrder="0"/>
    </xf>
    <xf borderId="0" fillId="3" fontId="38" numFmtId="2" xfId="0" applyAlignment="1" applyFill="1" applyFont="1" applyNumberFormat="1">
      <alignment readingOrder="0" vertical="bottom"/>
    </xf>
    <xf borderId="0" fillId="5" fontId="8" numFmtId="164" xfId="0" applyAlignment="1" applyFill="1" applyFont="1" applyNumberFormat="1">
      <alignment horizontal="center" readingOrder="0" vertical="bottom"/>
    </xf>
    <xf borderId="0" fillId="16" fontId="8" numFmtId="0" xfId="0" applyAlignment="1" applyFill="1" applyFont="1">
      <alignment horizontal="center" readingOrder="0" vertical="bottom"/>
    </xf>
    <xf borderId="0" fillId="16" fontId="8" numFmtId="164" xfId="0" applyAlignment="1" applyFill="1" applyFont="1" applyNumberFormat="1">
      <alignment horizontal="center" readingOrder="0" vertical="bottom"/>
    </xf>
    <xf borderId="0" fillId="0" fontId="39" numFmtId="0" xfId="0" applyAlignment="1" applyFont="1">
      <alignment horizontal="right" readingOrder="0"/>
    </xf>
    <xf borderId="0" fillId="4" fontId="40" numFmtId="3" xfId="0" applyAlignment="1" applyFill="1" applyFont="1" applyNumberFormat="1">
      <alignment horizontal="center" readingOrder="0" vertical="bottom"/>
    </xf>
    <xf borderId="12" fillId="2" fontId="4" numFmtId="164" xfId="0" applyAlignment="1" applyBorder="1" applyFill="1" applyFont="1" applyNumberFormat="1">
      <alignment horizontal="center"/>
    </xf>
    <xf borderId="0" fillId="0" fontId="41" numFmtId="0" xfId="0" applyAlignment="1" applyFont="1">
      <alignment horizontal="center" vertical="bottom"/>
    </xf>
    <xf borderId="0" fillId="0" fontId="41" numFmtId="164" xfId="0" applyAlignment="1" applyFont="1" applyNumberFormat="1">
      <alignment horizontal="center" readingOrder="0" vertical="bottom"/>
    </xf>
    <xf borderId="0" fillId="2" fontId="1" numFmtId="0" xfId="0" applyAlignment="1" applyFill="1" applyFont="1">
      <alignment horizontal="right" readingOrder="0"/>
    </xf>
    <xf borderId="0" fillId="16" fontId="2" numFmtId="0" xfId="0" applyAlignment="1" applyFill="1" applyFont="1">
      <alignment horizontal="center" readingOrder="0" vertical="center"/>
    </xf>
    <xf borderId="0" fillId="16" fontId="8" numFmtId="0" xfId="0" applyAlignment="1" applyFill="1" applyFont="1">
      <alignment horizontal="center" readingOrder="0" vertical="center"/>
    </xf>
    <xf borderId="0" fillId="3" fontId="2" numFmtId="0" xfId="0" applyAlignment="1" applyFill="1" applyFont="1">
      <alignment horizontal="center" readingOrder="0" vertical="center"/>
    </xf>
    <xf borderId="0" fillId="20" fontId="1" numFmtId="0" xfId="0" applyAlignment="1" applyFill="1" applyFont="1">
      <alignment readingOrder="0" vertical="center"/>
    </xf>
    <xf borderId="0" fillId="16" fontId="1" numFmtId="164" xfId="0" applyAlignment="1" applyFill="1" applyFont="1" applyNumberFormat="1">
      <alignment horizontal="center" vertical="center"/>
    </xf>
    <xf borderId="0" fillId="20" fontId="1" numFmtId="164" xfId="0" applyAlignment="1" applyFill="1" applyFont="1" applyNumberFormat="1">
      <alignment horizontal="center" vertical="center"/>
    </xf>
    <xf borderId="0" fillId="22" fontId="1" numFmtId="2" xfId="0" applyAlignment="1" applyFill="1" applyFont="1" applyNumberFormat="1">
      <alignment horizontal="center" readingOrder="0" vertical="center"/>
    </xf>
    <xf borderId="0" fillId="4" fontId="1" numFmtId="0" xfId="0" applyAlignment="1" applyFill="1" applyFont="1">
      <alignment readingOrder="0" vertical="center"/>
    </xf>
    <xf borderId="0" fillId="4" fontId="1" numFmtId="1" xfId="0" applyAlignment="1" applyFill="1" applyFont="1" applyNumberFormat="1">
      <alignment horizontal="center" readingOrder="0" vertical="center"/>
    </xf>
    <xf borderId="0" fillId="3" fontId="1" numFmtId="2" xfId="0" applyAlignment="1" applyFill="1" applyFont="1" applyNumberFormat="1">
      <alignment horizontal="center" readingOrder="0" vertical="center"/>
    </xf>
    <xf borderId="0" fillId="20" fontId="1" numFmtId="0" xfId="0" applyAlignment="1" applyFill="1" applyFont="1">
      <alignment horizontal="center" readingOrder="0" vertical="center"/>
    </xf>
    <xf borderId="0" fillId="3" fontId="1" numFmtId="0" xfId="0" applyAlignment="1" applyFill="1" applyFont="1">
      <alignment horizontal="center" readingOrder="0" vertical="center"/>
    </xf>
    <xf borderId="0" fillId="0" fontId="1" numFmtId="164" xfId="0" applyAlignment="1" applyFont="1" applyNumberFormat="1">
      <alignment horizontal="center" readingOrder="0" vertical="center"/>
    </xf>
    <xf borderId="0" fillId="3" fontId="1" numFmtId="1" xfId="0" applyAlignment="1" applyFill="1" applyFont="1" applyNumberFormat="1">
      <alignment horizontal="center" readingOrder="0" vertical="center"/>
    </xf>
    <xf borderId="0" fillId="20" fontId="1" numFmtId="0" xfId="0" applyAlignment="1" applyFill="1" applyFont="1">
      <alignment readingOrder="0" shrinkToFit="0" vertical="center" wrapText="1"/>
    </xf>
    <xf borderId="0" fillId="20" fontId="1" numFmtId="2" xfId="0" applyAlignment="1" applyFill="1" applyFont="1" applyNumberFormat="1">
      <alignment horizontal="center" readingOrder="0" vertical="center"/>
    </xf>
    <xf borderId="0" fillId="4" fontId="1" numFmtId="0" xfId="0" applyAlignment="1" applyFill="1" applyFont="1">
      <alignment horizontal="left" readingOrder="0" vertical="center"/>
    </xf>
    <xf borderId="0" fillId="17" fontId="1" numFmtId="2" xfId="0" applyAlignment="1" applyFill="1" applyFont="1" applyNumberFormat="1">
      <alignment horizontal="center" readingOrder="0"/>
    </xf>
    <xf borderId="0" fillId="0" fontId="1" numFmtId="0" xfId="0" applyAlignment="1" applyFont="1">
      <alignment horizontal="left" readingOrder="0" vertical="center"/>
    </xf>
    <xf borderId="0" fillId="22" fontId="1" numFmtId="2" xfId="0" applyAlignment="1" applyFill="1" applyFont="1" applyNumberFormat="1">
      <alignment horizontal="center" readingOrder="0"/>
    </xf>
    <xf borderId="0" fillId="22" fontId="1" numFmtId="172" xfId="0" applyAlignment="1" applyFill="1" applyFont="1" applyNumberFormat="1">
      <alignment horizontal="center" readingOrder="0"/>
    </xf>
    <xf borderId="0" fillId="4" fontId="1" numFmtId="2" xfId="0" applyAlignment="1" applyFill="1" applyFont="1" applyNumberFormat="1">
      <alignment horizontal="center" readingOrder="0"/>
    </xf>
    <xf borderId="0" fillId="4" fontId="8" numFmtId="164" xfId="0" applyAlignment="1" applyFill="1" applyFont="1" applyNumberFormat="1">
      <alignment horizontal="center" readingOrder="0" vertical="bottom"/>
    </xf>
    <xf borderId="0" fillId="5" fontId="4" numFmtId="0" xfId="0" applyAlignment="1" applyFill="1" applyFont="1">
      <alignment horizontal="center" readingOrder="0"/>
    </xf>
    <xf borderId="0" fillId="16" fontId="1" numFmtId="3" xfId="0" applyAlignment="1" applyFill="1" applyFont="1" applyNumberFormat="1">
      <alignment horizontal="center" readingOrder="0"/>
    </xf>
    <xf borderId="0" fillId="0" fontId="1" numFmtId="173" xfId="0" applyAlignment="1" applyFont="1" applyNumberFormat="1">
      <alignment horizontal="center" readingOrder="0"/>
    </xf>
    <xf borderId="0" fillId="2" fontId="8" numFmtId="164" xfId="0" applyAlignment="1" applyFill="1" applyFont="1" applyNumberFormat="1">
      <alignment horizontal="center" readingOrder="0" vertical="bottom"/>
    </xf>
    <xf borderId="0" fillId="17" fontId="8" numFmtId="1" xfId="0" applyAlignment="1" applyFill="1" applyFont="1" applyNumberFormat="1">
      <alignment horizontal="center" readingOrder="0" vertical="center"/>
    </xf>
    <xf borderId="19" fillId="3" fontId="40" numFmtId="3" xfId="0" applyAlignment="1" applyBorder="1" applyFill="1" applyFont="1" applyNumberFormat="1">
      <alignment horizontal="center" readingOrder="0" vertical="bottom"/>
    </xf>
    <xf borderId="20" fillId="3" fontId="40" numFmtId="3" xfId="0" applyAlignment="1" applyBorder="1" applyFill="1" applyFont="1" applyNumberFormat="1">
      <alignment horizontal="center" readingOrder="0" vertical="bottom"/>
    </xf>
    <xf borderId="0" fillId="27" fontId="8" numFmtId="0" xfId="0" applyAlignment="1" applyFill="1" applyFont="1">
      <alignment horizontal="center" readingOrder="0" vertical="bottom"/>
    </xf>
    <xf borderId="21" fillId="0" fontId="8" numFmtId="0" xfId="0" applyAlignment="1" applyBorder="1" applyFont="1">
      <alignment horizontal="right" readingOrder="0" vertical="bottom"/>
    </xf>
    <xf borderId="9" fillId="0" fontId="8" numFmtId="3" xfId="0" applyAlignment="1" applyBorder="1" applyFont="1" applyNumberFormat="1">
      <alignment horizontal="right" vertical="bottom"/>
    </xf>
    <xf borderId="0" fillId="16" fontId="8" numFmtId="3" xfId="0" applyAlignment="1" applyFill="1" applyFont="1" applyNumberFormat="1">
      <alignment horizontal="center" readingOrder="0" vertical="bottom"/>
    </xf>
    <xf borderId="0" fillId="20" fontId="8" numFmtId="3" xfId="0" applyAlignment="1" applyFill="1" applyFont="1" applyNumberFormat="1">
      <alignment horizontal="center" readingOrder="0" vertical="bottom"/>
    </xf>
    <xf borderId="10" fillId="20" fontId="8" numFmtId="0" xfId="0" applyAlignment="1" applyBorder="1" applyFill="1" applyFont="1">
      <alignment horizontal="center" readingOrder="0" vertical="bottom"/>
    </xf>
    <xf borderId="10" fillId="20" fontId="8" numFmtId="3" xfId="0" applyAlignment="1" applyBorder="1" applyFill="1" applyFont="1" applyNumberFormat="1">
      <alignment horizontal="center" readingOrder="0" vertical="bottom"/>
    </xf>
    <xf borderId="9" fillId="3" fontId="8" numFmtId="3" xfId="0" applyAlignment="1" applyBorder="1" applyFill="1" applyFont="1" applyNumberFormat="1">
      <alignment horizontal="right" vertical="bottom"/>
    </xf>
    <xf borderId="9" fillId="3" fontId="8" numFmtId="164" xfId="0" applyAlignment="1" applyBorder="1" applyFill="1" applyFont="1" applyNumberFormat="1">
      <alignment horizontal="right" vertical="bottom"/>
    </xf>
    <xf borderId="12" fillId="2" fontId="37" numFmtId="1" xfId="0" applyAlignment="1" applyBorder="1" applyFill="1" applyFont="1" applyNumberFormat="1">
      <alignment horizontal="center" vertical="bottom"/>
    </xf>
    <xf borderId="7" fillId="2" fontId="37" numFmtId="1" xfId="0" applyAlignment="1" applyBorder="1" applyFill="1" applyFont="1" applyNumberFormat="1">
      <alignment horizontal="center" vertical="bottom"/>
    </xf>
    <xf borderId="11" fillId="0" fontId="8" numFmtId="0" xfId="0" applyAlignment="1" applyBorder="1" applyFont="1">
      <alignment horizontal="right" vertical="bottom"/>
    </xf>
    <xf borderId="12" fillId="0" fontId="37" numFmtId="1" xfId="0" applyAlignment="1" applyBorder="1" applyFont="1" applyNumberFormat="1">
      <alignment horizontal="center" vertical="bottom"/>
    </xf>
    <xf borderId="7" fillId="0" fontId="37" numFmtId="1" xfId="0" applyAlignment="1" applyBorder="1" applyFont="1" applyNumberFormat="1">
      <alignment horizontal="center" vertical="bottom"/>
    </xf>
    <xf borderId="0" fillId="3" fontId="8" numFmtId="3" xfId="0" applyAlignment="1" applyFill="1" applyFont="1" applyNumberFormat="1">
      <alignment vertical="bottom"/>
    </xf>
    <xf borderId="0" fillId="11" fontId="8" numFmtId="174" xfId="0" applyAlignment="1" applyFill="1" applyFont="1" applyNumberFormat="1">
      <alignment horizontal="center" vertical="bottom"/>
    </xf>
    <xf borderId="0" fillId="27" fontId="8" numFmtId="0" xfId="0" applyAlignment="1" applyFill="1" applyFont="1">
      <alignment horizontal="center" vertical="bottom"/>
    </xf>
    <xf borderId="21" fillId="0" fontId="8" numFmtId="0" xfId="0" applyAlignment="1" applyBorder="1" applyFont="1">
      <alignment horizontal="right" vertical="bottom"/>
    </xf>
    <xf borderId="19" fillId="3" fontId="40" numFmtId="3" xfId="0" applyAlignment="1" applyBorder="1" applyFill="1" applyFont="1" applyNumberFormat="1">
      <alignment horizontal="center" vertical="bottom"/>
    </xf>
    <xf borderId="0" fillId="0" fontId="8" numFmtId="3" xfId="0" applyAlignment="1" applyFont="1" applyNumberFormat="1">
      <alignment vertical="bottom"/>
    </xf>
    <xf borderId="0" fillId="3" fontId="8" numFmtId="164" xfId="0" applyAlignment="1" applyFill="1" applyFont="1" applyNumberFormat="1">
      <alignment vertical="bottom"/>
    </xf>
    <xf borderId="21" fillId="0" fontId="8" numFmtId="164" xfId="0" applyAlignment="1" applyBorder="1" applyFont="1" applyNumberFormat="1">
      <alignment horizontal="right" vertical="bottom"/>
    </xf>
    <xf borderId="19" fillId="0" fontId="8" numFmtId="0" xfId="0" applyAlignment="1" applyBorder="1" applyFont="1">
      <alignment vertical="bottom"/>
    </xf>
    <xf borderId="20" fillId="0" fontId="41" numFmtId="164" xfId="0" applyAlignment="1" applyBorder="1" applyFont="1" applyNumberFormat="1">
      <alignment horizontal="center" readingOrder="0" vertical="bottom"/>
    </xf>
    <xf borderId="9" fillId="0" fontId="8" numFmtId="164" xfId="0" applyAlignment="1" applyBorder="1" applyFont="1" applyNumberFormat="1">
      <alignment horizontal="right" vertical="bottom"/>
    </xf>
    <xf borderId="10" fillId="20" fontId="8" numFmtId="164" xfId="0" applyAlignment="1" applyBorder="1" applyFill="1" applyFont="1" applyNumberFormat="1">
      <alignment horizontal="center" vertical="bottom"/>
    </xf>
    <xf borderId="10" fillId="20" fontId="8" numFmtId="164" xfId="0" applyAlignment="1" applyBorder="1" applyFill="1" applyFont="1" applyNumberFormat="1">
      <alignment horizontal="center" readingOrder="0" vertical="bottom"/>
    </xf>
    <xf borderId="0" fillId="3" fontId="8" numFmtId="0" xfId="0" applyAlignment="1" applyFill="1" applyFont="1">
      <alignment vertical="bottom"/>
    </xf>
    <xf borderId="9" fillId="2" fontId="8" numFmtId="164" xfId="0" applyAlignment="1" applyBorder="1" applyFill="1" applyFont="1" applyNumberFormat="1">
      <alignment horizontal="right" vertical="bottom"/>
    </xf>
    <xf borderId="7" fillId="2" fontId="37" numFmtId="164" xfId="0" applyAlignment="1" applyBorder="1" applyFill="1" applyFont="1" applyNumberFormat="1">
      <alignment horizontal="center" vertical="bottom"/>
    </xf>
    <xf borderId="11" fillId="0" fontId="8" numFmtId="164" xfId="0" applyAlignment="1" applyBorder="1" applyFont="1" applyNumberFormat="1">
      <alignment horizontal="right" vertical="bottom"/>
    </xf>
    <xf borderId="12" fillId="0" fontId="8" numFmtId="0" xfId="0" applyAlignment="1" applyBorder="1" applyFont="1">
      <alignment vertical="bottom"/>
    </xf>
    <xf borderId="12" fillId="0" fontId="8" numFmtId="0" xfId="0" applyAlignment="1" applyBorder="1" applyFont="1">
      <alignment vertical="bottom"/>
    </xf>
    <xf borderId="7" fillId="0" fontId="37" numFmtId="164" xfId="0" applyAlignment="1" applyBorder="1" applyFont="1" applyNumberFormat="1">
      <alignment horizontal="center" vertical="bottom"/>
    </xf>
    <xf borderId="0" fillId="27" fontId="8" numFmtId="0" xfId="0" applyAlignment="1" applyFill="1" applyFont="1">
      <alignment horizontal="center" vertical="bottom"/>
    </xf>
    <xf borderId="21" fillId="0" fontId="8" numFmtId="0" xfId="0" applyAlignment="1" applyBorder="1" applyFont="1">
      <alignment vertical="bottom"/>
    </xf>
    <xf borderId="9" fillId="0" fontId="8" numFmtId="0" xfId="0" applyAlignment="1" applyBorder="1" applyFont="1">
      <alignment vertical="bottom"/>
    </xf>
    <xf borderId="17" fillId="25" fontId="8" numFmtId="0" xfId="0" applyAlignment="1" applyBorder="1" applyFill="1" applyFont="1">
      <alignment horizontal="center" vertical="bottom"/>
    </xf>
    <xf borderId="17" fillId="25" fontId="8" numFmtId="0" xfId="0" applyAlignment="1" applyBorder="1" applyFill="1" applyFont="1">
      <alignment horizontal="center" readingOrder="0" vertical="bottom"/>
    </xf>
    <xf borderId="22" fillId="25" fontId="8" numFmtId="0" xfId="0" applyAlignment="1" applyBorder="1" applyFill="1" applyFont="1">
      <alignment horizontal="center" readingOrder="0" vertical="bottom"/>
    </xf>
    <xf borderId="16" fillId="5" fontId="8" numFmtId="0" xfId="0" applyAlignment="1" applyBorder="1" applyFill="1" applyFont="1">
      <alignment horizontal="center" vertical="bottom"/>
    </xf>
    <xf borderId="16" fillId="5" fontId="8" numFmtId="0" xfId="0" applyAlignment="1" applyBorder="1" applyFill="1" applyFont="1">
      <alignment horizontal="center" vertical="bottom"/>
    </xf>
    <xf borderId="16" fillId="5" fontId="8" numFmtId="1" xfId="0" applyAlignment="1" applyBorder="1" applyFill="1" applyFont="1" applyNumberFormat="1">
      <alignment horizontal="center" vertical="bottom"/>
    </xf>
    <xf borderId="23" fillId="5" fontId="8" numFmtId="0" xfId="0" applyAlignment="1" applyBorder="1" applyFill="1" applyFont="1">
      <alignment horizontal="center" vertical="bottom"/>
    </xf>
    <xf borderId="0" fillId="3" fontId="8" numFmtId="0" xfId="0" applyAlignment="1" applyFill="1" applyFont="1">
      <alignment vertical="bottom"/>
    </xf>
    <xf borderId="9" fillId="3" fontId="8" numFmtId="0" xfId="0" applyAlignment="1" applyBorder="1" applyFill="1" applyFont="1">
      <alignment vertical="bottom"/>
    </xf>
    <xf borderId="16" fillId="5" fontId="8" numFmtId="0" xfId="0" applyAlignment="1" applyBorder="1" applyFill="1" applyFont="1">
      <alignment horizontal="center" readingOrder="0" vertical="bottom"/>
    </xf>
    <xf borderId="16" fillId="5" fontId="8" numFmtId="1" xfId="0" applyAlignment="1" applyBorder="1" applyFill="1" applyFont="1" applyNumberFormat="1">
      <alignment horizontal="center" readingOrder="0" vertical="bottom"/>
    </xf>
    <xf borderId="23" fillId="5" fontId="8" numFmtId="0" xfId="0" applyAlignment="1" applyBorder="1" applyFill="1" applyFont="1">
      <alignment horizontal="center" readingOrder="0" vertical="bottom"/>
    </xf>
    <xf borderId="17" fillId="25" fontId="8" numFmtId="1" xfId="0" applyAlignment="1" applyBorder="1" applyFill="1" applyFont="1" applyNumberFormat="1">
      <alignment horizontal="center" readingOrder="0" vertical="bottom"/>
    </xf>
    <xf borderId="9" fillId="2" fontId="8" numFmtId="0" xfId="0" applyAlignment="1" applyBorder="1" applyFill="1" applyFont="1">
      <alignment horizontal="right" vertical="bottom"/>
    </xf>
    <xf borderId="11" fillId="0" fontId="8" numFmtId="0" xfId="0" applyAlignment="1" applyBorder="1" applyFont="1">
      <alignment horizontal="right" vertical="bottom"/>
    </xf>
    <xf borderId="21" fillId="0" fontId="8" numFmtId="0" xfId="0" applyAlignment="1" applyBorder="1" applyFont="1">
      <alignment horizontal="right" vertical="bottom"/>
    </xf>
    <xf borderId="19" fillId="0" fontId="8" numFmtId="0" xfId="0" applyAlignment="1" applyBorder="1" applyFont="1">
      <alignment vertical="bottom"/>
    </xf>
    <xf borderId="20" fillId="3" fontId="36" numFmtId="169" xfId="0" applyAlignment="1" applyBorder="1" applyFill="1" applyFont="1" applyNumberFormat="1">
      <alignment horizontal="center" readingOrder="0" vertical="bottom"/>
    </xf>
    <xf borderId="9" fillId="0" fontId="8" numFmtId="0" xfId="0" applyAlignment="1" applyBorder="1" applyFont="1">
      <alignment horizontal="right" vertical="bottom"/>
    </xf>
    <xf borderId="10" fillId="20" fontId="8" numFmtId="0" xfId="0" applyAlignment="1" applyBorder="1" applyFill="1" applyFont="1">
      <alignment horizontal="center" vertical="bottom"/>
    </xf>
    <xf borderId="9" fillId="3" fontId="8" numFmtId="0" xfId="0" applyAlignment="1" applyBorder="1" applyFill="1" applyFont="1">
      <alignment horizontal="right" vertical="bottom"/>
    </xf>
    <xf borderId="0" fillId="0" fontId="8" numFmtId="9" xfId="0" applyAlignment="1" applyFont="1" applyNumberFormat="1">
      <alignment vertical="bottom"/>
    </xf>
    <xf borderId="9" fillId="2" fontId="8" numFmtId="0" xfId="0" applyAlignment="1" applyBorder="1" applyFill="1" applyFont="1">
      <alignment horizontal="right" vertical="bottom"/>
    </xf>
    <xf borderId="12" fillId="0" fontId="8" numFmtId="166" xfId="0" applyAlignment="1" applyBorder="1" applyFont="1" applyNumberFormat="1">
      <alignment vertical="bottom"/>
    </xf>
    <xf borderId="19" fillId="3" fontId="40" numFmtId="169" xfId="0" applyAlignment="1" applyBorder="1" applyFill="1" applyFont="1" applyNumberFormat="1">
      <alignment horizontal="center" readingOrder="0" vertical="bottom"/>
    </xf>
    <xf borderId="20" fillId="3" fontId="40" numFmtId="169" xfId="0" applyAlignment="1" applyBorder="1" applyFill="1" applyFont="1" applyNumberFormat="1">
      <alignment horizontal="center" readingOrder="0" vertical="bottom"/>
    </xf>
    <xf borderId="0" fillId="2" fontId="4" numFmtId="0" xfId="0" applyAlignment="1" applyFill="1" applyFont="1">
      <alignment horizontal="center" readingOrder="0" shrinkToFit="0" vertical="center" wrapText="1"/>
    </xf>
    <xf borderId="0" fillId="0" fontId="1" numFmtId="10" xfId="0" applyFont="1" applyNumberFormat="1"/>
    <xf borderId="0" fillId="20" fontId="8" numFmtId="10" xfId="0" applyAlignment="1" applyFill="1" applyFont="1" applyNumberFormat="1">
      <alignment horizontal="center" readingOrder="0" vertical="bottom"/>
    </xf>
    <xf borderId="10" fillId="20" fontId="8" numFmtId="10" xfId="0" applyAlignment="1" applyBorder="1" applyFill="1" applyFont="1" applyNumberFormat="1">
      <alignment horizontal="center" readingOrder="0" vertical="bottom"/>
    </xf>
    <xf borderId="17" fillId="17" fontId="8" numFmtId="0" xfId="0" applyAlignment="1" applyBorder="1" applyFill="1" applyFont="1">
      <alignment horizontal="center" vertical="bottom"/>
    </xf>
    <xf borderId="17" fillId="17" fontId="8" numFmtId="0" xfId="0" applyAlignment="1" applyBorder="1" applyFill="1" applyFont="1">
      <alignment horizontal="center" readingOrder="0" vertical="bottom"/>
    </xf>
    <xf borderId="16" fillId="17" fontId="8" numFmtId="0" xfId="0" applyAlignment="1" applyBorder="1" applyFill="1" applyFont="1">
      <alignment horizontal="center" vertical="bottom"/>
    </xf>
    <xf borderId="16" fillId="17" fontId="8" numFmtId="0" xfId="0" applyAlignment="1" applyBorder="1" applyFill="1" applyFont="1">
      <alignment horizontal="center" readingOrder="0" vertical="bottom"/>
    </xf>
    <xf borderId="17" fillId="17" fontId="2" numFmtId="0" xfId="0" applyAlignment="1" applyBorder="1" applyFill="1" applyFont="1">
      <alignment horizontal="center" readingOrder="0"/>
    </xf>
    <xf borderId="22" fillId="7" fontId="8" numFmtId="0" xfId="0" applyAlignment="1" applyBorder="1" applyFill="1" applyFont="1">
      <alignment horizontal="center" readingOrder="0" vertical="bottom"/>
    </xf>
    <xf borderId="0" fillId="2" fontId="8" numFmtId="0" xfId="0" applyAlignment="1" applyFill="1" applyFont="1">
      <alignment horizontal="center" vertical="bottom"/>
    </xf>
    <xf borderId="0" fillId="5" fontId="8" numFmtId="0" xfId="0" applyAlignment="1" applyFill="1" applyFont="1">
      <alignment horizontal="center" vertical="bottom"/>
    </xf>
    <xf borderId="0" fillId="17" fontId="38" numFmtId="0" xfId="0" applyAlignment="1" applyFill="1" applyFont="1">
      <alignment horizontal="right" vertical="bottom"/>
    </xf>
    <xf borderId="0" fillId="17" fontId="42" numFmtId="0" xfId="0" applyAlignment="1" applyFill="1" applyFont="1">
      <alignment horizontal="right" vertical="bottom"/>
    </xf>
    <xf borderId="0" fillId="11" fontId="8" numFmtId="174" xfId="0" applyAlignment="1" applyFill="1" applyFont="1" applyNumberFormat="1">
      <alignment horizontal="center" readingOrder="0" vertical="bottom"/>
    </xf>
    <xf borderId="12" fillId="0" fontId="1" numFmtId="173" xfId="0" applyAlignment="1" applyBorder="1" applyFont="1" applyNumberFormat="1">
      <alignment horizontal="center" readingOrder="0"/>
    </xf>
    <xf borderId="0" fillId="17" fontId="2" numFmtId="0" xfId="0" applyAlignment="1" applyFill="1" applyFont="1">
      <alignment horizontal="center" readingOrder="0" vertical="center"/>
    </xf>
    <xf borderId="0" fillId="2" fontId="1" numFmtId="1" xfId="0" applyAlignment="1" applyFill="1" applyFont="1" applyNumberFormat="1">
      <alignment horizontal="center" readingOrder="0" vertical="center"/>
    </xf>
    <xf borderId="17" fillId="25" fontId="8" numFmtId="164" xfId="0" applyAlignment="1" applyBorder="1" applyFill="1" applyFont="1" applyNumberFormat="1">
      <alignment horizontal="center" readingOrder="0" vertical="bottom"/>
    </xf>
    <xf borderId="17" fillId="25" fontId="2" numFmtId="164" xfId="0" applyAlignment="1" applyBorder="1" applyFill="1" applyFont="1" applyNumberFormat="1">
      <alignment horizontal="center" readingOrder="0"/>
    </xf>
    <xf borderId="16" fillId="5" fontId="8" numFmtId="164" xfId="0" applyAlignment="1" applyBorder="1" applyFill="1" applyFont="1" applyNumberFormat="1">
      <alignment horizontal="center" readingOrder="0" vertical="bottom"/>
    </xf>
    <xf borderId="23" fillId="5" fontId="8" numFmtId="164" xfId="0" applyAlignment="1" applyBorder="1" applyFill="1" applyFont="1" applyNumberFormat="1">
      <alignment horizontal="center" readingOrder="0" vertical="bottom"/>
    </xf>
    <xf borderId="12" fillId="2" fontId="37" numFmtId="164" xfId="0" applyAlignment="1" applyBorder="1" applyFill="1" applyFont="1" applyNumberFormat="1">
      <alignment horizontal="center" vertical="bottom"/>
    </xf>
    <xf borderId="9" fillId="3" fontId="8" numFmtId="3" xfId="0" applyAlignment="1" applyBorder="1" applyFill="1" applyFont="1" applyNumberFormat="1">
      <alignment horizontal="right" readingOrder="0" vertical="bottom"/>
    </xf>
    <xf borderId="0" fillId="5" fontId="5" numFmtId="164" xfId="0" applyAlignment="1" applyFill="1" applyFont="1" applyNumberFormat="1">
      <alignment horizontal="center" readingOrder="0" shrinkToFit="0" vertical="bottom" wrapText="0"/>
    </xf>
    <xf borderId="7" fillId="2" fontId="37" numFmtId="2" xfId="0" applyAlignment="1" applyBorder="1" applyFill="1" applyFont="1" applyNumberFormat="1">
      <alignment horizontal="center" vertical="bottom"/>
    </xf>
    <xf borderId="0" fillId="0" fontId="1" numFmtId="9" xfId="0" applyAlignment="1" applyFont="1" applyNumberFormat="1">
      <alignment horizontal="center" vertical="center"/>
    </xf>
    <xf borderId="9" fillId="3" fontId="8" numFmtId="164" xfId="0" applyAlignment="1" applyBorder="1" applyFill="1" applyFont="1" applyNumberFormat="1">
      <alignment horizontal="right" readingOrder="0" vertical="bottom"/>
    </xf>
    <xf borderId="22" fillId="17" fontId="8" numFmtId="0" xfId="0" applyAlignment="1" applyBorder="1" applyFill="1" applyFont="1">
      <alignment horizontal="center" readingOrder="0" vertical="bottom"/>
    </xf>
    <xf borderId="23" fillId="17" fontId="8" numFmtId="0" xfId="0" applyAlignment="1" applyBorder="1" applyFill="1" applyFont="1">
      <alignment horizontal="center" readingOrder="0" vertical="bottom"/>
    </xf>
    <xf borderId="0" fillId="2" fontId="5" numFmtId="164" xfId="0" applyAlignment="1" applyFill="1" applyFont="1" applyNumberFormat="1">
      <alignment horizontal="center" readingOrder="0" shrinkToFit="0" vertical="bottom" wrapText="0"/>
    </xf>
    <xf borderId="12" fillId="4" fontId="37" numFmtId="1" xfId="0" applyAlignment="1" applyBorder="1" applyFill="1" applyFont="1" applyNumberFormat="1">
      <alignment horizontal="center" vertical="bottom"/>
    </xf>
    <xf borderId="12" fillId="4" fontId="8" numFmtId="1" xfId="0" applyAlignment="1" applyBorder="1" applyFill="1" applyFont="1" applyNumberFormat="1">
      <alignment horizontal="center" readingOrder="0" vertical="bottom"/>
    </xf>
    <xf borderId="7" fillId="4" fontId="8" numFmtId="1" xfId="0" applyAlignment="1" applyBorder="1" applyFill="1" applyFont="1" applyNumberFormat="1">
      <alignment horizontal="center" readingOrder="0" vertical="bottom"/>
    </xf>
    <xf borderId="7" fillId="4" fontId="37" numFmtId="1" xfId="0" applyAlignment="1" applyBorder="1" applyFill="1" applyFont="1" applyNumberFormat="1">
      <alignment horizontal="center" vertical="bottom"/>
    </xf>
    <xf borderId="12" fillId="5" fontId="37" numFmtId="1" xfId="0" applyAlignment="1" applyBorder="1" applyFill="1" applyFont="1" applyNumberFormat="1">
      <alignment horizontal="center" vertical="bottom"/>
    </xf>
    <xf borderId="7" fillId="3" fontId="37" numFmtId="164" xfId="0" applyAlignment="1" applyBorder="1" applyFill="1" applyFont="1" applyNumberFormat="1">
      <alignment horizontal="center" vertical="bottom"/>
    </xf>
    <xf borderId="12" fillId="2" fontId="8" numFmtId="0" xfId="0" applyAlignment="1" applyBorder="1" applyFill="1" applyFont="1">
      <alignment vertical="bottom"/>
    </xf>
    <xf borderId="12" fillId="2" fontId="8" numFmtId="0" xfId="0" applyAlignment="1" applyBorder="1" applyFill="1" applyFont="1">
      <alignment vertical="bottom"/>
    </xf>
    <xf borderId="9" fillId="4" fontId="8" numFmtId="0" xfId="0" applyAlignment="1" applyBorder="1" applyFill="1" applyFont="1">
      <alignment horizontal="right" vertical="bottom"/>
    </xf>
    <xf borderId="12" fillId="4" fontId="37" numFmtId="164" xfId="0" applyAlignment="1" applyBorder="1" applyFill="1" applyFont="1" applyNumberFormat="1">
      <alignment horizontal="center" vertical="bottom"/>
    </xf>
    <xf borderId="7" fillId="4" fontId="37" numFmtId="2" xfId="0" applyAlignment="1" applyBorder="1" applyFill="1" applyFont="1" applyNumberFormat="1">
      <alignment horizontal="center" vertical="bottom"/>
    </xf>
    <xf borderId="9" fillId="4" fontId="8" numFmtId="0" xfId="0" applyAlignment="1" applyBorder="1" applyFill="1" applyFont="1">
      <alignment horizontal="right" vertical="bottom"/>
    </xf>
    <xf borderId="0" fillId="4" fontId="8" numFmtId="0" xfId="0" applyAlignment="1" applyFill="1" applyFont="1">
      <alignment vertical="bottom"/>
    </xf>
    <xf borderId="0" fillId="4" fontId="8" numFmtId="0" xfId="0" applyAlignment="1" applyFill="1" applyFont="1">
      <alignment vertical="bottom"/>
    </xf>
    <xf borderId="7" fillId="4" fontId="37" numFmtId="164" xfId="0" applyAlignment="1" applyBorder="1" applyFill="1" applyFont="1" applyNumberFormat="1">
      <alignment horizontal="center" vertical="bottom"/>
    </xf>
    <xf borderId="12" fillId="2" fontId="8" numFmtId="166" xfId="0" applyAlignment="1" applyBorder="1" applyFill="1" applyFont="1" applyNumberFormat="1">
      <alignment vertical="bottom"/>
    </xf>
    <xf borderId="0" fillId="2" fontId="4" numFmtId="164" xfId="0" applyAlignment="1" applyFill="1" applyFont="1" applyNumberFormat="1">
      <alignment readingOrder="0"/>
    </xf>
    <xf borderId="0" fillId="16" fontId="5" numFmtId="164" xfId="0" applyAlignment="1" applyFill="1" applyFont="1" applyNumberFormat="1">
      <alignment horizontal="center" readingOrder="0" shrinkToFit="0" vertical="bottom" wrapText="0"/>
    </xf>
    <xf borderId="17" fillId="25" fontId="2" numFmtId="2" xfId="0" applyAlignment="1" applyBorder="1" applyFill="1" applyFont="1" applyNumberFormat="1">
      <alignment horizontal="center" readingOrder="0"/>
    </xf>
    <xf borderId="17" fillId="25" fontId="8" numFmtId="2" xfId="0" applyAlignment="1" applyBorder="1" applyFill="1" applyFont="1" applyNumberFormat="1">
      <alignment horizontal="center" readingOrder="0" vertical="bottom"/>
    </xf>
    <xf borderId="16" fillId="5" fontId="8" numFmtId="2" xfId="0" applyAlignment="1" applyBorder="1" applyFill="1" applyFont="1" applyNumberFormat="1">
      <alignment horizontal="center" readingOrder="0" vertical="bottom"/>
    </xf>
    <xf borderId="23" fillId="5" fontId="8" numFmtId="2" xfId="0" applyAlignment="1" applyBorder="1" applyFill="1" applyFont="1" applyNumberFormat="1">
      <alignment horizontal="center" readingOrder="0" vertical="bottom"/>
    </xf>
    <xf borderId="12" fillId="0" fontId="37" numFmtId="2" xfId="0" applyAlignment="1" applyBorder="1" applyFont="1" applyNumberFormat="1">
      <alignment horizontal="center" vertical="bottom"/>
    </xf>
    <xf borderId="7" fillId="0" fontId="37" numFmtId="2" xfId="0" applyAlignment="1" applyBorder="1" applyFont="1" applyNumberFormat="1">
      <alignment horizontal="center" vertical="bottom"/>
    </xf>
    <xf borderId="0" fillId="2" fontId="4" numFmtId="164" xfId="0" applyAlignment="1" applyFill="1" applyFont="1" applyNumberFormat="1">
      <alignment horizontal="center" readingOrder="0"/>
    </xf>
    <xf borderId="0" fillId="4" fontId="1" numFmtId="168" xfId="0" applyAlignment="1" applyFill="1" applyFont="1" applyNumberFormat="1">
      <alignment horizontal="center" readingOrder="0" shrinkToFit="0" vertical="center" wrapText="1"/>
    </xf>
    <xf borderId="0" fillId="16" fontId="2" numFmtId="1" xfId="0" applyAlignment="1" applyFill="1" applyFont="1" applyNumberFormat="1">
      <alignment horizontal="center" readingOrder="0" vertical="center"/>
    </xf>
    <xf borderId="0" fillId="0" fontId="1" numFmtId="166" xfId="0" applyFont="1" applyNumberFormat="1"/>
    <xf borderId="0" fillId="0" fontId="1" numFmtId="2" xfId="0" applyAlignment="1" applyFont="1" applyNumberFormat="1">
      <alignment horizontal="center" readingOrder="0" vertical="center"/>
    </xf>
    <xf borderId="0" fillId="3" fontId="1" numFmtId="0" xfId="0" applyAlignment="1" applyFill="1" applyFont="1">
      <alignment readingOrder="0" vertical="center"/>
    </xf>
    <xf borderId="0" fillId="0" fontId="1" numFmtId="1" xfId="0" applyAlignment="1" applyFont="1" applyNumberFormat="1">
      <alignment horizontal="center" readingOrder="0" vertical="center"/>
    </xf>
    <xf borderId="0" fillId="20" fontId="39" numFmtId="164" xfId="0" applyAlignment="1" applyFill="1" applyFont="1" applyNumberFormat="1">
      <alignment horizontal="center" readingOrder="0" vertical="center"/>
    </xf>
    <xf borderId="0" fillId="20" fontId="1" numFmtId="164" xfId="0" applyAlignment="1" applyFill="1" applyFont="1" applyNumberFormat="1">
      <alignment horizontal="center" readingOrder="0" vertical="center"/>
    </xf>
    <xf borderId="0" fillId="4" fontId="1" numFmtId="2" xfId="0" applyAlignment="1" applyFill="1" applyFont="1" applyNumberFormat="1">
      <alignment horizontal="center" readingOrder="0" vertical="center"/>
    </xf>
    <xf borderId="0" fillId="0" fontId="5" numFmtId="9" xfId="0" applyAlignment="1" applyFont="1" applyNumberFormat="1">
      <alignment shrinkToFit="0" vertical="bottom" wrapText="0"/>
    </xf>
    <xf borderId="0" fillId="5" fontId="5" numFmtId="0" xfId="0" applyAlignment="1" applyFill="1" applyFont="1">
      <alignment readingOrder="0" shrinkToFit="0" vertical="bottom" wrapText="0"/>
    </xf>
    <xf borderId="0" fillId="0" fontId="5" numFmtId="2" xfId="0" applyAlignment="1" applyFont="1" applyNumberFormat="1">
      <alignment horizontal="center" readingOrder="0" shrinkToFit="0" vertical="bottom" wrapText="0"/>
    </xf>
    <xf borderId="0" fillId="0" fontId="1" numFmtId="2" xfId="0" applyAlignment="1" applyFont="1" applyNumberFormat="1">
      <alignment horizontal="center"/>
    </xf>
    <xf borderId="0" fillId="5" fontId="5" numFmtId="2" xfId="0" applyAlignment="1" applyFill="1" applyFont="1" applyNumberFormat="1">
      <alignment horizontal="center" readingOrder="0" shrinkToFit="0" vertical="bottom" wrapText="0"/>
    </xf>
    <xf borderId="0" fillId="0" fontId="1" numFmtId="172" xfId="0" applyAlignment="1" applyFont="1" applyNumberFormat="1">
      <alignment horizontal="center"/>
    </xf>
    <xf borderId="1" fillId="0" fontId="1" numFmtId="0" xfId="0" applyAlignment="1" applyBorder="1" applyFont="1">
      <alignment readingOrder="0"/>
    </xf>
    <xf borderId="1" fillId="0" fontId="4" numFmtId="0" xfId="0" applyAlignment="1" applyBorder="1" applyFont="1">
      <alignment horizontal="center" readingOrder="0"/>
    </xf>
    <xf borderId="1" fillId="0" fontId="1" numFmtId="0" xfId="0" applyAlignment="1" applyBorder="1" applyFont="1">
      <alignment horizontal="center" readingOrder="0"/>
    </xf>
    <xf borderId="0" fillId="2" fontId="39" numFmtId="164" xfId="0" applyAlignment="1" applyFill="1" applyFont="1" applyNumberFormat="1">
      <alignment horizontal="center" readingOrder="0" vertical="center"/>
    </xf>
    <xf borderId="10" fillId="20" fontId="8" numFmtId="2" xfId="0" applyAlignment="1" applyBorder="1" applyFill="1" applyFont="1" applyNumberForma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75" Type="http://schemas.openxmlformats.org/officeDocument/2006/relationships/worksheet" Target="worksheets/sheet71.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77" Type="http://schemas.openxmlformats.org/officeDocument/2006/relationships/worksheet" Target="worksheets/sheet73.xml"/><Relationship Id="rId32" Type="http://schemas.openxmlformats.org/officeDocument/2006/relationships/worksheet" Target="worksheets/sheet28.xml"/><Relationship Id="rId76" Type="http://schemas.openxmlformats.org/officeDocument/2006/relationships/worksheet" Target="worksheets/sheet72.xml"/><Relationship Id="rId35" Type="http://schemas.openxmlformats.org/officeDocument/2006/relationships/worksheet" Target="worksheets/sheet31.xml"/><Relationship Id="rId34" Type="http://schemas.openxmlformats.org/officeDocument/2006/relationships/worksheet" Target="worksheets/sheet30.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5.png"/></Relationships>
</file>

<file path=xl/drawings/_rels/drawing41.xml.rels><?xml version="1.0" encoding="UTF-8" standalone="yes"?><Relationships xmlns="http://schemas.openxmlformats.org/package/2006/relationships"><Relationship Id="rId1" Type="http://schemas.openxmlformats.org/officeDocument/2006/relationships/image" Target="../media/image5.png"/></Relationships>
</file>

<file path=xl/drawings/_rels/drawing4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4.xml.rels><?xml version="1.0" encoding="UTF-8" standalone="yes"?><Relationships xmlns="http://schemas.openxmlformats.org/package/2006/relationships"><Relationship Id="rId1" Type="http://schemas.openxmlformats.org/officeDocument/2006/relationships/image" Target="../media/image5.png"/></Relationships>
</file>

<file path=xl/drawings/_rels/drawing45.xml.rels><?xml version="1.0" encoding="UTF-8" standalone="yes"?><Relationships xmlns="http://schemas.openxmlformats.org/package/2006/relationships"><Relationship Id="rId1" Type="http://schemas.openxmlformats.org/officeDocument/2006/relationships/image" Target="../media/image5.png"/></Relationships>
</file>

<file path=xl/drawings/_rels/drawing46.xml.rels><?xml version="1.0" encoding="UTF-8" standalone="yes"?><Relationships xmlns="http://schemas.openxmlformats.org/package/2006/relationships"><Relationship Id="rId1" Type="http://schemas.openxmlformats.org/officeDocument/2006/relationships/image" Target="../media/image5.png"/></Relationships>
</file>

<file path=xl/drawings/_rels/drawing47.xml.rels><?xml version="1.0" encoding="UTF-8" standalone="yes"?><Relationships xmlns="http://schemas.openxmlformats.org/package/2006/relationships"><Relationship Id="rId1" Type="http://schemas.openxmlformats.org/officeDocument/2006/relationships/image" Target="../media/image5.png"/></Relationships>
</file>

<file path=xl/drawings/_rels/drawing48.xml.rels><?xml version="1.0" encoding="UTF-8" standalone="yes"?><Relationships xmlns="http://schemas.openxmlformats.org/package/2006/relationships"><Relationship Id="rId1" Type="http://schemas.openxmlformats.org/officeDocument/2006/relationships/image" Target="../media/image5.png"/></Relationships>
</file>

<file path=xl/drawings/_rels/drawing49.xml.rels><?xml version="1.0" encoding="UTF-8" standalone="yes"?><Relationships xmlns="http://schemas.openxmlformats.org/package/2006/relationships"><Relationship Id="rId1" Type="http://schemas.openxmlformats.org/officeDocument/2006/relationships/image" Target="../media/image5.png"/></Relationships>
</file>

<file path=xl/drawings/_rels/drawing50.xml.rels><?xml version="1.0" encoding="UTF-8" standalone="yes"?><Relationships xmlns="http://schemas.openxmlformats.org/package/2006/relationships"><Relationship Id="rId1" Type="http://schemas.openxmlformats.org/officeDocument/2006/relationships/image" Target="../media/image5.png"/></Relationships>
</file>

<file path=xl/drawings/_rels/drawing52.xml.rels><?xml version="1.0" encoding="UTF-8" standalone="yes"?><Relationships xmlns="http://schemas.openxmlformats.org/package/2006/relationships"><Relationship Id="rId1" Type="http://schemas.openxmlformats.org/officeDocument/2006/relationships/image" Target="../media/image5.png"/></Relationships>
</file>

<file path=xl/drawings/_rels/drawing5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704850</xdr:colOff>
      <xdr:row>0</xdr:row>
      <xdr:rowOff>0</xdr:rowOff>
    </xdr:from>
    <xdr:ext cx="7848600" cy="3438525"/>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114300</xdr:colOff>
      <xdr:row>0</xdr:row>
      <xdr:rowOff>6981825</xdr:rowOff>
    </xdr:from>
    <xdr:ext cx="7753350" cy="3609975"/>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828675</xdr:colOff>
      <xdr:row>3</xdr:row>
      <xdr:rowOff>657225</xdr:rowOff>
    </xdr:from>
    <xdr:ext cx="10448925" cy="3609975"/>
    <xdr:pic>
      <xdr:nvPicPr>
        <xdr:cNvPr id="0" name="image3.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419100</xdr:colOff>
      <xdr:row>8</xdr:row>
      <xdr:rowOff>66675</xdr:rowOff>
    </xdr:from>
    <xdr:ext cx="5153025" cy="3848100"/>
    <xdr:pic>
      <xdr:nvPicPr>
        <xdr:cNvPr id="0" name="image4.pn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676275</xdr:colOff>
      <xdr:row>4</xdr:row>
      <xdr:rowOff>276225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676275</xdr:colOff>
      <xdr:row>4</xdr:row>
      <xdr:rowOff>276225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190500</xdr:colOff>
      <xdr:row>16</xdr:row>
      <xdr:rowOff>95250</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190500</xdr:colOff>
      <xdr:row>16</xdr:row>
      <xdr:rowOff>95250</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190500</xdr:colOff>
      <xdr:row>16</xdr:row>
      <xdr:rowOff>95250</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190500</xdr:colOff>
      <xdr:row>18</xdr:row>
      <xdr:rowOff>95250</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190500</xdr:colOff>
      <xdr:row>18</xdr:row>
      <xdr:rowOff>95250</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257175</xdr:colOff>
      <xdr:row>20</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257175</xdr:colOff>
      <xdr:row>20</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26</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26</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26</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26</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26</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31</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31</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31</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31</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30</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xdr:colOff>
      <xdr:row>30</xdr:row>
      <xdr:rowOff>85725</xdr:rowOff>
    </xdr:from>
    <xdr:ext cx="4152900" cy="1190625"/>
    <xdr:pic>
      <xdr:nvPicPr>
        <xdr:cNvPr id="0" name="image5.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hsmarkit.com/solutions/steel-forecast.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ihsmarkit.com/solutions/steel-forecast.htm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www.cbr.ru/statistics/macro_itm/svs/" TargetMode="External"/><Relationship Id="rId2" Type="http://schemas.openxmlformats.org/officeDocument/2006/relationships/hyperlink" Target="http://www.cbr.ru/statistics/macro_itm/svs/bop-eval/" TargetMode="External"/><Relationship Id="rId3" Type="http://schemas.openxmlformats.org/officeDocument/2006/relationships/hyperlink" Target="http://cbr.ru/Collection/Collection/File/45128/ORFR_2023-06.pdf" TargetMode="External"/><Relationship Id="rId4" Type="http://schemas.openxmlformats.org/officeDocument/2006/relationships/hyperlink" Target="http://www.cbr.ru/statistics/macro_itm/households/" TargetMode="External"/><Relationship Id="rId9" Type="http://schemas.openxmlformats.org/officeDocument/2006/relationships/drawing" Target="../drawings/drawing26.xml"/><Relationship Id="rId5" Type="http://schemas.openxmlformats.org/officeDocument/2006/relationships/hyperlink" Target="http://cbr.ru/Collection/Collection/File/45128/ORFR_2023-06.pdf" TargetMode="External"/><Relationship Id="rId6" Type="http://schemas.openxmlformats.org/officeDocument/2006/relationships/hyperlink" Target="http://cbr.ru/Collection/Collection/File/45128/ORFR_2023-06.pdf" TargetMode="External"/><Relationship Id="rId7" Type="http://schemas.openxmlformats.org/officeDocument/2006/relationships/hyperlink" Target="http://www.cbr.ru/statistics/macro_itm/svs/p_balance/" TargetMode="External"/><Relationship Id="rId8" Type="http://schemas.openxmlformats.org/officeDocument/2006/relationships/hyperlink" Target="http://cbr.ru/Collection/Collection/File/45128/ORFR_2023-06.pdf"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hyperlink" Target="https://www.rbc.ru/economics/08/08/2023/64d0baac9a79477a5253276f"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1.xml"/><Relationship Id="rId3" Type="http://schemas.openxmlformats.org/officeDocument/2006/relationships/vmlDrawing" Target="../drawings/vmlDrawing1.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2.xml"/><Relationship Id="rId3" Type="http://schemas.openxmlformats.org/officeDocument/2006/relationships/vmlDrawing" Target="../drawings/vmlDrawing2.v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2.63" defaultRowHeight="15.75"/>
  <cols>
    <col customWidth="1" min="8" max="10" width="12.5"/>
    <col customWidth="1" min="11" max="11" width="36.75"/>
  </cols>
  <sheetData>
    <row r="1">
      <c r="A1" s="1"/>
      <c r="B1" s="2"/>
      <c r="C1" s="2" t="s">
        <v>0</v>
      </c>
      <c r="D1" s="2" t="s">
        <v>1</v>
      </c>
      <c r="E1" s="2" t="s">
        <v>2</v>
      </c>
      <c r="F1" s="2" t="s">
        <v>3</v>
      </c>
      <c r="G1" s="2" t="s">
        <v>4</v>
      </c>
      <c r="H1" s="2" t="s">
        <v>5</v>
      </c>
      <c r="I1" s="2" t="s">
        <v>6</v>
      </c>
      <c r="J1" s="2" t="s">
        <v>7</v>
      </c>
      <c r="K1" s="2" t="s">
        <v>8</v>
      </c>
      <c r="L1" s="2" t="s">
        <v>9</v>
      </c>
      <c r="M1" s="2" t="s">
        <v>10</v>
      </c>
      <c r="N1" s="2" t="s">
        <v>11</v>
      </c>
      <c r="O1" s="2" t="s">
        <v>12</v>
      </c>
      <c r="P1" s="2" t="s">
        <v>13</v>
      </c>
      <c r="Q1" s="2" t="s">
        <v>14</v>
      </c>
    </row>
    <row r="2">
      <c r="A2" s="3" t="s">
        <v>15</v>
      </c>
      <c r="B2" s="4"/>
      <c r="C2" s="4" t="s">
        <v>16</v>
      </c>
      <c r="D2" s="4" t="s">
        <v>17</v>
      </c>
      <c r="E2" s="4" t="s">
        <v>17</v>
      </c>
      <c r="F2" s="4" t="s">
        <v>18</v>
      </c>
      <c r="G2" s="4" t="s">
        <v>18</v>
      </c>
      <c r="H2" s="5"/>
      <c r="I2" s="5"/>
      <c r="J2" s="5"/>
      <c r="K2" s="6" t="s">
        <v>19</v>
      </c>
      <c r="L2" s="3" t="s">
        <v>20</v>
      </c>
      <c r="M2" s="3" t="s">
        <v>21</v>
      </c>
      <c r="N2" s="7" t="s">
        <v>22</v>
      </c>
      <c r="O2" s="8" t="s">
        <v>21</v>
      </c>
      <c r="P2" s="3" t="s">
        <v>23</v>
      </c>
      <c r="Q2" s="8" t="s">
        <v>21</v>
      </c>
    </row>
    <row r="3">
      <c r="A3" s="3" t="s">
        <v>24</v>
      </c>
      <c r="B3" s="4"/>
      <c r="C3" s="4" t="s">
        <v>25</v>
      </c>
      <c r="D3" s="4" t="s">
        <v>26</v>
      </c>
      <c r="E3" s="4" t="s">
        <v>26</v>
      </c>
      <c r="F3" s="4" t="s">
        <v>27</v>
      </c>
      <c r="G3" s="4" t="s">
        <v>27</v>
      </c>
      <c r="H3" s="5"/>
      <c r="I3" s="5"/>
      <c r="J3" s="5"/>
      <c r="L3" s="3" t="s">
        <v>20</v>
      </c>
      <c r="M3" s="3" t="s">
        <v>21</v>
      </c>
      <c r="N3" s="7" t="s">
        <v>22</v>
      </c>
      <c r="O3" s="8" t="s">
        <v>21</v>
      </c>
      <c r="P3" s="3" t="s">
        <v>23</v>
      </c>
      <c r="Q3" s="8" t="s">
        <v>21</v>
      </c>
    </row>
    <row r="4">
      <c r="A4" s="3" t="s">
        <v>28</v>
      </c>
      <c r="B4" s="4"/>
      <c r="C4" s="4" t="s">
        <v>29</v>
      </c>
      <c r="D4" s="4" t="s">
        <v>30</v>
      </c>
      <c r="E4" s="4" t="s">
        <v>31</v>
      </c>
      <c r="F4" s="4" t="s">
        <v>29</v>
      </c>
      <c r="G4" s="4" t="s">
        <v>32</v>
      </c>
      <c r="H4" s="5"/>
      <c r="I4" s="5"/>
      <c r="J4" s="5"/>
      <c r="L4" s="3" t="s">
        <v>33</v>
      </c>
      <c r="M4" s="6" t="s">
        <v>34</v>
      </c>
      <c r="N4" s="3" t="s">
        <v>23</v>
      </c>
      <c r="O4" s="6" t="s">
        <v>21</v>
      </c>
      <c r="Q4" s="8" t="s">
        <v>21</v>
      </c>
    </row>
    <row r="5">
      <c r="A5" s="3" t="s">
        <v>35</v>
      </c>
      <c r="B5" s="4"/>
      <c r="C5" s="4">
        <v>5.7</v>
      </c>
      <c r="D5" s="4" t="s">
        <v>36</v>
      </c>
      <c r="E5" s="4" t="s">
        <v>37</v>
      </c>
      <c r="F5" s="4" t="s">
        <v>38</v>
      </c>
      <c r="G5" s="4" t="s">
        <v>39</v>
      </c>
      <c r="H5" s="4"/>
      <c r="I5" s="9"/>
      <c r="J5" s="4"/>
      <c r="L5" s="3" t="s">
        <v>20</v>
      </c>
      <c r="M5" s="3" t="s">
        <v>40</v>
      </c>
      <c r="N5" s="7" t="s">
        <v>22</v>
      </c>
      <c r="O5" s="6" t="s">
        <v>41</v>
      </c>
      <c r="P5" s="3" t="s">
        <v>23</v>
      </c>
      <c r="Q5" s="8" t="s">
        <v>21</v>
      </c>
    </row>
    <row r="6">
      <c r="A6" s="3" t="s">
        <v>42</v>
      </c>
      <c r="B6" s="4"/>
      <c r="C6" s="4">
        <v>4.5</v>
      </c>
      <c r="D6" s="4" t="s">
        <v>43</v>
      </c>
      <c r="E6" s="4" t="s">
        <v>44</v>
      </c>
      <c r="F6" s="4" t="s">
        <v>45</v>
      </c>
      <c r="G6" s="4" t="s">
        <v>45</v>
      </c>
      <c r="H6" s="5"/>
      <c r="I6" s="5"/>
      <c r="J6" s="5"/>
      <c r="L6" s="3" t="s">
        <v>20</v>
      </c>
      <c r="M6" s="3" t="s">
        <v>21</v>
      </c>
      <c r="N6" s="7" t="s">
        <v>22</v>
      </c>
      <c r="O6" s="6" t="s">
        <v>46</v>
      </c>
      <c r="P6" s="3" t="s">
        <v>23</v>
      </c>
      <c r="Q6" s="8" t="s">
        <v>21</v>
      </c>
    </row>
    <row r="8">
      <c r="A8" s="3" t="s">
        <v>47</v>
      </c>
      <c r="C8" s="4">
        <v>5.7</v>
      </c>
      <c r="D8" s="4">
        <v>5.7</v>
      </c>
      <c r="E8" s="4">
        <v>5.6</v>
      </c>
      <c r="F8" s="4">
        <v>4.7</v>
      </c>
      <c r="G8" s="4">
        <v>3.9</v>
      </c>
      <c r="H8" s="4">
        <v>3.9</v>
      </c>
      <c r="I8" s="9">
        <v>4.0</v>
      </c>
      <c r="J8" s="4">
        <v>4.1</v>
      </c>
    </row>
    <row r="12">
      <c r="A12" s="3" t="s">
        <v>48</v>
      </c>
      <c r="C12" s="10"/>
      <c r="D12" s="10"/>
      <c r="E12" s="10"/>
      <c r="F12" s="10"/>
      <c r="G12" s="10"/>
      <c r="H12" s="10"/>
      <c r="I12" s="10"/>
      <c r="J12" s="10"/>
    </row>
    <row r="13">
      <c r="A13" s="3" t="s">
        <v>15</v>
      </c>
      <c r="B13" s="11"/>
      <c r="C13" s="10">
        <v>74.2</v>
      </c>
      <c r="D13" s="10">
        <v>75.1</v>
      </c>
      <c r="E13" s="10">
        <v>75.1</v>
      </c>
      <c r="F13" s="10">
        <v>75.7</v>
      </c>
      <c r="G13" s="10">
        <v>78.4</v>
      </c>
      <c r="H13" s="10">
        <v>78.3</v>
      </c>
      <c r="I13" s="10">
        <v>78.3</v>
      </c>
      <c r="J13" s="10">
        <v>78.2</v>
      </c>
      <c r="K13" s="3" t="s">
        <v>49</v>
      </c>
    </row>
    <row r="14">
      <c r="A14" s="3" t="s">
        <v>50</v>
      </c>
      <c r="B14" s="12"/>
      <c r="C14" s="12"/>
      <c r="D14" s="13"/>
      <c r="E14" s="13"/>
      <c r="F14" s="4">
        <v>4.5</v>
      </c>
      <c r="G14" s="5"/>
      <c r="H14" s="14"/>
      <c r="I14" s="14"/>
      <c r="J14" s="4">
        <v>3.9</v>
      </c>
      <c r="K14" s="3" t="s">
        <v>51</v>
      </c>
    </row>
    <row r="15">
      <c r="B15" s="15" t="s">
        <v>52</v>
      </c>
      <c r="C15" s="16"/>
      <c r="D15" s="16"/>
      <c r="E15" s="16"/>
      <c r="F15" s="17" t="s">
        <v>53</v>
      </c>
      <c r="G15" s="18"/>
      <c r="H15" s="18"/>
      <c r="I15" s="18"/>
      <c r="J15" s="18"/>
      <c r="K15" s="3"/>
      <c r="L15" s="19"/>
    </row>
    <row r="16">
      <c r="A16" s="3"/>
      <c r="B16" s="16" t="s">
        <v>28</v>
      </c>
      <c r="C16" s="16"/>
      <c r="D16" s="16"/>
      <c r="E16" s="16"/>
      <c r="F16" s="18">
        <f>F26</f>
        <v>64</v>
      </c>
      <c r="G16" s="18"/>
      <c r="H16" s="18"/>
      <c r="I16" s="18"/>
      <c r="J16" s="18">
        <f>J26</f>
        <v>62</v>
      </c>
      <c r="K16" s="3" t="s">
        <v>54</v>
      </c>
      <c r="L16" s="19"/>
    </row>
    <row r="17">
      <c r="A17" s="3"/>
      <c r="B17" s="16" t="s">
        <v>55</v>
      </c>
      <c r="C17" s="16"/>
      <c r="D17" s="16"/>
      <c r="E17" s="16"/>
      <c r="F17" s="20">
        <v>0.072</v>
      </c>
      <c r="G17" s="18"/>
      <c r="H17" s="18"/>
      <c r="I17" s="18"/>
      <c r="J17" s="20">
        <v>-0.022</v>
      </c>
      <c r="K17" s="3" t="s">
        <v>56</v>
      </c>
      <c r="L17" s="19"/>
    </row>
    <row r="18">
      <c r="A18" s="3"/>
      <c r="B18" s="16" t="s">
        <v>57</v>
      </c>
      <c r="C18" s="16"/>
      <c r="D18" s="16"/>
      <c r="E18" s="16"/>
      <c r="F18" s="21">
        <v>0.1</v>
      </c>
      <c r="G18" s="18"/>
      <c r="H18" s="18"/>
      <c r="I18" s="18"/>
      <c r="J18" s="21">
        <v>0.047</v>
      </c>
      <c r="K18" s="3" t="s">
        <v>56</v>
      </c>
      <c r="L18" s="19"/>
    </row>
    <row r="19">
      <c r="A19" s="3"/>
      <c r="B19" s="16" t="s">
        <v>58</v>
      </c>
      <c r="C19" s="16"/>
      <c r="D19" s="16"/>
      <c r="E19" s="16"/>
      <c r="F19" s="21">
        <v>-0.134</v>
      </c>
      <c r="G19" s="18"/>
      <c r="H19" s="18"/>
      <c r="I19" s="18"/>
      <c r="J19" s="21">
        <v>-0.075</v>
      </c>
      <c r="K19" s="3" t="s">
        <v>56</v>
      </c>
      <c r="L19" s="19" t="s">
        <v>59</v>
      </c>
    </row>
    <row r="20">
      <c r="A20" s="3"/>
      <c r="B20" s="16" t="s">
        <v>60</v>
      </c>
      <c r="C20" s="16"/>
      <c r="D20" s="16"/>
      <c r="E20" s="16"/>
      <c r="F20" s="21">
        <v>0.043</v>
      </c>
      <c r="G20" s="18"/>
      <c r="H20" s="18"/>
      <c r="I20" s="18"/>
      <c r="J20" s="21">
        <v>-0.099</v>
      </c>
      <c r="K20" s="3" t="s">
        <v>56</v>
      </c>
      <c r="L20" s="19" t="s">
        <v>61</v>
      </c>
    </row>
    <row r="21">
      <c r="A21" s="3"/>
      <c r="B21" s="16" t="s">
        <v>62</v>
      </c>
      <c r="C21" s="16"/>
      <c r="D21" s="16"/>
      <c r="E21" s="16"/>
      <c r="F21" s="18">
        <f> F13</f>
        <v>75.7</v>
      </c>
      <c r="G21" s="18"/>
      <c r="H21" s="18"/>
      <c r="I21" s="18"/>
      <c r="J21" s="18">
        <f> J13</f>
        <v>78.2</v>
      </c>
      <c r="K21" s="3" t="s">
        <v>63</v>
      </c>
      <c r="L21" s="19"/>
    </row>
    <row r="22">
      <c r="A22" s="3"/>
      <c r="B22" s="16" t="s">
        <v>64</v>
      </c>
      <c r="C22" s="16"/>
      <c r="D22" s="16"/>
      <c r="E22" s="16"/>
      <c r="F22" s="20">
        <v>0.06</v>
      </c>
      <c r="G22" s="18"/>
      <c r="H22" s="18"/>
      <c r="I22" s="18"/>
      <c r="J22" s="20">
        <v>0.07</v>
      </c>
      <c r="K22" s="3" t="s">
        <v>65</v>
      </c>
      <c r="L22" s="19"/>
    </row>
    <row r="23">
      <c r="A23" s="3"/>
      <c r="B23" s="16" t="s">
        <v>66</v>
      </c>
      <c r="C23" s="16"/>
      <c r="D23" s="16"/>
      <c r="E23" s="16"/>
      <c r="F23" s="21">
        <v>0.042</v>
      </c>
      <c r="G23" s="18"/>
      <c r="H23" s="18"/>
      <c r="I23" s="18"/>
      <c r="J23" s="21">
        <v>0.042</v>
      </c>
      <c r="K23" s="3" t="s">
        <v>67</v>
      </c>
      <c r="L23" s="19"/>
    </row>
    <row r="24">
      <c r="A24" s="3"/>
      <c r="B24" s="16" t="s">
        <v>68</v>
      </c>
      <c r="C24" s="16"/>
      <c r="D24" s="16"/>
      <c r="E24" s="16"/>
      <c r="F24" s="21">
        <v>0.024</v>
      </c>
      <c r="G24" s="18"/>
      <c r="H24" s="18"/>
      <c r="I24" s="18"/>
      <c r="J24" s="21">
        <v>0.024</v>
      </c>
      <c r="K24" s="3" t="s">
        <v>67</v>
      </c>
      <c r="L24" s="19"/>
    </row>
    <row r="26">
      <c r="A26" s="3" t="s">
        <v>28</v>
      </c>
      <c r="B26" s="10" t="s">
        <v>69</v>
      </c>
      <c r="C26" s="16">
        <v>55.7</v>
      </c>
      <c r="D26" s="16">
        <v>67.0</v>
      </c>
      <c r="E26" s="16">
        <v>66.0</v>
      </c>
      <c r="F26" s="18">
        <v>64.0</v>
      </c>
      <c r="G26" s="18">
        <v>62.0</v>
      </c>
      <c r="H26" s="18">
        <v>62.0</v>
      </c>
      <c r="I26" s="18">
        <v>62.0</v>
      </c>
      <c r="J26" s="18">
        <v>62.0</v>
      </c>
      <c r="K26" s="3" t="s">
        <v>70</v>
      </c>
      <c r="L26" s="19" t="s">
        <v>71</v>
      </c>
      <c r="M26" s="19" t="s">
        <v>72</v>
      </c>
      <c r="N26" s="3" t="s">
        <v>73</v>
      </c>
    </row>
    <row r="27">
      <c r="A27" s="22" t="s">
        <v>74</v>
      </c>
      <c r="B27" s="10" t="s">
        <v>75</v>
      </c>
      <c r="C27" s="10">
        <v>188.0</v>
      </c>
      <c r="D27" s="10">
        <v>181.0</v>
      </c>
      <c r="E27" s="10">
        <v>187.0</v>
      </c>
      <c r="F27" s="10">
        <v>210.0</v>
      </c>
      <c r="G27" s="10">
        <v>204.0</v>
      </c>
      <c r="H27" s="10">
        <v>182.0</v>
      </c>
      <c r="I27" s="10">
        <v>187.0</v>
      </c>
      <c r="J27" s="10">
        <v>209.0</v>
      </c>
      <c r="K27" s="3" t="s">
        <v>70</v>
      </c>
    </row>
    <row r="28">
      <c r="A28" s="22" t="s">
        <v>76</v>
      </c>
      <c r="B28" s="10" t="s">
        <v>77</v>
      </c>
      <c r="C28" s="10">
        <v>791.0</v>
      </c>
      <c r="D28" s="10">
        <v>656.0</v>
      </c>
      <c r="E28" s="10">
        <v>593.0</v>
      </c>
      <c r="F28" s="10">
        <v>513.0</v>
      </c>
      <c r="G28" s="10">
        <v>529.0</v>
      </c>
      <c r="H28" s="10">
        <v>526.0</v>
      </c>
      <c r="I28" s="10">
        <v>522.0</v>
      </c>
      <c r="J28" s="10">
        <v>523.0</v>
      </c>
      <c r="K28" s="3" t="s">
        <v>70</v>
      </c>
    </row>
    <row r="31">
      <c r="A31" s="3" t="s">
        <v>78</v>
      </c>
      <c r="B31" s="12" t="s">
        <v>79</v>
      </c>
      <c r="C31" s="10">
        <v>100.1</v>
      </c>
      <c r="D31" s="10">
        <v>108.0</v>
      </c>
      <c r="E31" s="10">
        <v>101.5</v>
      </c>
      <c r="F31" s="10">
        <v>103.9</v>
      </c>
      <c r="G31" s="10">
        <v>100.6</v>
      </c>
      <c r="H31" s="10">
        <v>102.2</v>
      </c>
      <c r="I31" s="10">
        <v>100.7</v>
      </c>
      <c r="J31" s="10">
        <v>102.7</v>
      </c>
    </row>
    <row r="32">
      <c r="A32" s="3" t="s">
        <v>80</v>
      </c>
      <c r="B32" s="3" t="s">
        <v>79</v>
      </c>
      <c r="C32" s="10">
        <v>97.0</v>
      </c>
      <c r="D32" s="10">
        <v>121.0</v>
      </c>
      <c r="E32" s="10">
        <v>106.0</v>
      </c>
      <c r="F32" s="10">
        <v>105.0</v>
      </c>
      <c r="G32" s="10">
        <v>102.0</v>
      </c>
      <c r="H32" s="10">
        <v>102.0</v>
      </c>
      <c r="I32" s="10">
        <v>102.0</v>
      </c>
      <c r="J32" s="10">
        <v>102.0</v>
      </c>
    </row>
    <row r="33">
      <c r="A33" s="3" t="s">
        <v>81</v>
      </c>
      <c r="B33" s="3" t="s">
        <v>79</v>
      </c>
      <c r="C33" s="10">
        <v>105.6</v>
      </c>
      <c r="D33" s="10">
        <v>105.6</v>
      </c>
      <c r="E33" s="10">
        <v>105.5</v>
      </c>
      <c r="F33" s="10">
        <v>104.9</v>
      </c>
      <c r="G33" s="10">
        <v>104.0</v>
      </c>
      <c r="H33" s="10">
        <v>104.0</v>
      </c>
      <c r="I33" s="10">
        <v>104.0</v>
      </c>
      <c r="J33" s="10">
        <v>104.0</v>
      </c>
    </row>
    <row r="37">
      <c r="A37" s="3" t="s">
        <v>15</v>
      </c>
      <c r="C37" s="11">
        <v>74.2</v>
      </c>
      <c r="D37" s="11">
        <v>76.0</v>
      </c>
      <c r="E37" s="11">
        <v>75.1</v>
      </c>
      <c r="F37" s="10">
        <v>75.4</v>
      </c>
      <c r="G37" s="10">
        <v>78.5</v>
      </c>
      <c r="H37" s="10">
        <v>79.1</v>
      </c>
      <c r="I37" s="10">
        <v>78.4</v>
      </c>
      <c r="J37" s="10">
        <v>77.6</v>
      </c>
      <c r="K37" s="3" t="s">
        <v>82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10" width="12.5"/>
    <col customWidth="1" min="11" max="11" width="23.88"/>
  </cols>
  <sheetData>
    <row r="1">
      <c r="A1" s="1"/>
      <c r="B1" s="2"/>
      <c r="C1" s="2" t="s">
        <v>0</v>
      </c>
      <c r="D1" s="2" t="s">
        <v>1</v>
      </c>
      <c r="E1" s="2" t="s">
        <v>2</v>
      </c>
      <c r="F1" s="2" t="s">
        <v>3</v>
      </c>
      <c r="G1" s="2" t="s">
        <v>4</v>
      </c>
      <c r="H1" s="2" t="s">
        <v>5</v>
      </c>
      <c r="I1" s="2" t="s">
        <v>6</v>
      </c>
      <c r="J1" s="2" t="s">
        <v>7</v>
      </c>
      <c r="K1" s="2" t="s">
        <v>8</v>
      </c>
      <c r="L1" s="2" t="s">
        <v>9</v>
      </c>
      <c r="M1" s="2" t="s">
        <v>10</v>
      </c>
      <c r="N1" s="2" t="s">
        <v>11</v>
      </c>
      <c r="O1" s="2" t="s">
        <v>12</v>
      </c>
      <c r="P1" s="2" t="s">
        <v>13</v>
      </c>
      <c r="Q1" s="2" t="s">
        <v>14</v>
      </c>
    </row>
    <row r="2">
      <c r="A2" s="3" t="s">
        <v>15</v>
      </c>
      <c r="B2" s="4"/>
      <c r="C2" s="4" t="s">
        <v>16</v>
      </c>
      <c r="D2" s="4" t="s">
        <v>17</v>
      </c>
      <c r="E2" s="4" t="s">
        <v>17</v>
      </c>
      <c r="F2" s="4" t="s">
        <v>17</v>
      </c>
      <c r="G2" s="4" t="s">
        <v>18</v>
      </c>
      <c r="H2" s="5"/>
      <c r="I2" s="5"/>
      <c r="J2" s="5"/>
      <c r="K2" s="6" t="s">
        <v>19</v>
      </c>
      <c r="L2" s="3" t="s">
        <v>20</v>
      </c>
      <c r="M2" s="3" t="s">
        <v>83</v>
      </c>
      <c r="N2" s="7" t="s">
        <v>22</v>
      </c>
      <c r="O2" s="6" t="s">
        <v>21</v>
      </c>
      <c r="P2" s="3" t="s">
        <v>23</v>
      </c>
      <c r="Q2" s="23" t="s">
        <v>21</v>
      </c>
    </row>
    <row r="3">
      <c r="A3" s="3" t="s">
        <v>24</v>
      </c>
      <c r="B3" s="4"/>
      <c r="C3" s="4" t="s">
        <v>25</v>
      </c>
      <c r="D3" s="4" t="s">
        <v>26</v>
      </c>
      <c r="E3" s="4" t="s">
        <v>26</v>
      </c>
      <c r="F3" s="4" t="s">
        <v>27</v>
      </c>
      <c r="G3" s="4" t="s">
        <v>27</v>
      </c>
      <c r="H3" s="5"/>
      <c r="I3" s="5"/>
      <c r="J3" s="5"/>
      <c r="L3" s="3" t="s">
        <v>20</v>
      </c>
      <c r="M3" s="3" t="s">
        <v>84</v>
      </c>
      <c r="N3" s="7" t="s">
        <v>22</v>
      </c>
      <c r="O3" s="6" t="s">
        <v>21</v>
      </c>
      <c r="P3" s="3" t="s">
        <v>23</v>
      </c>
      <c r="Q3" s="23" t="s">
        <v>21</v>
      </c>
    </row>
    <row r="4">
      <c r="A4" s="3" t="s">
        <v>28</v>
      </c>
      <c r="B4" s="4"/>
      <c r="C4" s="4" t="s">
        <v>29</v>
      </c>
      <c r="D4" s="4" t="s">
        <v>30</v>
      </c>
      <c r="E4" s="4" t="s">
        <v>31</v>
      </c>
      <c r="F4" s="4" t="s">
        <v>29</v>
      </c>
      <c r="G4" s="4" t="s">
        <v>32</v>
      </c>
      <c r="H4" s="5"/>
      <c r="I4" s="5"/>
      <c r="J4" s="5"/>
      <c r="L4" s="3" t="s">
        <v>33</v>
      </c>
      <c r="M4" s="6" t="s">
        <v>34</v>
      </c>
      <c r="N4" s="3" t="s">
        <v>23</v>
      </c>
      <c r="O4" s="6" t="s">
        <v>21</v>
      </c>
      <c r="Q4" s="8" t="s">
        <v>21</v>
      </c>
    </row>
    <row r="5">
      <c r="A5" s="3" t="s">
        <v>35</v>
      </c>
      <c r="B5" s="4"/>
      <c r="C5" s="4">
        <v>5.7</v>
      </c>
      <c r="D5" s="24" t="s">
        <v>85</v>
      </c>
      <c r="E5" s="24" t="s">
        <v>37</v>
      </c>
      <c r="F5" s="24" t="s">
        <v>86</v>
      </c>
      <c r="G5" s="24" t="s">
        <v>87</v>
      </c>
      <c r="H5" s="4"/>
      <c r="I5" s="9"/>
      <c r="J5" s="4"/>
      <c r="L5" s="3" t="s">
        <v>20</v>
      </c>
      <c r="M5" s="3" t="s">
        <v>88</v>
      </c>
      <c r="N5" s="7" t="s">
        <v>22</v>
      </c>
      <c r="O5" s="6" t="s">
        <v>21</v>
      </c>
      <c r="P5" s="3" t="s">
        <v>23</v>
      </c>
      <c r="Q5" s="23" t="s">
        <v>21</v>
      </c>
    </row>
    <row r="6">
      <c r="A6" s="3" t="s">
        <v>42</v>
      </c>
      <c r="B6" s="4"/>
      <c r="C6" s="4">
        <v>4.5</v>
      </c>
      <c r="D6" s="24" t="s">
        <v>89</v>
      </c>
      <c r="E6" s="24" t="s">
        <v>90</v>
      </c>
      <c r="F6" s="24" t="s">
        <v>90</v>
      </c>
      <c r="G6" s="24" t="s">
        <v>90</v>
      </c>
      <c r="H6" s="5"/>
      <c r="I6" s="5"/>
      <c r="J6" s="5"/>
      <c r="L6" s="3" t="s">
        <v>20</v>
      </c>
      <c r="M6" s="3" t="s">
        <v>91</v>
      </c>
      <c r="N6" s="7" t="s">
        <v>22</v>
      </c>
      <c r="O6" s="6" t="s">
        <v>21</v>
      </c>
      <c r="P6" s="3" t="s">
        <v>23</v>
      </c>
      <c r="Q6" s="23" t="s">
        <v>21</v>
      </c>
    </row>
    <row r="8">
      <c r="A8" s="3" t="s">
        <v>47</v>
      </c>
      <c r="C8" s="4">
        <v>5.7</v>
      </c>
      <c r="D8" s="4">
        <v>6.0</v>
      </c>
      <c r="E8" s="4">
        <v>5.8</v>
      </c>
      <c r="F8" s="4">
        <v>5.0</v>
      </c>
      <c r="G8" s="4">
        <v>4.1</v>
      </c>
      <c r="H8" s="4">
        <v>3.9</v>
      </c>
      <c r="I8" s="9">
        <v>4.0</v>
      </c>
      <c r="J8" s="4">
        <v>4.1</v>
      </c>
    </row>
    <row r="12">
      <c r="A12" s="3" t="s">
        <v>48</v>
      </c>
      <c r="C12" s="10"/>
      <c r="D12" s="10"/>
      <c r="E12" s="10"/>
      <c r="F12" s="10"/>
      <c r="G12" s="10"/>
      <c r="H12" s="10"/>
      <c r="I12" s="10"/>
      <c r="J12" s="10"/>
    </row>
    <row r="13">
      <c r="A13" s="3" t="s">
        <v>15</v>
      </c>
      <c r="B13" s="11"/>
      <c r="C13" s="25">
        <v>74.43513333</v>
      </c>
      <c r="D13" s="25">
        <v>73.31440611</v>
      </c>
      <c r="E13" s="25">
        <v>74.05234792</v>
      </c>
      <c r="F13" s="26">
        <v>74.67729714</v>
      </c>
      <c r="G13" s="25">
        <v>76.8870704</v>
      </c>
      <c r="H13" s="25">
        <v>74.27864204</v>
      </c>
      <c r="I13" s="25">
        <v>74.51348797</v>
      </c>
      <c r="J13" s="25">
        <v>73.42441999</v>
      </c>
      <c r="K13" s="3" t="s">
        <v>92</v>
      </c>
    </row>
    <row r="14">
      <c r="A14" s="3" t="s">
        <v>50</v>
      </c>
      <c r="B14" s="12"/>
      <c r="C14" s="12"/>
      <c r="D14" s="13"/>
      <c r="E14" s="13"/>
      <c r="F14" s="27">
        <v>5.1</v>
      </c>
      <c r="G14" s="5"/>
      <c r="H14" s="14"/>
      <c r="I14" s="14"/>
      <c r="J14" s="4">
        <v>3.9</v>
      </c>
      <c r="K14" s="3" t="s">
        <v>51</v>
      </c>
    </row>
    <row r="15">
      <c r="B15" s="15" t="s">
        <v>52</v>
      </c>
      <c r="C15" s="16"/>
      <c r="D15" s="16"/>
      <c r="E15" s="16"/>
      <c r="F15" s="17" t="s">
        <v>53</v>
      </c>
      <c r="G15" s="18"/>
      <c r="H15" s="18"/>
      <c r="I15" s="18"/>
      <c r="J15" s="18"/>
      <c r="K15" s="3"/>
      <c r="L15" s="19"/>
    </row>
    <row r="16">
      <c r="A16" s="3"/>
      <c r="B16" s="16" t="s">
        <v>28</v>
      </c>
      <c r="C16" s="16"/>
      <c r="D16" s="16"/>
      <c r="E16" s="16"/>
      <c r="F16" s="18">
        <v>62.4</v>
      </c>
      <c r="G16" s="18"/>
      <c r="H16" s="18"/>
      <c r="I16" s="18"/>
      <c r="J16" s="18">
        <f>J26</f>
        <v>62</v>
      </c>
      <c r="K16" s="3" t="s">
        <v>54</v>
      </c>
      <c r="L16" s="19"/>
    </row>
    <row r="17">
      <c r="A17" s="3"/>
      <c r="B17" s="16" t="s">
        <v>55</v>
      </c>
      <c r="C17" s="16"/>
      <c r="D17" s="16"/>
      <c r="E17" s="16"/>
      <c r="F17" s="20">
        <v>0.074</v>
      </c>
      <c r="G17" s="18"/>
      <c r="H17" s="18"/>
      <c r="I17" s="18"/>
      <c r="J17" s="20">
        <v>-0.022</v>
      </c>
      <c r="K17" s="3" t="s">
        <v>56</v>
      </c>
      <c r="L17" s="19"/>
    </row>
    <row r="18">
      <c r="A18" s="3"/>
      <c r="B18" s="16" t="s">
        <v>57</v>
      </c>
      <c r="C18" s="16"/>
      <c r="D18" s="16"/>
      <c r="E18" s="16"/>
      <c r="F18" s="28">
        <v>0.257</v>
      </c>
      <c r="G18" s="18"/>
      <c r="H18" s="18"/>
      <c r="I18" s="18"/>
      <c r="J18" s="21">
        <v>0.047</v>
      </c>
      <c r="K18" s="3" t="s">
        <v>56</v>
      </c>
      <c r="L18" s="19"/>
    </row>
    <row r="19">
      <c r="A19" s="3"/>
      <c r="B19" s="16" t="s">
        <v>58</v>
      </c>
      <c r="C19" s="16"/>
      <c r="D19" s="16"/>
      <c r="E19" s="16"/>
      <c r="F19" s="21">
        <v>-0.12</v>
      </c>
      <c r="G19" s="18"/>
      <c r="H19" s="18"/>
      <c r="I19" s="18"/>
      <c r="J19" s="21">
        <v>-0.075</v>
      </c>
      <c r="K19" s="3" t="s">
        <v>56</v>
      </c>
      <c r="L19" s="19" t="s">
        <v>59</v>
      </c>
    </row>
    <row r="20">
      <c r="A20" s="3"/>
      <c r="B20" s="16" t="s">
        <v>60</v>
      </c>
      <c r="C20" s="16"/>
      <c r="D20" s="16"/>
      <c r="E20" s="16"/>
      <c r="F20" s="21">
        <v>0.072</v>
      </c>
      <c r="G20" s="18"/>
      <c r="H20" s="18"/>
      <c r="I20" s="18"/>
      <c r="J20" s="21">
        <v>-0.099</v>
      </c>
      <c r="K20" s="3" t="s">
        <v>56</v>
      </c>
      <c r="L20" s="19" t="s">
        <v>61</v>
      </c>
    </row>
    <row r="21">
      <c r="A21" s="3"/>
      <c r="B21" s="16" t="s">
        <v>62</v>
      </c>
      <c r="C21" s="16"/>
      <c r="D21" s="16"/>
      <c r="E21" s="16"/>
      <c r="F21" s="29">
        <f> F13</f>
        <v>74.67729714</v>
      </c>
      <c r="G21" s="18"/>
      <c r="H21" s="18"/>
      <c r="I21" s="18"/>
      <c r="J21" s="29">
        <f> J13</f>
        <v>73.42441999</v>
      </c>
      <c r="K21" s="3" t="s">
        <v>63</v>
      </c>
      <c r="L21" s="19"/>
    </row>
    <row r="22">
      <c r="A22" s="3"/>
      <c r="B22" s="16" t="s">
        <v>64</v>
      </c>
      <c r="C22" s="16"/>
      <c r="D22" s="16"/>
      <c r="E22" s="16"/>
      <c r="F22" s="20">
        <v>0.06</v>
      </c>
      <c r="G22" s="18"/>
      <c r="H22" s="18"/>
      <c r="I22" s="18"/>
      <c r="J22" s="20">
        <v>0.07</v>
      </c>
      <c r="K22" s="3" t="s">
        <v>65</v>
      </c>
      <c r="L22" s="19"/>
    </row>
    <row r="23">
      <c r="A23" s="3"/>
      <c r="B23" s="16" t="s">
        <v>66</v>
      </c>
      <c r="C23" s="16"/>
      <c r="D23" s="16"/>
      <c r="E23" s="16"/>
      <c r="F23" s="21">
        <v>0.042</v>
      </c>
      <c r="G23" s="18"/>
      <c r="H23" s="18"/>
      <c r="I23" s="18"/>
      <c r="J23" s="21">
        <v>0.042</v>
      </c>
      <c r="K23" s="3" t="s">
        <v>67</v>
      </c>
      <c r="L23" s="19"/>
    </row>
    <row r="24">
      <c r="A24" s="3"/>
      <c r="B24" s="16" t="s">
        <v>68</v>
      </c>
      <c r="C24" s="16"/>
      <c r="D24" s="16"/>
      <c r="E24" s="16"/>
      <c r="F24" s="21">
        <v>0.024</v>
      </c>
      <c r="G24" s="18"/>
      <c r="H24" s="18"/>
      <c r="I24" s="18"/>
      <c r="J24" s="21">
        <v>0.024</v>
      </c>
      <c r="K24" s="3" t="s">
        <v>67</v>
      </c>
      <c r="L24" s="19"/>
    </row>
    <row r="26">
      <c r="A26" s="3" t="s">
        <v>28</v>
      </c>
      <c r="B26" s="10" t="s">
        <v>69</v>
      </c>
      <c r="C26" s="16">
        <v>55.7</v>
      </c>
      <c r="D26" s="16">
        <v>67.0</v>
      </c>
      <c r="E26" s="16">
        <v>66.0</v>
      </c>
      <c r="F26" s="18">
        <v>64.0</v>
      </c>
      <c r="G26" s="18">
        <v>62.0</v>
      </c>
      <c r="H26" s="18">
        <v>62.0</v>
      </c>
      <c r="I26" s="18">
        <v>62.0</v>
      </c>
      <c r="J26" s="18">
        <v>62.0</v>
      </c>
      <c r="K26" s="3" t="s">
        <v>70</v>
      </c>
    </row>
    <row r="27">
      <c r="A27" s="22" t="s">
        <v>74</v>
      </c>
      <c r="B27" s="10" t="s">
        <v>75</v>
      </c>
      <c r="C27" s="10">
        <v>188.0</v>
      </c>
      <c r="D27" s="10">
        <v>181.0</v>
      </c>
      <c r="E27" s="10">
        <v>187.0</v>
      </c>
      <c r="F27" s="10">
        <v>210.0</v>
      </c>
      <c r="G27" s="10">
        <v>204.0</v>
      </c>
      <c r="H27" s="10">
        <v>182.0</v>
      </c>
      <c r="I27" s="10">
        <v>187.0</v>
      </c>
      <c r="J27" s="10">
        <v>209.0</v>
      </c>
      <c r="K27" s="3" t="s">
        <v>70</v>
      </c>
    </row>
    <row r="28">
      <c r="A28" s="22" t="s">
        <v>76</v>
      </c>
      <c r="B28" s="10" t="s">
        <v>77</v>
      </c>
      <c r="C28" s="10">
        <v>791.0</v>
      </c>
      <c r="D28" s="10">
        <v>656.0</v>
      </c>
      <c r="E28" s="10">
        <v>593.0</v>
      </c>
      <c r="F28" s="10">
        <v>513.0</v>
      </c>
      <c r="G28" s="10">
        <v>529.0</v>
      </c>
      <c r="H28" s="10">
        <v>526.0</v>
      </c>
      <c r="I28" s="10">
        <v>522.0</v>
      </c>
      <c r="J28" s="10">
        <v>523.0</v>
      </c>
      <c r="K28" s="3" t="s">
        <v>70</v>
      </c>
    </row>
    <row r="31">
      <c r="A31" s="3" t="s">
        <v>78</v>
      </c>
      <c r="B31" s="12" t="s">
        <v>79</v>
      </c>
      <c r="C31" s="10">
        <v>100.1</v>
      </c>
      <c r="D31" s="10">
        <v>108.0</v>
      </c>
      <c r="E31" s="10">
        <v>101.5</v>
      </c>
      <c r="F31" s="10">
        <v>103.9</v>
      </c>
      <c r="G31" s="10">
        <v>100.6</v>
      </c>
      <c r="H31" s="10">
        <v>102.2</v>
      </c>
      <c r="I31" s="10">
        <v>100.7</v>
      </c>
      <c r="J31" s="10">
        <v>102.7</v>
      </c>
    </row>
    <row r="32">
      <c r="A32" s="3" t="s">
        <v>80</v>
      </c>
      <c r="B32" s="3" t="s">
        <v>79</v>
      </c>
      <c r="C32" s="10">
        <v>97.0</v>
      </c>
      <c r="D32" s="10">
        <v>121.0</v>
      </c>
      <c r="E32" s="10">
        <v>106.0</v>
      </c>
      <c r="F32" s="10">
        <v>105.0</v>
      </c>
      <c r="G32" s="10">
        <v>102.0</v>
      </c>
      <c r="H32" s="10">
        <v>102.0</v>
      </c>
      <c r="I32" s="10">
        <v>102.0</v>
      </c>
      <c r="J32" s="10">
        <v>102.0</v>
      </c>
    </row>
    <row r="33">
      <c r="A33" s="3" t="s">
        <v>81</v>
      </c>
      <c r="B33" s="3" t="s">
        <v>79</v>
      </c>
      <c r="C33" s="10">
        <v>105.6</v>
      </c>
      <c r="D33" s="10">
        <v>105.6</v>
      </c>
      <c r="E33" s="10">
        <v>105.5</v>
      </c>
      <c r="F33" s="10">
        <v>104.9</v>
      </c>
      <c r="G33" s="10">
        <v>104.0</v>
      </c>
      <c r="H33" s="10">
        <v>104.0</v>
      </c>
      <c r="I33" s="10">
        <v>104.0</v>
      </c>
      <c r="J33" s="10">
        <v>104.0</v>
      </c>
    </row>
    <row r="37">
      <c r="A37" s="3" t="s">
        <v>93</v>
      </c>
      <c r="C37" s="11"/>
      <c r="D37" s="11"/>
      <c r="E37" s="11"/>
      <c r="F37" s="30">
        <v>73.32</v>
      </c>
      <c r="G37" s="10"/>
      <c r="H37" s="10"/>
      <c r="I37" s="10"/>
      <c r="J37" s="10"/>
    </row>
    <row r="38">
      <c r="A38" s="3" t="s">
        <v>15</v>
      </c>
      <c r="C38" s="10">
        <v>74.2</v>
      </c>
      <c r="D38" s="10">
        <v>75.1</v>
      </c>
      <c r="E38" s="10">
        <v>75.1</v>
      </c>
      <c r="F38" s="10">
        <v>75.7</v>
      </c>
      <c r="G38" s="10">
        <v>78.4</v>
      </c>
      <c r="H38" s="10">
        <v>78.3</v>
      </c>
      <c r="I38" s="10">
        <v>78.3</v>
      </c>
      <c r="J38" s="10">
        <v>78.2</v>
      </c>
      <c r="K38" s="3" t="s">
        <v>94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13"/>
    <col customWidth="1" min="5" max="5" width="14.13"/>
    <col customWidth="1" min="6" max="6" width="14.38"/>
    <col customWidth="1" min="7" max="7" width="27.5"/>
  </cols>
  <sheetData>
    <row r="1">
      <c r="A1" s="31" t="s">
        <v>95</v>
      </c>
      <c r="B1" s="5"/>
      <c r="C1" s="5"/>
      <c r="D1" s="4" t="s">
        <v>96</v>
      </c>
      <c r="E1" s="4" t="s">
        <v>97</v>
      </c>
      <c r="F1" s="4" t="s">
        <v>98</v>
      </c>
    </row>
    <row r="2">
      <c r="B2" s="32" t="s">
        <v>99</v>
      </c>
      <c r="C2" s="32" t="s">
        <v>100</v>
      </c>
      <c r="D2" s="32">
        <v>2021.0</v>
      </c>
      <c r="E2" s="32">
        <v>2021.0</v>
      </c>
      <c r="F2" s="32">
        <v>2021.0</v>
      </c>
      <c r="H2" s="33" t="s">
        <v>101</v>
      </c>
    </row>
    <row r="3">
      <c r="A3" s="34" t="s">
        <v>102</v>
      </c>
      <c r="B3" s="4">
        <v>64.0</v>
      </c>
      <c r="C3" s="4">
        <v>67.0</v>
      </c>
      <c r="D3" s="4">
        <v>65.0</v>
      </c>
      <c r="E3" s="4">
        <v>80.0</v>
      </c>
      <c r="F3" s="4">
        <v>50.0</v>
      </c>
      <c r="G3" s="35" t="str">
        <f t="shared" ref="G3:G5" si="1">A3</f>
        <v>Нефть Brent</v>
      </c>
      <c r="H3" s="33" t="s">
        <v>103</v>
      </c>
    </row>
    <row r="4">
      <c r="A4" s="34" t="s">
        <v>104</v>
      </c>
      <c r="B4" s="36">
        <v>-0.028</v>
      </c>
      <c r="C4" s="36">
        <v>0.009</v>
      </c>
      <c r="D4" s="36">
        <v>0.04</v>
      </c>
      <c r="E4" s="36">
        <v>0.05</v>
      </c>
      <c r="F4" s="36">
        <v>0.01</v>
      </c>
      <c r="G4" s="35" t="str">
        <f t="shared" si="1"/>
        <v>ВВП, физ. рост</v>
      </c>
    </row>
    <row r="5" hidden="1">
      <c r="A5" s="34" t="s">
        <v>81</v>
      </c>
      <c r="B5" s="36">
        <v>0.058</v>
      </c>
      <c r="C5" s="36">
        <v>0.055</v>
      </c>
      <c r="D5" s="36"/>
      <c r="E5" s="36"/>
      <c r="F5" s="36"/>
      <c r="G5" s="35" t="str">
        <f t="shared" si="1"/>
        <v>Инфляция</v>
      </c>
    </row>
    <row r="6" hidden="1">
      <c r="A6" s="31" t="s">
        <v>105</v>
      </c>
      <c r="B6" s="36"/>
      <c r="C6" s="36"/>
      <c r="D6" s="4" t="s">
        <v>106</v>
      </c>
      <c r="E6" s="4" t="s">
        <v>107</v>
      </c>
      <c r="F6" s="4" t="s">
        <v>108</v>
      </c>
    </row>
    <row r="7">
      <c r="A7" s="37" t="s">
        <v>109</v>
      </c>
      <c r="B7" s="38"/>
      <c r="C7" s="38"/>
      <c r="D7" s="39">
        <v>0.065</v>
      </c>
      <c r="E7" s="38">
        <v>0.069</v>
      </c>
      <c r="F7" s="38">
        <v>0.05</v>
      </c>
    </row>
    <row r="8" hidden="1">
      <c r="A8" s="31" t="s">
        <v>110</v>
      </c>
      <c r="B8" s="36"/>
      <c r="C8" s="36"/>
      <c r="D8" s="40" t="s">
        <v>111</v>
      </c>
      <c r="E8" s="4" t="s">
        <v>112</v>
      </c>
      <c r="F8" s="41">
        <v>0.04</v>
      </c>
    </row>
    <row r="9">
      <c r="A9" s="31" t="s">
        <v>113</v>
      </c>
      <c r="B9" s="36">
        <v>0.057</v>
      </c>
      <c r="C9" s="36">
        <v>0.055</v>
      </c>
      <c r="D9" s="36">
        <v>0.05</v>
      </c>
      <c r="E9" s="36">
        <v>0.05</v>
      </c>
      <c r="F9" s="36">
        <v>0.065</v>
      </c>
      <c r="G9" s="35" t="str">
        <f t="shared" ref="G9:G14" si="2">A9</f>
        <v>Безработица</v>
      </c>
    </row>
    <row r="10">
      <c r="A10" s="31" t="s">
        <v>114</v>
      </c>
      <c r="B10" s="36">
        <v>0.045</v>
      </c>
      <c r="C10" s="36">
        <v>0.05</v>
      </c>
      <c r="D10" s="36">
        <v>0.06</v>
      </c>
      <c r="E10" s="36">
        <v>0.065</v>
      </c>
      <c r="F10" s="36">
        <v>0.055</v>
      </c>
      <c r="G10" s="35" t="str">
        <f t="shared" si="2"/>
        <v>Ключевая ставка</v>
      </c>
    </row>
    <row r="11">
      <c r="A11" s="31" t="s">
        <v>115</v>
      </c>
      <c r="B11" s="36">
        <v>-0.038</v>
      </c>
      <c r="C11" s="36">
        <v>0.01</v>
      </c>
      <c r="D11" s="36">
        <v>0.001</v>
      </c>
      <c r="E11" s="36">
        <v>0.015</v>
      </c>
      <c r="F11" s="36">
        <v>-0.016</v>
      </c>
      <c r="G11" s="35" t="str">
        <f t="shared" si="2"/>
        <v>Дефицит(-)/Профицит(+) бюджета, % ВВП</v>
      </c>
    </row>
    <row r="12">
      <c r="A12" s="34" t="s">
        <v>116</v>
      </c>
      <c r="B12" s="42">
        <v>74.4</v>
      </c>
      <c r="C12" s="42">
        <v>74.7</v>
      </c>
      <c r="D12" s="43">
        <v>75.2</v>
      </c>
      <c r="E12" s="43">
        <v>72.2</v>
      </c>
      <c r="F12" s="43">
        <v>74.6</v>
      </c>
      <c r="G12" s="35" t="str">
        <f t="shared" si="2"/>
        <v>Курс доллара США, средний за период</v>
      </c>
      <c r="H12" s="33" t="s">
        <v>117</v>
      </c>
    </row>
    <row r="13" hidden="1">
      <c r="A13" s="31" t="s">
        <v>118</v>
      </c>
      <c r="B13" s="36">
        <v>0.072</v>
      </c>
      <c r="C13" s="36">
        <v>0.072</v>
      </c>
      <c r="D13" s="36"/>
      <c r="E13" s="36"/>
      <c r="F13" s="36"/>
      <c r="G13" s="35" t="str">
        <f t="shared" si="2"/>
        <v>Ставка по 10-летней ОФЗ</v>
      </c>
    </row>
    <row r="14">
      <c r="A14" s="31" t="s">
        <v>119</v>
      </c>
      <c r="B14" s="36">
        <v>0.0648</v>
      </c>
      <c r="C14" s="36">
        <v>0.0722</v>
      </c>
      <c r="D14" s="36">
        <v>0.069</v>
      </c>
      <c r="E14" s="36">
        <v>0.072</v>
      </c>
      <c r="F14" s="36">
        <v>0.065</v>
      </c>
      <c r="G14" s="35" t="str">
        <f t="shared" si="2"/>
        <v>Доходность по 10-летней ОФЗ</v>
      </c>
    </row>
    <row r="15">
      <c r="A15" s="33" t="s">
        <v>120</v>
      </c>
      <c r="B15" s="5"/>
      <c r="C15" s="5"/>
      <c r="D15" s="44">
        <f t="shared" ref="D15:F15" si="3">D12*D3</f>
        <v>4888</v>
      </c>
      <c r="E15" s="44">
        <f t="shared" si="3"/>
        <v>5776</v>
      </c>
      <c r="F15" s="44">
        <f t="shared" si="3"/>
        <v>3730</v>
      </c>
    </row>
    <row r="16">
      <c r="B16" s="5"/>
      <c r="C16" s="5"/>
      <c r="D16" s="5"/>
      <c r="E16" s="5"/>
      <c r="F16" s="5"/>
    </row>
    <row r="17">
      <c r="A17" s="3" t="s">
        <v>121</v>
      </c>
      <c r="B17" s="5"/>
      <c r="C17" s="5"/>
      <c r="D17" s="5"/>
      <c r="E17" s="5"/>
      <c r="F17" s="5"/>
    </row>
    <row r="18">
      <c r="A18" s="33" t="s">
        <v>122</v>
      </c>
      <c r="B18" s="5"/>
      <c r="C18" s="5"/>
      <c r="D18" s="45">
        <v>0.06</v>
      </c>
      <c r="E18" s="45">
        <v>0.07</v>
      </c>
      <c r="F18" s="45">
        <v>0.05</v>
      </c>
      <c r="H18" s="3" t="s">
        <v>123</v>
      </c>
    </row>
    <row r="19">
      <c r="A19" s="33" t="s">
        <v>124</v>
      </c>
      <c r="B19" s="5"/>
      <c r="C19" s="5"/>
      <c r="D19" s="4" t="s">
        <v>125</v>
      </c>
      <c r="E19" s="4" t="s">
        <v>125</v>
      </c>
      <c r="F19" s="4" t="s">
        <v>125</v>
      </c>
      <c r="H19" s="3" t="s">
        <v>126</v>
      </c>
    </row>
    <row r="20">
      <c r="A20" s="46" t="s">
        <v>127</v>
      </c>
      <c r="B20" s="5"/>
      <c r="C20" s="5"/>
      <c r="D20" s="47">
        <v>0.2</v>
      </c>
      <c r="E20" s="48" t="s">
        <v>128</v>
      </c>
      <c r="F20" s="47">
        <v>0.2</v>
      </c>
      <c r="G20" s="49" t="s">
        <v>129</v>
      </c>
      <c r="H20" s="3" t="s">
        <v>130</v>
      </c>
    </row>
    <row r="21">
      <c r="A21" s="33" t="s">
        <v>131</v>
      </c>
      <c r="B21" s="5"/>
      <c r="C21" s="5"/>
      <c r="D21" s="41">
        <v>-0.09</v>
      </c>
      <c r="E21" s="41">
        <v>-0.09</v>
      </c>
      <c r="F21" s="41">
        <v>-0.09</v>
      </c>
      <c r="H21" s="3" t="s">
        <v>132</v>
      </c>
    </row>
    <row r="22">
      <c r="A22" s="33" t="s">
        <v>133</v>
      </c>
      <c r="B22" s="5"/>
      <c r="C22" s="5"/>
      <c r="D22" s="4" t="s">
        <v>134</v>
      </c>
      <c r="E22" s="4" t="s">
        <v>134</v>
      </c>
      <c r="F22" s="4" t="s">
        <v>134</v>
      </c>
      <c r="H22" s="3" t="s">
        <v>135</v>
      </c>
    </row>
    <row r="23">
      <c r="B23" s="5"/>
      <c r="C23" s="5"/>
      <c r="D23" s="5"/>
      <c r="E23" s="5"/>
      <c r="F23" s="5"/>
      <c r="H23" s="3" t="s">
        <v>136</v>
      </c>
    </row>
    <row r="24">
      <c r="A24" s="3" t="s">
        <v>137</v>
      </c>
      <c r="B24" s="50">
        <v>76.14</v>
      </c>
      <c r="C24" s="51">
        <v>72.5</v>
      </c>
      <c r="D24" s="51">
        <v>76.8</v>
      </c>
      <c r="E24" s="51">
        <v>70.4</v>
      </c>
      <c r="F24" s="51">
        <v>76.6</v>
      </c>
    </row>
    <row r="25">
      <c r="B25" s="5"/>
      <c r="C25" s="5"/>
      <c r="D25" s="5"/>
      <c r="E25" s="5"/>
      <c r="F25" s="5"/>
    </row>
    <row r="26">
      <c r="B26" s="5"/>
      <c r="C26" s="5"/>
      <c r="D26" s="5"/>
      <c r="E26" s="5"/>
      <c r="F26" s="5"/>
    </row>
    <row r="27">
      <c r="B27" s="5"/>
      <c r="C27" s="5"/>
      <c r="D27" s="5"/>
      <c r="E27" s="5"/>
      <c r="F27" s="5"/>
    </row>
    <row r="28">
      <c r="B28" s="5"/>
      <c r="C28" s="5"/>
      <c r="D28" s="5"/>
      <c r="E28" s="5"/>
      <c r="F28" s="5"/>
    </row>
  </sheetData>
  <hyperlinks>
    <hyperlink r:id="rId1" ref="G2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8" max="10" width="12.5"/>
    <col customWidth="1" min="11" max="11" width="23.88"/>
  </cols>
  <sheetData>
    <row r="1">
      <c r="A1" s="1"/>
      <c r="B1" s="2"/>
      <c r="C1" s="2" t="s">
        <v>0</v>
      </c>
      <c r="D1" s="2" t="s">
        <v>1</v>
      </c>
      <c r="E1" s="2" t="s">
        <v>2</v>
      </c>
      <c r="F1" s="2" t="s">
        <v>3</v>
      </c>
      <c r="G1" s="2" t="s">
        <v>4</v>
      </c>
      <c r="H1" s="2" t="s">
        <v>5</v>
      </c>
      <c r="I1" s="2" t="s">
        <v>6</v>
      </c>
      <c r="J1" s="2" t="s">
        <v>7</v>
      </c>
      <c r="K1" s="2" t="s">
        <v>8</v>
      </c>
      <c r="L1" s="2" t="s">
        <v>9</v>
      </c>
      <c r="M1" s="2" t="s">
        <v>10</v>
      </c>
      <c r="N1" s="2" t="s">
        <v>11</v>
      </c>
      <c r="O1" s="2" t="s">
        <v>12</v>
      </c>
      <c r="P1" s="2" t="s">
        <v>13</v>
      </c>
      <c r="Q1" s="2" t="s">
        <v>14</v>
      </c>
    </row>
    <row r="2">
      <c r="A2" s="3" t="s">
        <v>15</v>
      </c>
      <c r="B2" s="4"/>
      <c r="C2" s="4" t="s">
        <v>16</v>
      </c>
      <c r="D2" s="4" t="s">
        <v>16</v>
      </c>
      <c r="E2" s="4" t="s">
        <v>17</v>
      </c>
      <c r="F2" s="4" t="s">
        <v>17</v>
      </c>
      <c r="G2" s="4" t="s">
        <v>18</v>
      </c>
      <c r="H2" s="5"/>
      <c r="I2" s="5"/>
      <c r="J2" s="5"/>
      <c r="K2" s="6" t="s">
        <v>19</v>
      </c>
      <c r="L2" s="3" t="s">
        <v>20</v>
      </c>
      <c r="N2" s="7" t="s">
        <v>22</v>
      </c>
      <c r="O2" s="52" t="s">
        <v>138</v>
      </c>
      <c r="P2" s="3" t="s">
        <v>23</v>
      </c>
      <c r="Q2" s="53"/>
    </row>
    <row r="3">
      <c r="A3" s="3" t="s">
        <v>24</v>
      </c>
      <c r="B3" s="4"/>
      <c r="C3" s="4" t="s">
        <v>25</v>
      </c>
      <c r="D3" s="4" t="s">
        <v>25</v>
      </c>
      <c r="E3" s="4" t="s">
        <v>26</v>
      </c>
      <c r="F3" s="4" t="s">
        <v>26</v>
      </c>
      <c r="G3" s="4" t="s">
        <v>27</v>
      </c>
      <c r="H3" s="5"/>
      <c r="I3" s="5"/>
      <c r="J3" s="5"/>
      <c r="L3" s="3" t="s">
        <v>20</v>
      </c>
      <c r="N3" s="7" t="s">
        <v>22</v>
      </c>
      <c r="O3" s="52" t="s">
        <v>21</v>
      </c>
      <c r="P3" s="3" t="s">
        <v>23</v>
      </c>
      <c r="Q3" s="53"/>
    </row>
    <row r="4">
      <c r="A4" s="3" t="s">
        <v>28</v>
      </c>
      <c r="B4" s="4"/>
      <c r="C4" s="4" t="s">
        <v>29</v>
      </c>
      <c r="D4" s="4" t="s">
        <v>139</v>
      </c>
      <c r="E4" s="4" t="s">
        <v>140</v>
      </c>
      <c r="F4" s="4" t="s">
        <v>141</v>
      </c>
      <c r="G4" s="4" t="s">
        <v>142</v>
      </c>
      <c r="H4" s="5"/>
      <c r="I4" s="5"/>
      <c r="J4" s="5"/>
      <c r="L4" s="3" t="s">
        <v>33</v>
      </c>
      <c r="M4" s="6" t="s">
        <v>143</v>
      </c>
      <c r="N4" s="3" t="s">
        <v>23</v>
      </c>
      <c r="O4" s="53"/>
      <c r="Q4" s="53"/>
    </row>
    <row r="5">
      <c r="A5" s="3" t="s">
        <v>35</v>
      </c>
      <c r="B5" s="4"/>
      <c r="C5" s="4">
        <v>5.7</v>
      </c>
      <c r="D5" s="54" t="s">
        <v>144</v>
      </c>
      <c r="E5" s="54" t="s">
        <v>145</v>
      </c>
      <c r="F5" s="54" t="s">
        <v>146</v>
      </c>
      <c r="G5" s="54" t="s">
        <v>147</v>
      </c>
      <c r="H5" s="4"/>
      <c r="I5" s="9"/>
      <c r="J5" s="4"/>
      <c r="L5" s="3" t="s">
        <v>20</v>
      </c>
      <c r="N5" s="7" t="s">
        <v>22</v>
      </c>
      <c r="O5" s="53"/>
      <c r="P5" s="3" t="s">
        <v>23</v>
      </c>
      <c r="Q5" s="53"/>
    </row>
    <row r="6">
      <c r="A6" s="3" t="s">
        <v>42</v>
      </c>
      <c r="B6" s="4"/>
      <c r="C6" s="4">
        <v>4.5</v>
      </c>
      <c r="D6" s="54">
        <v>5.5</v>
      </c>
      <c r="E6" s="54" t="s">
        <v>148</v>
      </c>
      <c r="F6" s="54" t="s">
        <v>148</v>
      </c>
      <c r="G6" s="54" t="s">
        <v>148</v>
      </c>
      <c r="H6" s="5"/>
      <c r="I6" s="5"/>
      <c r="J6" s="5"/>
      <c r="L6" s="3" t="s">
        <v>20</v>
      </c>
      <c r="N6" s="7" t="s">
        <v>22</v>
      </c>
      <c r="O6" s="52" t="s">
        <v>138</v>
      </c>
      <c r="P6" s="3" t="s">
        <v>23</v>
      </c>
      <c r="Q6" s="53"/>
    </row>
    <row r="7">
      <c r="O7" s="55"/>
      <c r="Q7" s="55"/>
    </row>
    <row r="8">
      <c r="A8" s="3" t="s">
        <v>47</v>
      </c>
      <c r="C8" s="4">
        <v>5.7</v>
      </c>
      <c r="D8" s="4">
        <v>6.4</v>
      </c>
      <c r="E8" s="4">
        <v>6.3</v>
      </c>
      <c r="F8" s="4">
        <v>5.5</v>
      </c>
      <c r="G8" s="4">
        <v>4.7</v>
      </c>
      <c r="H8" s="4">
        <v>4.1</v>
      </c>
      <c r="I8" s="9">
        <v>4.0</v>
      </c>
      <c r="J8" s="4">
        <v>4.1</v>
      </c>
      <c r="N8" s="3" t="s">
        <v>123</v>
      </c>
    </row>
    <row r="9">
      <c r="N9" s="3" t="s">
        <v>126</v>
      </c>
    </row>
    <row r="10">
      <c r="N10" s="3" t="s">
        <v>130</v>
      </c>
    </row>
    <row r="11">
      <c r="N11" s="3" t="s">
        <v>132</v>
      </c>
    </row>
    <row r="12">
      <c r="A12" s="3" t="s">
        <v>48</v>
      </c>
      <c r="C12" s="10"/>
      <c r="D12" s="10"/>
      <c r="E12" s="10"/>
      <c r="F12" s="10"/>
      <c r="G12" s="10"/>
      <c r="H12" s="10"/>
      <c r="I12" s="10"/>
      <c r="J12" s="10"/>
      <c r="N12" s="3" t="s">
        <v>135</v>
      </c>
    </row>
    <row r="13">
      <c r="A13" s="3" t="s">
        <v>15</v>
      </c>
      <c r="B13" s="11"/>
      <c r="C13" s="42">
        <v>74.4</v>
      </c>
      <c r="D13" s="42">
        <v>74.7</v>
      </c>
      <c r="E13" s="42">
        <v>75.6</v>
      </c>
      <c r="F13" s="42">
        <v>75.5</v>
      </c>
      <c r="G13" s="42">
        <v>77.3</v>
      </c>
      <c r="H13" s="42">
        <v>78.3</v>
      </c>
      <c r="I13" s="42">
        <v>79.1</v>
      </c>
      <c r="J13" s="42">
        <v>78.4</v>
      </c>
      <c r="K13" s="3" t="s">
        <v>92</v>
      </c>
      <c r="N13" s="3" t="s">
        <v>136</v>
      </c>
    </row>
    <row r="14">
      <c r="A14" s="3" t="s">
        <v>50</v>
      </c>
      <c r="B14" s="12"/>
      <c r="C14" s="12"/>
      <c r="D14" s="13"/>
      <c r="E14" s="13"/>
      <c r="F14" s="27">
        <v>7.9</v>
      </c>
      <c r="G14" s="4">
        <v>4.3</v>
      </c>
      <c r="H14" s="14"/>
      <c r="I14" s="14"/>
      <c r="J14" s="4">
        <v>2.9</v>
      </c>
      <c r="K14" s="3" t="s">
        <v>51</v>
      </c>
    </row>
    <row r="15">
      <c r="A15" s="3" t="s">
        <v>149</v>
      </c>
      <c r="B15" s="12"/>
      <c r="C15" s="12"/>
      <c r="D15" s="13"/>
      <c r="E15" s="13"/>
      <c r="F15" s="27">
        <v>6.2</v>
      </c>
      <c r="G15" s="5"/>
      <c r="H15" s="14"/>
      <c r="I15" s="14"/>
      <c r="J15" s="4"/>
      <c r="K15" s="3" t="s">
        <v>51</v>
      </c>
    </row>
    <row r="16">
      <c r="A16" s="3" t="s">
        <v>150</v>
      </c>
      <c r="B16" s="12"/>
      <c r="C16" s="12"/>
      <c r="D16" s="13"/>
      <c r="E16" s="13"/>
      <c r="F16" s="27">
        <v>4.9</v>
      </c>
      <c r="G16" s="5"/>
      <c r="H16" s="14"/>
      <c r="I16" s="14"/>
      <c r="J16" s="4">
        <v>4.1</v>
      </c>
      <c r="K16" s="3" t="s">
        <v>51</v>
      </c>
    </row>
    <row r="17">
      <c r="B17" s="15" t="s">
        <v>52</v>
      </c>
      <c r="C17" s="16"/>
      <c r="D17" s="16"/>
      <c r="E17" s="16"/>
      <c r="F17" s="17" t="s">
        <v>53</v>
      </c>
      <c r="G17" s="18"/>
      <c r="H17" s="18"/>
      <c r="I17" s="18"/>
      <c r="J17" s="18"/>
      <c r="K17" s="3"/>
    </row>
    <row r="18">
      <c r="A18" s="3"/>
      <c r="B18" s="16" t="s">
        <v>28</v>
      </c>
      <c r="C18" s="16"/>
      <c r="D18" s="16"/>
      <c r="E18" s="16"/>
      <c r="F18" s="18">
        <v>64.6</v>
      </c>
      <c r="G18" s="18">
        <v>63.5</v>
      </c>
      <c r="H18" s="18"/>
      <c r="I18" s="18"/>
      <c r="J18" s="18">
        <v>61.2</v>
      </c>
      <c r="K18" s="3" t="s">
        <v>54</v>
      </c>
    </row>
    <row r="19">
      <c r="A19" s="3"/>
      <c r="B19" s="16" t="s">
        <v>55</v>
      </c>
      <c r="C19" s="16"/>
      <c r="D19" s="16"/>
      <c r="E19" s="16"/>
      <c r="F19" s="56">
        <v>0.125</v>
      </c>
      <c r="G19" s="20">
        <v>0.05</v>
      </c>
      <c r="H19" s="18"/>
      <c r="I19" s="18"/>
      <c r="J19" s="20">
        <v>-0.022</v>
      </c>
      <c r="K19" s="3" t="s">
        <v>56</v>
      </c>
    </row>
    <row r="20">
      <c r="A20" s="3"/>
      <c r="B20" s="16" t="s">
        <v>57</v>
      </c>
      <c r="C20" s="16"/>
      <c r="D20" s="16"/>
      <c r="E20" s="16"/>
      <c r="F20" s="28">
        <v>0.591</v>
      </c>
      <c r="G20" s="57">
        <v>-0.09</v>
      </c>
      <c r="H20" s="18"/>
      <c r="I20" s="18"/>
      <c r="J20" s="21">
        <v>-0.231</v>
      </c>
      <c r="K20" s="3" t="s">
        <v>56</v>
      </c>
    </row>
    <row r="21">
      <c r="A21" s="3"/>
      <c r="B21" s="16" t="s">
        <v>58</v>
      </c>
      <c r="C21" s="16"/>
      <c r="D21" s="16"/>
      <c r="E21" s="16"/>
      <c r="F21" s="21">
        <v>-0.09</v>
      </c>
      <c r="G21" s="21">
        <v>0.106</v>
      </c>
      <c r="H21" s="18"/>
      <c r="I21" s="18"/>
      <c r="J21" s="21">
        <v>-0.051</v>
      </c>
      <c r="K21" s="3" t="s">
        <v>56</v>
      </c>
    </row>
    <row r="22">
      <c r="A22" s="3"/>
      <c r="B22" s="16" t="s">
        <v>60</v>
      </c>
      <c r="C22" s="16"/>
      <c r="D22" s="16"/>
      <c r="E22" s="16"/>
      <c r="F22" s="21">
        <v>0.138</v>
      </c>
      <c r="G22" s="21">
        <v>0.021</v>
      </c>
      <c r="H22" s="18"/>
      <c r="I22" s="18"/>
      <c r="J22" s="21">
        <v>-0.099</v>
      </c>
      <c r="K22" s="3" t="s">
        <v>56</v>
      </c>
    </row>
    <row r="23">
      <c r="A23" s="3"/>
      <c r="B23" s="16" t="s">
        <v>62</v>
      </c>
      <c r="C23" s="16"/>
      <c r="D23" s="16"/>
      <c r="E23" s="16"/>
      <c r="F23" s="18">
        <f t="shared" ref="F23:G23" si="1">F39</f>
        <v>76.4</v>
      </c>
      <c r="G23" s="18">
        <f t="shared" si="1"/>
        <v>78.4</v>
      </c>
      <c r="H23" s="18"/>
      <c r="I23" s="18"/>
      <c r="J23" s="18">
        <f>J39</f>
        <v>79.5</v>
      </c>
      <c r="K23" s="3" t="s">
        <v>63</v>
      </c>
    </row>
    <row r="24">
      <c r="A24" s="3"/>
      <c r="B24" s="16" t="s">
        <v>64</v>
      </c>
      <c r="C24" s="16"/>
      <c r="D24" s="16"/>
      <c r="E24" s="16"/>
      <c r="F24" s="20">
        <v>0.06</v>
      </c>
      <c r="G24" s="20">
        <v>0.06</v>
      </c>
      <c r="H24" s="18"/>
      <c r="I24" s="18"/>
      <c r="J24" s="20">
        <v>0.07</v>
      </c>
      <c r="K24" s="3" t="s">
        <v>65</v>
      </c>
    </row>
    <row r="25">
      <c r="A25" s="3"/>
      <c r="B25" s="16" t="s">
        <v>66</v>
      </c>
      <c r="C25" s="16"/>
      <c r="D25" s="16"/>
      <c r="E25" s="16"/>
      <c r="F25" s="21">
        <v>0.042</v>
      </c>
      <c r="G25" s="21">
        <v>0.042</v>
      </c>
      <c r="H25" s="18"/>
      <c r="I25" s="18"/>
      <c r="J25" s="21">
        <v>0.042</v>
      </c>
      <c r="K25" s="3" t="s">
        <v>67</v>
      </c>
    </row>
    <row r="26">
      <c r="A26" s="3"/>
      <c r="B26" s="16" t="s">
        <v>68</v>
      </c>
      <c r="C26" s="16"/>
      <c r="D26" s="16"/>
      <c r="E26" s="16"/>
      <c r="F26" s="21">
        <v>0.024</v>
      </c>
      <c r="G26" s="21">
        <v>0.024</v>
      </c>
      <c r="H26" s="18"/>
      <c r="I26" s="18"/>
      <c r="J26" s="21">
        <v>0.024</v>
      </c>
      <c r="K26" s="3" t="s">
        <v>67</v>
      </c>
    </row>
    <row r="28">
      <c r="A28" s="3" t="s">
        <v>28</v>
      </c>
      <c r="B28" s="10" t="s">
        <v>69</v>
      </c>
      <c r="C28" s="10">
        <v>61.0</v>
      </c>
      <c r="D28" s="10">
        <v>68.0</v>
      </c>
      <c r="E28" s="58">
        <v>71.0</v>
      </c>
      <c r="F28" s="58">
        <v>69.0</v>
      </c>
      <c r="G28" s="58">
        <v>67.0</v>
      </c>
      <c r="H28" s="58">
        <v>67.0</v>
      </c>
      <c r="I28" s="10">
        <v>67.0</v>
      </c>
      <c r="J28" s="10">
        <v>67.0</v>
      </c>
      <c r="K28" s="3" t="s">
        <v>70</v>
      </c>
      <c r="N28" s="35">
        <f t="shared" ref="N28:N30" si="2">AVERAGE(C28:F28)</f>
        <v>67.25</v>
      </c>
      <c r="O28" s="35">
        <f t="shared" ref="O28:O30" si="3">AVERAGE(G28:J28)</f>
        <v>67</v>
      </c>
    </row>
    <row r="29">
      <c r="A29" s="22" t="s">
        <v>74</v>
      </c>
      <c r="B29" s="10" t="s">
        <v>75</v>
      </c>
      <c r="C29" s="10">
        <v>184.0</v>
      </c>
      <c r="D29" s="10">
        <v>240.0</v>
      </c>
      <c r="E29" s="10">
        <v>239.0</v>
      </c>
      <c r="F29" s="10">
        <v>223.0</v>
      </c>
      <c r="G29" s="10">
        <v>222.0</v>
      </c>
      <c r="H29" s="10">
        <v>225.0</v>
      </c>
      <c r="I29" s="10">
        <v>226.0</v>
      </c>
      <c r="J29" s="10">
        <v>225.0</v>
      </c>
      <c r="K29" s="3" t="s">
        <v>70</v>
      </c>
      <c r="N29" s="35">
        <f t="shared" si="2"/>
        <v>221.5</v>
      </c>
      <c r="O29" s="35">
        <f t="shared" si="3"/>
        <v>224.5</v>
      </c>
    </row>
    <row r="30">
      <c r="A30" s="22" t="s">
        <v>76</v>
      </c>
      <c r="B30" s="10" t="s">
        <v>77</v>
      </c>
      <c r="C30" s="10">
        <v>1168.0</v>
      </c>
      <c r="D30" s="10">
        <v>1522.0</v>
      </c>
      <c r="E30" s="10">
        <v>1650.0</v>
      </c>
      <c r="F30" s="10">
        <v>1405.0</v>
      </c>
      <c r="G30" s="10">
        <v>1041.0</v>
      </c>
      <c r="H30" s="10">
        <v>1041.0</v>
      </c>
      <c r="I30" s="10">
        <v>1041.0</v>
      </c>
      <c r="J30" s="10">
        <v>1041.0</v>
      </c>
      <c r="K30" s="3" t="s">
        <v>70</v>
      </c>
      <c r="N30" s="35">
        <f t="shared" si="2"/>
        <v>1436.25</v>
      </c>
      <c r="O30" s="35">
        <f t="shared" si="3"/>
        <v>1041</v>
      </c>
    </row>
    <row r="33">
      <c r="A33" s="3" t="s">
        <v>78</v>
      </c>
      <c r="B33" s="12" t="s">
        <v>79</v>
      </c>
      <c r="C33" s="10">
        <v>99.4</v>
      </c>
      <c r="D33" s="10">
        <v>108.1</v>
      </c>
      <c r="E33" s="10">
        <v>106.1</v>
      </c>
      <c r="F33" s="10">
        <v>101.3</v>
      </c>
      <c r="G33" s="10">
        <v>100.5</v>
      </c>
      <c r="H33" s="10">
        <v>102.8</v>
      </c>
      <c r="I33" s="10">
        <v>102.7</v>
      </c>
      <c r="J33" s="10">
        <v>103.6</v>
      </c>
      <c r="N33" s="35">
        <f t="shared" ref="N33:N35" si="4">AVERAGE(C33:F33)</f>
        <v>103.725</v>
      </c>
      <c r="O33" s="35">
        <f t="shared" ref="O33:O35" si="5">AVERAGE(G33:J33)</f>
        <v>102.4</v>
      </c>
    </row>
    <row r="34">
      <c r="A34" s="3" t="s">
        <v>80</v>
      </c>
      <c r="B34" s="3" t="s">
        <v>79</v>
      </c>
      <c r="C34" s="10">
        <v>97.0</v>
      </c>
      <c r="D34" s="10">
        <v>127.0</v>
      </c>
      <c r="E34" s="10">
        <v>115.0</v>
      </c>
      <c r="F34" s="10">
        <v>105.0</v>
      </c>
      <c r="G34" s="10">
        <v>102.0</v>
      </c>
      <c r="H34" s="10">
        <v>102.0</v>
      </c>
      <c r="I34" s="10">
        <v>102.0</v>
      </c>
      <c r="J34" s="10">
        <v>102.0</v>
      </c>
      <c r="N34" s="35">
        <f t="shared" si="4"/>
        <v>111</v>
      </c>
      <c r="O34" s="35">
        <f t="shared" si="5"/>
        <v>102</v>
      </c>
    </row>
    <row r="35">
      <c r="A35" s="3" t="s">
        <v>81</v>
      </c>
      <c r="B35" s="3" t="s">
        <v>79</v>
      </c>
      <c r="C35" s="10">
        <v>105.5</v>
      </c>
      <c r="D35" s="10">
        <v>105.9</v>
      </c>
      <c r="E35" s="10">
        <v>106.8</v>
      </c>
      <c r="F35" s="10">
        <v>106.5</v>
      </c>
      <c r="G35" s="10">
        <v>105.2</v>
      </c>
      <c r="H35" s="10">
        <v>104.4</v>
      </c>
      <c r="I35" s="10">
        <v>104.3</v>
      </c>
      <c r="J35" s="10">
        <v>104.7</v>
      </c>
      <c r="N35" s="35">
        <f t="shared" si="4"/>
        <v>106.175</v>
      </c>
      <c r="O35" s="35">
        <f t="shared" si="5"/>
        <v>104.65</v>
      </c>
    </row>
    <row r="37">
      <c r="C37" s="30"/>
      <c r="D37" s="30"/>
      <c r="E37" s="30"/>
      <c r="F37" s="30"/>
      <c r="G37" s="30"/>
      <c r="H37" s="30"/>
      <c r="I37" s="30"/>
      <c r="J37" s="30"/>
    </row>
    <row r="39">
      <c r="A39" s="3" t="s">
        <v>137</v>
      </c>
      <c r="C39" s="50">
        <v>76.14</v>
      </c>
      <c r="D39" s="51">
        <v>72.5</v>
      </c>
      <c r="E39" s="51">
        <v>75.5</v>
      </c>
      <c r="F39" s="51">
        <v>76.4</v>
      </c>
      <c r="G39" s="51">
        <v>78.4</v>
      </c>
      <c r="H39" s="51">
        <v>79.4</v>
      </c>
      <c r="I39" s="51">
        <v>80.2</v>
      </c>
      <c r="J39" s="51">
        <v>79.5</v>
      </c>
    </row>
    <row r="43">
      <c r="C43" s="35">
        <f t="shared" ref="C43:G43" si="6">VALUE(MID(C2,1,2))</f>
        <v>72</v>
      </c>
      <c r="D43" s="35">
        <f t="shared" si="6"/>
        <v>72</v>
      </c>
      <c r="E43" s="35">
        <f t="shared" si="6"/>
        <v>73</v>
      </c>
      <c r="F43" s="35">
        <f t="shared" si="6"/>
        <v>73</v>
      </c>
      <c r="G43" s="35">
        <f t="shared" si="6"/>
        <v>74</v>
      </c>
    </row>
    <row r="44">
      <c r="C44" s="35">
        <f t="shared" ref="C44:G44" si="7">VALUE(MID(C3,1,2))</f>
        <v>87</v>
      </c>
      <c r="D44" s="35">
        <f t="shared" si="7"/>
        <v>87</v>
      </c>
      <c r="E44" s="35">
        <f t="shared" si="7"/>
        <v>88</v>
      </c>
      <c r="F44" s="35">
        <f t="shared" si="7"/>
        <v>88</v>
      </c>
      <c r="G44" s="35">
        <f t="shared" si="7"/>
        <v>89</v>
      </c>
    </row>
    <row r="45">
      <c r="C45" s="35">
        <f t="shared" ref="C45:G45" si="8">VALUE(MID(C2,4,2))</f>
        <v>77</v>
      </c>
      <c r="D45" s="35">
        <f t="shared" si="8"/>
        <v>77</v>
      </c>
      <c r="E45" s="35">
        <f t="shared" si="8"/>
        <v>78</v>
      </c>
      <c r="F45" s="35">
        <f t="shared" si="8"/>
        <v>78</v>
      </c>
      <c r="G45" s="35">
        <f t="shared" si="8"/>
        <v>79</v>
      </c>
    </row>
    <row r="46">
      <c r="C46" s="35">
        <f t="shared" ref="C46:G46" si="9">VALUE(MID(C3,4,2))</f>
        <v>92</v>
      </c>
      <c r="D46" s="35">
        <f t="shared" si="9"/>
        <v>92</v>
      </c>
      <c r="E46" s="35">
        <f t="shared" si="9"/>
        <v>93</v>
      </c>
      <c r="F46" s="35">
        <f t="shared" si="9"/>
        <v>93</v>
      </c>
      <c r="G46" s="35">
        <f t="shared" si="9"/>
        <v>94</v>
      </c>
    </row>
    <row r="47">
      <c r="C47" s="35">
        <f t="shared" ref="C47:G47" si="10">AVERAGE(C43,C45)</f>
        <v>74.5</v>
      </c>
      <c r="D47" s="35">
        <f t="shared" si="10"/>
        <v>74.5</v>
      </c>
      <c r="E47" s="35">
        <f t="shared" si="10"/>
        <v>75.5</v>
      </c>
      <c r="F47" s="35">
        <f t="shared" si="10"/>
        <v>75.5</v>
      </c>
      <c r="G47" s="35">
        <f t="shared" si="10"/>
        <v>76.5</v>
      </c>
    </row>
    <row r="48">
      <c r="C48" s="35">
        <f t="shared" ref="C48:G48" si="11">AVERAGE(C44,C46)</f>
        <v>89.5</v>
      </c>
      <c r="D48" s="35">
        <f t="shared" si="11"/>
        <v>89.5</v>
      </c>
      <c r="E48" s="35">
        <f t="shared" si="11"/>
        <v>90.5</v>
      </c>
      <c r="F48" s="35">
        <f t="shared" si="11"/>
        <v>90.5</v>
      </c>
      <c r="G48" s="35">
        <f t="shared" si="11"/>
        <v>91.5</v>
      </c>
    </row>
    <row r="49">
      <c r="A49" s="3" t="s">
        <v>151</v>
      </c>
      <c r="C49" s="59">
        <f t="shared" ref="C49:G49" si="12">C48/C47</f>
        <v>1.201342282</v>
      </c>
      <c r="D49" s="59">
        <f t="shared" si="12"/>
        <v>1.201342282</v>
      </c>
      <c r="E49" s="59">
        <f t="shared" si="12"/>
        <v>1.198675497</v>
      </c>
      <c r="F49" s="59">
        <f t="shared" si="12"/>
        <v>1.198675497</v>
      </c>
      <c r="G49" s="59">
        <f t="shared" si="12"/>
        <v>1.196078431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8" max="10" width="12.5"/>
    <col customWidth="1" min="11" max="11" width="23.88"/>
  </cols>
  <sheetData>
    <row r="1">
      <c r="A1" s="60">
        <v>44379.0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3" t="s">
        <v>15</v>
      </c>
      <c r="B2" s="4"/>
      <c r="C2" s="4" t="s">
        <v>16</v>
      </c>
      <c r="D2" s="4" t="s">
        <v>16</v>
      </c>
      <c r="E2" s="54" t="s">
        <v>152</v>
      </c>
      <c r="F2" s="54" t="s">
        <v>16</v>
      </c>
      <c r="G2" s="54" t="s">
        <v>17</v>
      </c>
      <c r="H2" s="54" t="s">
        <v>17</v>
      </c>
      <c r="I2" s="3" t="s">
        <v>15</v>
      </c>
      <c r="J2" s="5"/>
      <c r="K2" s="6" t="s">
        <v>19</v>
      </c>
      <c r="L2" s="3" t="s">
        <v>20</v>
      </c>
      <c r="N2" s="7" t="s">
        <v>22</v>
      </c>
      <c r="O2" s="52" t="s">
        <v>21</v>
      </c>
      <c r="P2" s="3" t="s">
        <v>23</v>
      </c>
      <c r="Q2" s="52" t="s">
        <v>21</v>
      </c>
    </row>
    <row r="3">
      <c r="A3" s="3" t="s">
        <v>24</v>
      </c>
      <c r="B3" s="4"/>
      <c r="C3" s="4" t="s">
        <v>25</v>
      </c>
      <c r="D3" s="4" t="s">
        <v>25</v>
      </c>
      <c r="E3" s="54" t="s">
        <v>153</v>
      </c>
      <c r="F3" s="54" t="s">
        <v>154</v>
      </c>
      <c r="G3" s="54" t="s">
        <v>25</v>
      </c>
      <c r="H3" s="54" t="s">
        <v>25</v>
      </c>
      <c r="I3" s="3" t="s">
        <v>24</v>
      </c>
      <c r="J3" s="5"/>
      <c r="L3" s="3" t="s">
        <v>20</v>
      </c>
      <c r="N3" s="7" t="s">
        <v>22</v>
      </c>
      <c r="O3" s="52" t="s">
        <v>21</v>
      </c>
      <c r="P3" s="3" t="s">
        <v>23</v>
      </c>
      <c r="Q3" s="52" t="s">
        <v>21</v>
      </c>
    </row>
    <row r="4">
      <c r="A4" s="3" t="s">
        <v>28</v>
      </c>
      <c r="B4" s="4"/>
      <c r="C4" s="4" t="s">
        <v>29</v>
      </c>
      <c r="D4" s="4" t="s">
        <v>139</v>
      </c>
      <c r="E4" s="54" t="s">
        <v>155</v>
      </c>
      <c r="F4" s="54" t="s">
        <v>140</v>
      </c>
      <c r="G4" s="54" t="s">
        <v>141</v>
      </c>
      <c r="H4" s="54" t="s">
        <v>141</v>
      </c>
      <c r="I4" s="3" t="s">
        <v>28</v>
      </c>
      <c r="J4" s="5"/>
      <c r="L4" s="3" t="s">
        <v>33</v>
      </c>
      <c r="M4" s="6" t="s">
        <v>156</v>
      </c>
      <c r="N4" s="3" t="s">
        <v>23</v>
      </c>
      <c r="O4" s="53"/>
      <c r="Q4" s="52" t="s">
        <v>21</v>
      </c>
    </row>
    <row r="5">
      <c r="A5" s="3" t="s">
        <v>35</v>
      </c>
      <c r="B5" s="4"/>
      <c r="C5" s="4">
        <v>5.7</v>
      </c>
      <c r="D5" s="54" t="s">
        <v>144</v>
      </c>
      <c r="E5" s="54" t="s">
        <v>157</v>
      </c>
      <c r="F5" s="54" t="s">
        <v>158</v>
      </c>
      <c r="G5" s="54" t="s">
        <v>159</v>
      </c>
      <c r="H5" s="54" t="s">
        <v>160</v>
      </c>
      <c r="I5" s="3" t="s">
        <v>35</v>
      </c>
      <c r="J5" s="4"/>
      <c r="L5" s="3" t="s">
        <v>20</v>
      </c>
      <c r="N5" s="7" t="s">
        <v>22</v>
      </c>
      <c r="O5" s="53"/>
      <c r="P5" s="3" t="s">
        <v>23</v>
      </c>
      <c r="Q5" s="52" t="s">
        <v>21</v>
      </c>
    </row>
    <row r="6">
      <c r="A6" s="3" t="s">
        <v>42</v>
      </c>
      <c r="B6" s="4"/>
      <c r="C6" s="4">
        <v>4.5</v>
      </c>
      <c r="D6" s="54">
        <v>5.5</v>
      </c>
      <c r="E6" s="54" t="s">
        <v>161</v>
      </c>
      <c r="F6" s="54" t="s">
        <v>161</v>
      </c>
      <c r="G6" s="54" t="s">
        <v>148</v>
      </c>
      <c r="H6" s="54" t="s">
        <v>90</v>
      </c>
      <c r="I6" s="3" t="s">
        <v>42</v>
      </c>
      <c r="J6" s="5"/>
      <c r="L6" s="3" t="s">
        <v>20</v>
      </c>
      <c r="N6" s="7" t="s">
        <v>22</v>
      </c>
      <c r="O6" s="52"/>
      <c r="P6" s="3" t="s">
        <v>23</v>
      </c>
      <c r="Q6" s="52" t="s">
        <v>21</v>
      </c>
    </row>
    <row r="7">
      <c r="O7" s="55"/>
      <c r="Q7" s="55"/>
    </row>
    <row r="8">
      <c r="A8" s="3" t="s">
        <v>47</v>
      </c>
      <c r="C8" s="4">
        <v>5.7</v>
      </c>
      <c r="D8" s="4">
        <v>6.4</v>
      </c>
      <c r="E8" s="54">
        <v>6.8</v>
      </c>
      <c r="F8" s="54">
        <v>6.2</v>
      </c>
      <c r="G8" s="54">
        <v>5.2</v>
      </c>
      <c r="H8" s="54">
        <v>4.5</v>
      </c>
      <c r="I8" s="62">
        <v>3.9</v>
      </c>
      <c r="J8" s="54">
        <v>3.8</v>
      </c>
    </row>
    <row r="9">
      <c r="A9" s="3" t="s">
        <v>162</v>
      </c>
      <c r="G9" s="3" t="s">
        <v>163</v>
      </c>
    </row>
    <row r="12">
      <c r="A12" s="3" t="s">
        <v>48</v>
      </c>
      <c r="C12" s="10"/>
      <c r="D12" s="10"/>
      <c r="E12" s="10"/>
      <c r="F12" s="10"/>
      <c r="G12" s="10"/>
      <c r="H12" s="10"/>
      <c r="I12" s="10"/>
      <c r="J12" s="10"/>
    </row>
    <row r="13">
      <c r="A13" s="3" t="s">
        <v>15</v>
      </c>
      <c r="B13" s="11"/>
      <c r="C13" s="63">
        <v>74.4</v>
      </c>
      <c r="D13" s="63">
        <v>74.2</v>
      </c>
      <c r="E13" s="63">
        <v>73.8</v>
      </c>
      <c r="F13" s="63">
        <v>75.3</v>
      </c>
      <c r="G13" s="63">
        <v>77.6</v>
      </c>
      <c r="H13" s="63">
        <v>77.0</v>
      </c>
      <c r="I13" s="63">
        <v>77.2</v>
      </c>
      <c r="J13" s="63">
        <v>76.1</v>
      </c>
      <c r="K13" s="3" t="s">
        <v>92</v>
      </c>
    </row>
    <row r="14">
      <c r="A14" s="3" t="s">
        <v>50</v>
      </c>
      <c r="B14" s="12"/>
      <c r="C14" s="12"/>
      <c r="D14" s="13"/>
      <c r="E14" s="13"/>
      <c r="F14" s="27">
        <v>8.2</v>
      </c>
      <c r="G14" s="4">
        <v>3.9</v>
      </c>
      <c r="H14" s="14"/>
      <c r="I14" s="14"/>
      <c r="J14" s="4">
        <v>1.9</v>
      </c>
      <c r="K14" s="3" t="s">
        <v>51</v>
      </c>
    </row>
    <row r="15">
      <c r="A15" s="3" t="s">
        <v>149</v>
      </c>
      <c r="B15" s="12"/>
      <c r="C15" s="12"/>
      <c r="D15" s="13"/>
      <c r="E15" s="13"/>
      <c r="F15" s="27">
        <v>5.9</v>
      </c>
      <c r="G15" s="5"/>
      <c r="H15" s="14"/>
      <c r="I15" s="14"/>
      <c r="J15" s="4"/>
      <c r="K15" s="3" t="s">
        <v>51</v>
      </c>
    </row>
    <row r="16">
      <c r="A16" s="3" t="s">
        <v>150</v>
      </c>
      <c r="B16" s="12"/>
      <c r="C16" s="12"/>
      <c r="D16" s="13"/>
      <c r="E16" s="13"/>
      <c r="F16" s="27">
        <v>4.5</v>
      </c>
      <c r="G16" s="5"/>
      <c r="H16" s="14"/>
      <c r="I16" s="14"/>
      <c r="J16" s="4"/>
      <c r="K16" s="3" t="s">
        <v>51</v>
      </c>
    </row>
    <row r="17">
      <c r="B17" s="15" t="s">
        <v>52</v>
      </c>
      <c r="C17" s="16"/>
      <c r="D17" s="16"/>
      <c r="E17" s="16"/>
      <c r="F17" s="17" t="s">
        <v>53</v>
      </c>
      <c r="G17" s="18"/>
      <c r="H17" s="18"/>
      <c r="I17" s="18"/>
      <c r="J17" s="18"/>
      <c r="K17" s="3"/>
    </row>
    <row r="18">
      <c r="A18" s="3"/>
      <c r="B18" s="16" t="s">
        <v>28</v>
      </c>
      <c r="C18" s="16"/>
      <c r="D18" s="16"/>
      <c r="E18" s="16"/>
      <c r="F18" s="18">
        <v>65.5</v>
      </c>
      <c r="G18" s="18">
        <v>64.4</v>
      </c>
      <c r="H18" s="18"/>
      <c r="I18" s="18"/>
      <c r="J18" s="18">
        <v>62.0</v>
      </c>
      <c r="K18" s="31" t="s">
        <v>164</v>
      </c>
    </row>
    <row r="19">
      <c r="A19" s="3"/>
      <c r="B19" s="16" t="s">
        <v>55</v>
      </c>
      <c r="C19" s="16"/>
      <c r="D19" s="16"/>
      <c r="E19" s="16"/>
      <c r="F19" s="56">
        <v>0.153</v>
      </c>
      <c r="G19" s="20">
        <v>0.05</v>
      </c>
      <c r="H19" s="18"/>
      <c r="I19" s="18"/>
      <c r="J19" s="20">
        <v>-0.022</v>
      </c>
      <c r="K19" s="3" t="s">
        <v>56</v>
      </c>
    </row>
    <row r="20">
      <c r="A20" s="3"/>
      <c r="B20" s="16" t="s">
        <v>57</v>
      </c>
      <c r="C20" s="16"/>
      <c r="D20" s="16"/>
      <c r="E20" s="16"/>
      <c r="F20" s="28">
        <v>0.692</v>
      </c>
      <c r="G20" s="57">
        <v>-0.046</v>
      </c>
      <c r="H20" s="18"/>
      <c r="I20" s="18"/>
      <c r="J20" s="21">
        <v>-0.267</v>
      </c>
      <c r="K20" s="3" t="s">
        <v>56</v>
      </c>
    </row>
    <row r="21">
      <c r="A21" s="3"/>
      <c r="B21" s="16" t="s">
        <v>58</v>
      </c>
      <c r="C21" s="16"/>
      <c r="D21" s="16"/>
      <c r="E21" s="16"/>
      <c r="F21" s="21">
        <v>-0.084</v>
      </c>
      <c r="G21" s="21">
        <v>0.106</v>
      </c>
      <c r="H21" s="18"/>
      <c r="I21" s="18"/>
      <c r="J21" s="21">
        <v>-0.051</v>
      </c>
      <c r="K21" s="3" t="s">
        <v>56</v>
      </c>
    </row>
    <row r="22">
      <c r="A22" s="3"/>
      <c r="B22" s="16" t="s">
        <v>60</v>
      </c>
      <c r="C22" s="16"/>
      <c r="D22" s="16"/>
      <c r="E22" s="16"/>
      <c r="F22" s="21">
        <v>0.164</v>
      </c>
      <c r="G22" s="21">
        <v>0.021</v>
      </c>
      <c r="H22" s="18"/>
      <c r="I22" s="18"/>
      <c r="J22" s="21">
        <v>-0.099</v>
      </c>
      <c r="K22" s="3" t="s">
        <v>56</v>
      </c>
    </row>
    <row r="23">
      <c r="A23" s="3"/>
      <c r="B23" s="16" t="s">
        <v>62</v>
      </c>
      <c r="C23" s="16"/>
      <c r="D23" s="16"/>
      <c r="E23" s="16"/>
      <c r="F23" s="18">
        <f t="shared" ref="F23:G23" si="1">F39</f>
        <v>74.5</v>
      </c>
      <c r="G23" s="18">
        <f t="shared" si="1"/>
        <v>76.7</v>
      </c>
      <c r="H23" s="18"/>
      <c r="I23" s="18"/>
      <c r="J23" s="18">
        <f>J39</f>
        <v>75.3</v>
      </c>
      <c r="K23" s="3" t="s">
        <v>63</v>
      </c>
    </row>
    <row r="24">
      <c r="A24" s="3"/>
      <c r="B24" s="16" t="s">
        <v>64</v>
      </c>
      <c r="C24" s="16"/>
      <c r="D24" s="16"/>
      <c r="E24" s="16"/>
      <c r="F24" s="20">
        <v>0.06</v>
      </c>
      <c r="G24" s="20">
        <v>0.06</v>
      </c>
      <c r="H24" s="18"/>
      <c r="I24" s="18"/>
      <c r="J24" s="20">
        <v>0.07</v>
      </c>
      <c r="K24" s="3" t="s">
        <v>65</v>
      </c>
    </row>
    <row r="25">
      <c r="A25" s="3"/>
      <c r="B25" s="16" t="s">
        <v>66</v>
      </c>
      <c r="C25" s="16"/>
      <c r="D25" s="16"/>
      <c r="E25" s="16"/>
      <c r="F25" s="21">
        <v>0.042</v>
      </c>
      <c r="G25" s="21">
        <v>0.042</v>
      </c>
      <c r="H25" s="18"/>
      <c r="I25" s="18"/>
      <c r="J25" s="21">
        <v>0.042</v>
      </c>
      <c r="K25" s="3" t="s">
        <v>67</v>
      </c>
    </row>
    <row r="26">
      <c r="A26" s="3"/>
      <c r="B26" s="16" t="s">
        <v>68</v>
      </c>
      <c r="C26" s="16"/>
      <c r="D26" s="16"/>
      <c r="E26" s="16"/>
      <c r="F26" s="21">
        <v>0.024</v>
      </c>
      <c r="G26" s="21">
        <v>0.024</v>
      </c>
      <c r="H26" s="18"/>
      <c r="I26" s="18"/>
      <c r="J26" s="21">
        <v>0.024</v>
      </c>
      <c r="K26" s="3" t="s">
        <v>67</v>
      </c>
    </row>
    <row r="28">
      <c r="A28" s="3" t="s">
        <v>28</v>
      </c>
      <c r="B28" s="10" t="s">
        <v>69</v>
      </c>
      <c r="C28" s="63">
        <v>56.0</v>
      </c>
      <c r="D28" s="63">
        <v>66.0</v>
      </c>
      <c r="E28" s="63">
        <v>73.0</v>
      </c>
      <c r="F28" s="63">
        <v>72.0</v>
      </c>
      <c r="G28" s="63">
        <v>70.0</v>
      </c>
      <c r="H28" s="63">
        <v>70.0</v>
      </c>
      <c r="I28" s="63">
        <v>68.0</v>
      </c>
      <c r="J28" s="63">
        <v>68.0</v>
      </c>
      <c r="K28" s="3" t="s">
        <v>165</v>
      </c>
      <c r="N28" s="35">
        <f t="shared" ref="N28:N30" si="2">AVERAGE(C28:F28)</f>
        <v>66.75</v>
      </c>
      <c r="O28" s="35">
        <f t="shared" ref="O28:O30" si="3">AVERAGE(G28:J28)</f>
        <v>69</v>
      </c>
    </row>
    <row r="29">
      <c r="A29" s="22" t="s">
        <v>74</v>
      </c>
      <c r="B29" s="10" t="s">
        <v>75</v>
      </c>
      <c r="C29" s="63">
        <v>172.0</v>
      </c>
      <c r="D29" s="63">
        <v>221.0</v>
      </c>
      <c r="E29" s="63">
        <v>247.0</v>
      </c>
      <c r="F29" s="63">
        <v>201.0</v>
      </c>
      <c r="G29" s="63">
        <v>185.0</v>
      </c>
      <c r="H29" s="63">
        <v>181.0</v>
      </c>
      <c r="I29" s="63">
        <v>183.0</v>
      </c>
      <c r="J29" s="63">
        <v>189.0</v>
      </c>
      <c r="K29" s="3" t="s">
        <v>166</v>
      </c>
      <c r="N29" s="35">
        <f t="shared" si="2"/>
        <v>210.25</v>
      </c>
      <c r="O29" s="35">
        <f t="shared" si="3"/>
        <v>184.5</v>
      </c>
    </row>
    <row r="30">
      <c r="A30" s="22" t="s">
        <v>76</v>
      </c>
      <c r="B30" s="10" t="s">
        <v>77</v>
      </c>
      <c r="C30" s="63">
        <v>1038.0</v>
      </c>
      <c r="D30" s="63">
        <v>1394.0</v>
      </c>
      <c r="E30" s="63">
        <v>1680.0</v>
      </c>
      <c r="F30" s="63">
        <v>1636.0</v>
      </c>
      <c r="G30" s="63">
        <v>1482.0</v>
      </c>
      <c r="H30" s="63">
        <v>1359.0</v>
      </c>
      <c r="I30" s="63">
        <v>1112.0</v>
      </c>
      <c r="J30" s="63">
        <v>1112.0</v>
      </c>
      <c r="K30" s="3" t="s">
        <v>54</v>
      </c>
      <c r="N30" s="35">
        <f t="shared" si="2"/>
        <v>1437</v>
      </c>
      <c r="O30" s="35">
        <f t="shared" si="3"/>
        <v>1266.25</v>
      </c>
    </row>
    <row r="33">
      <c r="A33" s="3" t="s">
        <v>78</v>
      </c>
      <c r="B33" s="12" t="s">
        <v>79</v>
      </c>
      <c r="C33" s="63">
        <v>99.9</v>
      </c>
      <c r="D33" s="63">
        <v>107.9</v>
      </c>
      <c r="E33" s="63">
        <v>105.6</v>
      </c>
      <c r="F33" s="63">
        <v>101.0</v>
      </c>
      <c r="G33" s="63">
        <v>99.1</v>
      </c>
      <c r="H33" s="63">
        <v>102.4</v>
      </c>
      <c r="I33" s="63">
        <v>102.8</v>
      </c>
      <c r="J33" s="63">
        <v>103.6</v>
      </c>
      <c r="N33" s="35">
        <f t="shared" ref="N33:N35" si="4">AVERAGE(C33:F33)</f>
        <v>103.6</v>
      </c>
      <c r="O33" s="35">
        <f t="shared" ref="O33:O35" si="5">AVERAGE(G33:J33)</f>
        <v>101.975</v>
      </c>
    </row>
    <row r="34">
      <c r="A34" s="3" t="s">
        <v>80</v>
      </c>
      <c r="B34" s="3" t="s">
        <v>79</v>
      </c>
      <c r="C34" s="64">
        <v>97.0</v>
      </c>
      <c r="D34" s="64">
        <v>127.0</v>
      </c>
      <c r="E34" s="64">
        <v>115.0</v>
      </c>
      <c r="F34" s="64">
        <v>105.0</v>
      </c>
      <c r="G34" s="64">
        <v>102.0</v>
      </c>
      <c r="H34" s="64">
        <v>102.0</v>
      </c>
      <c r="I34" s="64">
        <v>102.0</v>
      </c>
      <c r="J34" s="64">
        <v>102.0</v>
      </c>
      <c r="N34" s="65">
        <f t="shared" si="4"/>
        <v>111</v>
      </c>
      <c r="O34" s="65">
        <f t="shared" si="5"/>
        <v>102</v>
      </c>
    </row>
    <row r="35">
      <c r="A35" s="3" t="s">
        <v>81</v>
      </c>
      <c r="B35" s="3" t="s">
        <v>79</v>
      </c>
      <c r="C35" s="64">
        <v>105.5</v>
      </c>
      <c r="D35" s="64">
        <v>106.0</v>
      </c>
      <c r="E35" s="64">
        <v>106.5</v>
      </c>
      <c r="F35" s="64">
        <v>106.2</v>
      </c>
      <c r="G35" s="64">
        <v>105.4</v>
      </c>
      <c r="H35" s="64">
        <v>104.7</v>
      </c>
      <c r="I35" s="64">
        <v>104.1</v>
      </c>
      <c r="J35" s="64">
        <v>104.1</v>
      </c>
      <c r="N35" s="65">
        <f t="shared" si="4"/>
        <v>106.05</v>
      </c>
      <c r="O35" s="65">
        <f t="shared" si="5"/>
        <v>104.575</v>
      </c>
    </row>
    <row r="37">
      <c r="C37" s="30"/>
      <c r="D37" s="30"/>
      <c r="E37" s="30"/>
      <c r="F37" s="30"/>
      <c r="G37" s="30"/>
      <c r="H37" s="30"/>
      <c r="I37" s="30"/>
      <c r="J37" s="30"/>
    </row>
    <row r="39">
      <c r="A39" s="3" t="s">
        <v>137</v>
      </c>
      <c r="B39" s="11"/>
      <c r="C39" s="63">
        <v>74.4</v>
      </c>
      <c r="D39" s="63">
        <v>73.6</v>
      </c>
      <c r="E39" s="63">
        <v>72.7</v>
      </c>
      <c r="F39" s="63">
        <v>74.5</v>
      </c>
      <c r="G39" s="63">
        <v>76.7</v>
      </c>
      <c r="H39" s="63">
        <v>76.1</v>
      </c>
      <c r="I39" s="63">
        <v>76.0</v>
      </c>
      <c r="J39" s="63">
        <v>75.3</v>
      </c>
    </row>
    <row r="43">
      <c r="C43" s="35">
        <f t="shared" ref="C43:G43" si="6">VALUE(MID(C2,1,2))</f>
        <v>72</v>
      </c>
      <c r="D43" s="35">
        <f t="shared" si="6"/>
        <v>72</v>
      </c>
      <c r="E43" s="35">
        <f t="shared" si="6"/>
        <v>71</v>
      </c>
      <c r="F43" s="35">
        <f t="shared" si="6"/>
        <v>72</v>
      </c>
      <c r="G43" s="35">
        <f t="shared" si="6"/>
        <v>73</v>
      </c>
    </row>
    <row r="44">
      <c r="C44" s="35">
        <f t="shared" ref="C44:G44" si="7">VALUE(MID(C3,1,2))</f>
        <v>87</v>
      </c>
      <c r="D44" s="35">
        <f t="shared" si="7"/>
        <v>87</v>
      </c>
      <c r="E44" s="35">
        <f t="shared" si="7"/>
        <v>85</v>
      </c>
      <c r="F44" s="35">
        <f t="shared" si="7"/>
        <v>86</v>
      </c>
      <c r="G44" s="35">
        <f t="shared" si="7"/>
        <v>87</v>
      </c>
    </row>
    <row r="45">
      <c r="C45" s="35">
        <f t="shared" ref="C45:G45" si="8">VALUE(MID(C2,4,2))</f>
        <v>77</v>
      </c>
      <c r="D45" s="35">
        <f t="shared" si="8"/>
        <v>77</v>
      </c>
      <c r="E45" s="35">
        <f t="shared" si="8"/>
        <v>76</v>
      </c>
      <c r="F45" s="35">
        <f t="shared" si="8"/>
        <v>77</v>
      </c>
      <c r="G45" s="35">
        <f t="shared" si="8"/>
        <v>78</v>
      </c>
    </row>
    <row r="46">
      <c r="C46" s="35">
        <f t="shared" ref="C46:G46" si="9">VALUE(MID(C3,4,2))</f>
        <v>92</v>
      </c>
      <c r="D46" s="35">
        <f t="shared" si="9"/>
        <v>92</v>
      </c>
      <c r="E46" s="35">
        <f t="shared" si="9"/>
        <v>90</v>
      </c>
      <c r="F46" s="35">
        <f t="shared" si="9"/>
        <v>91</v>
      </c>
      <c r="G46" s="35">
        <f t="shared" si="9"/>
        <v>92</v>
      </c>
    </row>
    <row r="47">
      <c r="C47" s="35">
        <f t="shared" ref="C47:G47" si="10">AVERAGE(C43,C45)</f>
        <v>74.5</v>
      </c>
      <c r="D47" s="35">
        <f t="shared" si="10"/>
        <v>74.5</v>
      </c>
      <c r="E47" s="35">
        <f t="shared" si="10"/>
        <v>73.5</v>
      </c>
      <c r="F47" s="35">
        <f t="shared" si="10"/>
        <v>74.5</v>
      </c>
      <c r="G47" s="35">
        <f t="shared" si="10"/>
        <v>75.5</v>
      </c>
    </row>
    <row r="48">
      <c r="C48" s="35">
        <f t="shared" ref="C48:G48" si="11">AVERAGE(C44,C46)</f>
        <v>89.5</v>
      </c>
      <c r="D48" s="35">
        <f t="shared" si="11"/>
        <v>89.5</v>
      </c>
      <c r="E48" s="35">
        <f t="shared" si="11"/>
        <v>87.5</v>
      </c>
      <c r="F48" s="35">
        <f t="shared" si="11"/>
        <v>88.5</v>
      </c>
      <c r="G48" s="35">
        <f t="shared" si="11"/>
        <v>89.5</v>
      </c>
    </row>
    <row r="49">
      <c r="A49" s="3" t="s">
        <v>151</v>
      </c>
      <c r="C49" s="59">
        <f t="shared" ref="C49:G49" si="12">C48/C47</f>
        <v>1.201342282</v>
      </c>
      <c r="D49" s="59">
        <f t="shared" si="12"/>
        <v>1.201342282</v>
      </c>
      <c r="E49" s="59">
        <f t="shared" si="12"/>
        <v>1.19047619</v>
      </c>
      <c r="F49" s="59">
        <f t="shared" si="12"/>
        <v>1.187919463</v>
      </c>
      <c r="G49" s="59">
        <f t="shared" si="12"/>
        <v>1.185430464</v>
      </c>
    </row>
    <row r="53">
      <c r="A53" s="66"/>
      <c r="B53" s="66"/>
      <c r="C53" s="66"/>
      <c r="D53" s="66"/>
      <c r="E53" s="66"/>
      <c r="F53" s="66"/>
      <c r="G53" s="66"/>
      <c r="H53" s="66"/>
      <c r="I53" s="66"/>
      <c r="J53" s="66"/>
      <c r="K53" s="66"/>
      <c r="L53" s="66"/>
      <c r="M53" s="66"/>
      <c r="N53" s="66"/>
      <c r="O53" s="66"/>
    </row>
    <row r="54">
      <c r="A54" s="66"/>
      <c r="B54" s="18" t="s">
        <v>167</v>
      </c>
      <c r="C54" s="18" t="s">
        <v>168</v>
      </c>
      <c r="D54" s="67" t="s">
        <v>169</v>
      </c>
      <c r="E54" s="18" t="s">
        <v>170</v>
      </c>
      <c r="F54" s="18" t="s">
        <v>171</v>
      </c>
      <c r="G54" s="67" t="s">
        <v>172</v>
      </c>
      <c r="H54" s="18" t="s">
        <v>173</v>
      </c>
      <c r="I54" s="18" t="s">
        <v>174</v>
      </c>
      <c r="J54" s="67" t="s">
        <v>175</v>
      </c>
      <c r="K54" s="18" t="s">
        <v>176</v>
      </c>
      <c r="L54" s="18" t="s">
        <v>177</v>
      </c>
      <c r="M54" s="67" t="s">
        <v>178</v>
      </c>
      <c r="N54" s="66"/>
      <c r="O54" s="66"/>
    </row>
    <row r="55">
      <c r="A55" s="68">
        <v>2021.0</v>
      </c>
      <c r="B55" s="69">
        <v>0.67</v>
      </c>
      <c r="C55" s="69">
        <v>0.78</v>
      </c>
      <c r="D55" s="69">
        <v>0.66</v>
      </c>
      <c r="E55" s="69">
        <v>0.58</v>
      </c>
      <c r="F55" s="69">
        <v>0.74</v>
      </c>
      <c r="G55" s="70">
        <v>0.64</v>
      </c>
      <c r="H55" s="71">
        <v>0.5</v>
      </c>
      <c r="I55" s="71">
        <v>0.0</v>
      </c>
      <c r="J55" s="71">
        <v>0.1</v>
      </c>
      <c r="K55" s="71">
        <v>0.4</v>
      </c>
      <c r="L55" s="71">
        <v>0.5</v>
      </c>
      <c r="M55" s="72">
        <v>0.5</v>
      </c>
      <c r="N55" s="73"/>
      <c r="O55" s="74"/>
    </row>
    <row r="56">
      <c r="A56" s="75" t="s">
        <v>179</v>
      </c>
      <c r="B56" s="76">
        <v>5.19</v>
      </c>
      <c r="C56" s="76">
        <v>5.67</v>
      </c>
      <c r="D56" s="76">
        <v>5.79</v>
      </c>
      <c r="E56" s="76">
        <v>5.53</v>
      </c>
      <c r="F56" s="76">
        <v>6.02</v>
      </c>
      <c r="G56" s="76">
        <v>6.46</v>
      </c>
      <c r="H56" s="77">
        <v>6.62</v>
      </c>
      <c r="I56" s="77">
        <v>6.67</v>
      </c>
      <c r="J56" s="77">
        <v>6.85</v>
      </c>
      <c r="K56" s="77">
        <v>6.82</v>
      </c>
      <c r="L56" s="77">
        <v>6.59</v>
      </c>
      <c r="M56" s="78">
        <v>6.24</v>
      </c>
      <c r="N56" s="79">
        <v>6.2</v>
      </c>
      <c r="O56" s="80">
        <v>2021.0</v>
      </c>
    </row>
    <row r="57">
      <c r="A57" s="66"/>
      <c r="B57" s="66"/>
      <c r="C57" s="66"/>
      <c r="D57" s="66"/>
      <c r="E57" s="66"/>
      <c r="F57" s="66"/>
      <c r="G57" s="66"/>
      <c r="H57" s="66"/>
      <c r="I57" s="66"/>
      <c r="J57" s="66"/>
      <c r="K57" s="66"/>
      <c r="L57" s="66"/>
      <c r="M57" s="66"/>
      <c r="N57" s="81" t="s">
        <v>180</v>
      </c>
    </row>
    <row r="58">
      <c r="A58" s="18" t="s">
        <v>181</v>
      </c>
      <c r="B58" s="18">
        <v>0.6</v>
      </c>
      <c r="C58" s="18">
        <v>0.4</v>
      </c>
      <c r="D58" s="18">
        <v>0.5</v>
      </c>
      <c r="E58" s="18">
        <v>0.4</v>
      </c>
      <c r="F58" s="18">
        <v>0.4</v>
      </c>
      <c r="G58" s="18">
        <v>0.4</v>
      </c>
      <c r="H58" s="18">
        <v>0.5</v>
      </c>
      <c r="I58" s="18">
        <v>0.0</v>
      </c>
      <c r="J58" s="18">
        <v>0.2</v>
      </c>
      <c r="K58" s="18">
        <v>0.4</v>
      </c>
      <c r="L58" s="18">
        <v>0.5</v>
      </c>
      <c r="M58" s="18">
        <v>0.5</v>
      </c>
      <c r="N58" s="66"/>
      <c r="O58" s="66"/>
    </row>
    <row r="59">
      <c r="A59" s="18" t="s">
        <v>182</v>
      </c>
      <c r="B59" s="18">
        <v>0.5</v>
      </c>
      <c r="C59" s="18">
        <v>0.3</v>
      </c>
      <c r="D59" s="18">
        <v>0.3</v>
      </c>
      <c r="E59" s="18">
        <v>0.4</v>
      </c>
      <c r="F59" s="18">
        <v>0.4</v>
      </c>
      <c r="G59" s="18">
        <v>0.4</v>
      </c>
      <c r="H59" s="18">
        <v>0.2</v>
      </c>
      <c r="I59" s="82">
        <v>-0.1</v>
      </c>
      <c r="J59" s="82">
        <v>-0.1</v>
      </c>
      <c r="K59" s="18">
        <v>0.3</v>
      </c>
      <c r="L59" s="18">
        <v>0.4</v>
      </c>
      <c r="M59" s="18">
        <v>0.6</v>
      </c>
      <c r="N59" s="66"/>
      <c r="O59" s="66"/>
    </row>
    <row r="60">
      <c r="A60" s="66"/>
      <c r="B60" s="18" t="s">
        <v>183</v>
      </c>
      <c r="C60" s="18" t="s">
        <v>184</v>
      </c>
      <c r="D60" s="18" t="s">
        <v>169</v>
      </c>
      <c r="E60" s="18" t="s">
        <v>185</v>
      </c>
      <c r="F60" s="18" t="s">
        <v>186</v>
      </c>
      <c r="G60" s="18" t="s">
        <v>172</v>
      </c>
      <c r="H60" s="18" t="s">
        <v>187</v>
      </c>
      <c r="I60" s="18" t="s">
        <v>188</v>
      </c>
      <c r="J60" s="18" t="s">
        <v>175</v>
      </c>
      <c r="K60" s="18" t="s">
        <v>189</v>
      </c>
      <c r="L60" s="18" t="s">
        <v>190</v>
      </c>
      <c r="M60" s="18" t="s">
        <v>178</v>
      </c>
      <c r="N60" s="66"/>
      <c r="O60" s="66"/>
    </row>
    <row r="61">
      <c r="A61" s="66"/>
      <c r="B61" s="66"/>
      <c r="C61" s="66"/>
      <c r="D61" s="66"/>
      <c r="E61" s="66"/>
      <c r="F61" s="66"/>
      <c r="G61" s="66"/>
      <c r="H61" s="66"/>
      <c r="I61" s="66"/>
      <c r="J61" s="66"/>
      <c r="K61" s="66"/>
      <c r="L61" s="66"/>
      <c r="M61" s="66"/>
      <c r="N61" s="66"/>
      <c r="O61" s="66"/>
    </row>
    <row r="62">
      <c r="A62" s="66"/>
      <c r="B62" s="66"/>
      <c r="C62" s="66"/>
      <c r="D62" s="66"/>
      <c r="E62" s="66"/>
      <c r="F62" s="66"/>
      <c r="G62" s="66"/>
      <c r="H62" s="66"/>
      <c r="I62" s="66"/>
      <c r="J62" s="66"/>
      <c r="K62" s="66"/>
      <c r="L62" s="66"/>
      <c r="M62" s="66"/>
      <c r="N62" s="66"/>
      <c r="O62" s="66"/>
    </row>
    <row r="63">
      <c r="A63" s="66"/>
      <c r="B63" s="18" t="s">
        <v>167</v>
      </c>
      <c r="C63" s="18" t="s">
        <v>168</v>
      </c>
      <c r="D63" s="83" t="s">
        <v>169</v>
      </c>
      <c r="E63" s="18" t="s">
        <v>170</v>
      </c>
      <c r="F63" s="18" t="s">
        <v>171</v>
      </c>
      <c r="G63" s="83" t="s">
        <v>172</v>
      </c>
      <c r="H63" s="18" t="s">
        <v>173</v>
      </c>
      <c r="I63" s="18" t="s">
        <v>174</v>
      </c>
      <c r="J63" s="83" t="s">
        <v>175</v>
      </c>
      <c r="K63" s="18" t="s">
        <v>176</v>
      </c>
      <c r="L63" s="18" t="s">
        <v>177</v>
      </c>
      <c r="M63" s="83" t="s">
        <v>178</v>
      </c>
      <c r="N63" s="66"/>
      <c r="O63" s="66"/>
    </row>
    <row r="64">
      <c r="A64" s="68">
        <v>2022.0</v>
      </c>
      <c r="B64" s="70">
        <v>0.5</v>
      </c>
      <c r="C64" s="70">
        <v>0.3</v>
      </c>
      <c r="D64" s="70">
        <v>0.3</v>
      </c>
      <c r="E64" s="70">
        <v>0.4</v>
      </c>
      <c r="F64" s="70">
        <v>0.4</v>
      </c>
      <c r="G64" s="70">
        <v>0.5</v>
      </c>
      <c r="H64" s="71">
        <v>0.2</v>
      </c>
      <c r="I64" s="84">
        <v>-0.1</v>
      </c>
      <c r="J64" s="84">
        <v>-0.1</v>
      </c>
      <c r="K64" s="71">
        <v>0.4</v>
      </c>
      <c r="L64" s="71">
        <v>0.4</v>
      </c>
      <c r="M64" s="72">
        <v>0.5</v>
      </c>
      <c r="N64" s="66"/>
      <c r="O64" s="66"/>
    </row>
    <row r="65">
      <c r="A65" s="75" t="s">
        <v>179</v>
      </c>
      <c r="B65" s="76">
        <v>6.07</v>
      </c>
      <c r="C65" s="76">
        <v>5.56</v>
      </c>
      <c r="D65" s="76">
        <v>5.18</v>
      </c>
      <c r="E65" s="76">
        <v>4.99</v>
      </c>
      <c r="F65" s="76">
        <v>4.63</v>
      </c>
      <c r="G65" s="76">
        <v>4.49</v>
      </c>
      <c r="H65" s="77">
        <v>4.18</v>
      </c>
      <c r="I65" s="77">
        <v>4.07</v>
      </c>
      <c r="J65" s="77">
        <v>3.86</v>
      </c>
      <c r="K65" s="77">
        <v>3.86</v>
      </c>
      <c r="L65" s="77">
        <v>3.76</v>
      </c>
      <c r="M65" s="78">
        <v>3.76</v>
      </c>
      <c r="N65" s="79">
        <v>3.8</v>
      </c>
      <c r="O65" s="80">
        <v>2022.0</v>
      </c>
    </row>
  </sheetData>
  <mergeCells count="1">
    <mergeCell ref="N57:O5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8" max="10" width="12.5"/>
    <col customWidth="1" min="11" max="11" width="23.88"/>
  </cols>
  <sheetData>
    <row r="1">
      <c r="A1" s="60">
        <v>44393.0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3" t="s">
        <v>15</v>
      </c>
      <c r="B2" s="4"/>
      <c r="C2" s="4" t="s">
        <v>16</v>
      </c>
      <c r="D2" s="4" t="s">
        <v>16</v>
      </c>
      <c r="E2" s="54" t="s">
        <v>152</v>
      </c>
      <c r="F2" s="54" t="s">
        <v>16</v>
      </c>
      <c r="G2" s="54" t="s">
        <v>17</v>
      </c>
      <c r="H2" s="54" t="s">
        <v>17</v>
      </c>
      <c r="J2" s="5"/>
      <c r="L2" s="3" t="s">
        <v>20</v>
      </c>
      <c r="N2" s="7" t="s">
        <v>22</v>
      </c>
      <c r="O2" s="52"/>
      <c r="P2" s="3" t="s">
        <v>23</v>
      </c>
      <c r="Q2" s="52"/>
    </row>
    <row r="3">
      <c r="A3" s="3" t="s">
        <v>24</v>
      </c>
      <c r="B3" s="4"/>
      <c r="C3" s="4" t="s">
        <v>25</v>
      </c>
      <c r="D3" s="4" t="s">
        <v>25</v>
      </c>
      <c r="E3" s="54" t="s">
        <v>153</v>
      </c>
      <c r="F3" s="54" t="s">
        <v>154</v>
      </c>
      <c r="G3" s="54" t="s">
        <v>25</v>
      </c>
      <c r="H3" s="54" t="s">
        <v>25</v>
      </c>
      <c r="J3" s="5"/>
      <c r="L3" s="3" t="s">
        <v>20</v>
      </c>
      <c r="N3" s="7" t="s">
        <v>22</v>
      </c>
      <c r="O3" s="52"/>
      <c r="P3" s="3" t="s">
        <v>23</v>
      </c>
      <c r="Q3" s="52"/>
    </row>
    <row r="4">
      <c r="A4" s="3" t="s">
        <v>28</v>
      </c>
      <c r="B4" s="4"/>
      <c r="C4" s="4" t="s">
        <v>29</v>
      </c>
      <c r="D4" s="4" t="s">
        <v>139</v>
      </c>
      <c r="E4" s="54" t="s">
        <v>155</v>
      </c>
      <c r="F4" s="54" t="s">
        <v>140</v>
      </c>
      <c r="G4" s="54" t="s">
        <v>141</v>
      </c>
      <c r="H4" s="54" t="s">
        <v>141</v>
      </c>
      <c r="J4" s="5"/>
      <c r="L4" s="3" t="s">
        <v>33</v>
      </c>
      <c r="M4" s="6" t="s">
        <v>156</v>
      </c>
      <c r="N4" s="3" t="s">
        <v>23</v>
      </c>
      <c r="O4" s="53"/>
      <c r="Q4" s="52"/>
    </row>
    <row r="5">
      <c r="A5" s="3" t="s">
        <v>35</v>
      </c>
      <c r="B5" s="4"/>
      <c r="C5" s="4">
        <v>5.7</v>
      </c>
      <c r="D5" s="54" t="s">
        <v>144</v>
      </c>
      <c r="E5" s="54" t="s">
        <v>191</v>
      </c>
      <c r="F5" s="54" t="s">
        <v>192</v>
      </c>
      <c r="G5" s="54" t="s">
        <v>193</v>
      </c>
      <c r="H5" s="54" t="s">
        <v>160</v>
      </c>
      <c r="J5" s="4"/>
      <c r="L5" s="3" t="s">
        <v>20</v>
      </c>
      <c r="N5" s="7" t="s">
        <v>22</v>
      </c>
      <c r="O5" s="53"/>
      <c r="P5" s="3" t="s">
        <v>23</v>
      </c>
      <c r="Q5" s="52"/>
    </row>
    <row r="6">
      <c r="A6" s="3" t="s">
        <v>42</v>
      </c>
      <c r="B6" s="4"/>
      <c r="C6" s="4">
        <v>4.5</v>
      </c>
      <c r="D6" s="54">
        <v>5.5</v>
      </c>
      <c r="E6" s="8" t="s">
        <v>194</v>
      </c>
      <c r="F6" s="8" t="s">
        <v>194</v>
      </c>
      <c r="G6" s="8" t="s">
        <v>195</v>
      </c>
      <c r="H6" s="8" t="s">
        <v>196</v>
      </c>
      <c r="J6" s="5"/>
      <c r="L6" s="3" t="s">
        <v>20</v>
      </c>
      <c r="N6" s="7" t="s">
        <v>22</v>
      </c>
      <c r="O6" s="52"/>
      <c r="P6" s="3" t="s">
        <v>23</v>
      </c>
      <c r="Q6" s="52"/>
    </row>
    <row r="7">
      <c r="O7" s="55"/>
      <c r="Q7" s="55"/>
    </row>
    <row r="8">
      <c r="A8" s="3" t="s">
        <v>47</v>
      </c>
      <c r="C8" s="4">
        <v>5.7</v>
      </c>
      <c r="D8" s="4">
        <v>6.5</v>
      </c>
      <c r="E8" s="54">
        <v>6.9</v>
      </c>
      <c r="F8" s="8">
        <v>6.3</v>
      </c>
      <c r="G8" s="54">
        <v>5.2</v>
      </c>
      <c r="H8" s="54">
        <v>4.5</v>
      </c>
      <c r="I8" s="62">
        <v>3.9</v>
      </c>
      <c r="J8" s="54">
        <v>3.8</v>
      </c>
    </row>
    <row r="9">
      <c r="A9" s="3" t="s">
        <v>162</v>
      </c>
      <c r="F9" s="8">
        <v>6.3</v>
      </c>
      <c r="G9" s="3" t="s">
        <v>197</v>
      </c>
    </row>
    <row r="12">
      <c r="A12" s="3" t="s">
        <v>48</v>
      </c>
      <c r="C12" s="10"/>
      <c r="D12" s="10"/>
      <c r="E12" s="10"/>
      <c r="F12" s="10"/>
      <c r="G12" s="10"/>
      <c r="H12" s="10"/>
      <c r="I12" s="10"/>
      <c r="J12" s="10"/>
    </row>
    <row r="13">
      <c r="A13" s="3" t="s">
        <v>15</v>
      </c>
      <c r="B13" s="11"/>
      <c r="C13" s="63">
        <v>74.4</v>
      </c>
      <c r="D13" s="63">
        <v>74.2</v>
      </c>
      <c r="E13" s="63">
        <v>74.2</v>
      </c>
      <c r="F13" s="63">
        <v>73.8</v>
      </c>
      <c r="G13" s="63">
        <v>75.4</v>
      </c>
      <c r="H13" s="63">
        <v>77.4</v>
      </c>
      <c r="I13" s="63">
        <v>77.2</v>
      </c>
      <c r="J13" s="63">
        <v>76.2</v>
      </c>
      <c r="K13" s="3" t="s">
        <v>92</v>
      </c>
    </row>
    <row r="14">
      <c r="A14" s="3" t="s">
        <v>50</v>
      </c>
      <c r="B14" s="12"/>
      <c r="C14" s="12"/>
      <c r="D14" s="13"/>
      <c r="E14" s="13"/>
      <c r="F14" s="27">
        <v>9.5</v>
      </c>
      <c r="G14" s="4">
        <v>4.7</v>
      </c>
      <c r="H14" s="4">
        <v>2.7</v>
      </c>
      <c r="I14" s="4">
        <v>1.6</v>
      </c>
      <c r="J14" s="24">
        <v>1.9</v>
      </c>
      <c r="K14" s="3" t="s">
        <v>51</v>
      </c>
    </row>
    <row r="15">
      <c r="A15" s="3" t="s">
        <v>149</v>
      </c>
      <c r="B15" s="12"/>
      <c r="C15" s="12"/>
      <c r="D15" s="13"/>
      <c r="E15" s="13"/>
      <c r="F15" s="27">
        <v>6.3</v>
      </c>
      <c r="G15" s="5"/>
      <c r="H15" s="14"/>
      <c r="I15" s="14"/>
      <c r="J15" s="4"/>
      <c r="K15" s="3" t="s">
        <v>51</v>
      </c>
    </row>
    <row r="16">
      <c r="A16" s="3" t="s">
        <v>150</v>
      </c>
      <c r="B16" s="12"/>
      <c r="C16" s="12"/>
      <c r="D16" s="13"/>
      <c r="E16" s="13"/>
      <c r="F16" s="85">
        <v>5.0</v>
      </c>
      <c r="G16" s="5"/>
      <c r="H16" s="14"/>
      <c r="I16" s="14"/>
      <c r="J16" s="4"/>
      <c r="K16" s="3" t="s">
        <v>51</v>
      </c>
    </row>
    <row r="17">
      <c r="B17" s="15" t="s">
        <v>52</v>
      </c>
      <c r="C17" s="16"/>
      <c r="D17" s="16"/>
      <c r="E17" s="16"/>
      <c r="F17" s="17" t="s">
        <v>53</v>
      </c>
      <c r="G17" s="18"/>
      <c r="H17" s="18"/>
      <c r="I17" s="18"/>
      <c r="J17" s="18"/>
      <c r="K17" s="3"/>
    </row>
    <row r="18">
      <c r="A18" s="3"/>
      <c r="B18" s="16" t="s">
        <v>28</v>
      </c>
      <c r="C18" s="16"/>
      <c r="D18" s="16"/>
      <c r="E18" s="16"/>
      <c r="F18" s="21">
        <v>0.343</v>
      </c>
      <c r="G18" s="21">
        <v>0.057</v>
      </c>
      <c r="H18" s="21">
        <v>-0.121</v>
      </c>
      <c r="I18" s="21">
        <v>-0.13</v>
      </c>
      <c r="J18" s="18"/>
      <c r="K18" s="31" t="s">
        <v>164</v>
      </c>
    </row>
    <row r="19">
      <c r="A19" s="3"/>
      <c r="B19" s="16" t="s">
        <v>55</v>
      </c>
      <c r="C19" s="16"/>
      <c r="D19" s="16"/>
      <c r="E19" s="16"/>
      <c r="F19" s="56">
        <v>0.143</v>
      </c>
      <c r="G19" s="20">
        <v>0.07</v>
      </c>
      <c r="H19" s="20">
        <v>-0.01</v>
      </c>
      <c r="I19" s="21">
        <v>0.054</v>
      </c>
      <c r="J19" s="86">
        <v>-0.022</v>
      </c>
      <c r="K19" s="3" t="s">
        <v>56</v>
      </c>
    </row>
    <row r="20">
      <c r="A20" s="3"/>
      <c r="B20" s="16" t="s">
        <v>57</v>
      </c>
      <c r="C20" s="16"/>
      <c r="D20" s="16"/>
      <c r="E20" s="16"/>
      <c r="F20" s="28">
        <v>0.85</v>
      </c>
      <c r="G20" s="87">
        <v>0.038</v>
      </c>
      <c r="H20" s="20">
        <v>-0.3</v>
      </c>
      <c r="I20" s="20">
        <v>-0.44</v>
      </c>
      <c r="J20" s="88">
        <v>-0.267</v>
      </c>
      <c r="K20" s="3" t="s">
        <v>56</v>
      </c>
    </row>
    <row r="21">
      <c r="A21" s="3"/>
      <c r="B21" s="16" t="s">
        <v>58</v>
      </c>
      <c r="C21" s="16"/>
      <c r="D21" s="16"/>
      <c r="E21" s="16"/>
      <c r="F21" s="21">
        <v>-0.082</v>
      </c>
      <c r="G21" s="21">
        <v>0.112</v>
      </c>
      <c r="H21" s="20">
        <v>-0.01</v>
      </c>
      <c r="I21" s="20">
        <v>0.07</v>
      </c>
      <c r="J21" s="88">
        <v>-0.051</v>
      </c>
      <c r="K21" s="3" t="s">
        <v>56</v>
      </c>
    </row>
    <row r="22">
      <c r="A22" s="3"/>
      <c r="B22" s="16" t="s">
        <v>60</v>
      </c>
      <c r="C22" s="16"/>
      <c r="D22" s="16"/>
      <c r="E22" s="16"/>
      <c r="F22" s="21">
        <v>0.181</v>
      </c>
      <c r="G22" s="21">
        <v>0.073</v>
      </c>
      <c r="H22" s="20">
        <v>-0.02</v>
      </c>
      <c r="I22" s="21">
        <v>-0.092</v>
      </c>
      <c r="J22" s="88">
        <v>-0.099</v>
      </c>
      <c r="K22" s="3" t="s">
        <v>56</v>
      </c>
    </row>
    <row r="23">
      <c r="A23" s="3"/>
      <c r="B23" s="16" t="s">
        <v>62</v>
      </c>
      <c r="C23" s="16"/>
      <c r="D23" s="16"/>
      <c r="E23" s="16"/>
      <c r="F23" s="18">
        <f t="shared" ref="F23:J23" si="1">F39</f>
        <v>73.1</v>
      </c>
      <c r="G23" s="18">
        <f t="shared" si="1"/>
        <v>74.6</v>
      </c>
      <c r="H23" s="18">
        <f t="shared" si="1"/>
        <v>76.5</v>
      </c>
      <c r="I23" s="18">
        <f t="shared" si="1"/>
        <v>76</v>
      </c>
      <c r="J23" s="89">
        <f t="shared" si="1"/>
        <v>75.5</v>
      </c>
      <c r="K23" s="3" t="s">
        <v>63</v>
      </c>
    </row>
    <row r="24">
      <c r="A24" s="3"/>
      <c r="B24" s="16" t="s">
        <v>64</v>
      </c>
      <c r="C24" s="16"/>
      <c r="D24" s="16"/>
      <c r="E24" s="16"/>
      <c r="F24" s="20">
        <v>0.07</v>
      </c>
      <c r="G24" s="20">
        <v>0.07</v>
      </c>
      <c r="H24" s="20">
        <v>0.07</v>
      </c>
      <c r="I24" s="20">
        <v>0.07</v>
      </c>
      <c r="J24" s="86">
        <v>0.07</v>
      </c>
      <c r="K24" s="3" t="s">
        <v>65</v>
      </c>
    </row>
    <row r="25">
      <c r="A25" s="3"/>
      <c r="B25" s="16" t="s">
        <v>66</v>
      </c>
      <c r="C25" s="16"/>
      <c r="D25" s="16"/>
      <c r="E25" s="16"/>
      <c r="F25" s="21">
        <v>0.042</v>
      </c>
      <c r="G25" s="21">
        <v>0.042</v>
      </c>
      <c r="H25" s="21">
        <v>0.042</v>
      </c>
      <c r="I25" s="21">
        <v>0.042</v>
      </c>
      <c r="J25" s="88">
        <v>0.042</v>
      </c>
      <c r="K25" s="3" t="s">
        <v>67</v>
      </c>
    </row>
    <row r="26">
      <c r="A26" s="3"/>
      <c r="B26" s="16" t="s">
        <v>68</v>
      </c>
      <c r="C26" s="16"/>
      <c r="D26" s="16"/>
      <c r="E26" s="16"/>
      <c r="F26" s="21">
        <v>0.024</v>
      </c>
      <c r="G26" s="21">
        <v>0.024</v>
      </c>
      <c r="H26" s="21">
        <v>0.024</v>
      </c>
      <c r="I26" s="21">
        <v>0.024</v>
      </c>
      <c r="J26" s="88">
        <v>0.024</v>
      </c>
      <c r="K26" s="3" t="s">
        <v>67</v>
      </c>
    </row>
    <row r="28">
      <c r="A28" s="3" t="s">
        <v>28</v>
      </c>
      <c r="B28" s="10" t="s">
        <v>69</v>
      </c>
      <c r="C28" s="63">
        <v>56.0</v>
      </c>
      <c r="D28" s="63">
        <v>65.0</v>
      </c>
      <c r="E28" s="63">
        <v>65.0</v>
      </c>
      <c r="F28" s="63">
        <v>64.0</v>
      </c>
      <c r="G28" s="63">
        <v>63.0</v>
      </c>
      <c r="H28" s="63">
        <v>62.0</v>
      </c>
      <c r="I28" s="63">
        <v>61.0</v>
      </c>
      <c r="J28" s="63">
        <v>61.0</v>
      </c>
      <c r="K28" s="3" t="s">
        <v>165</v>
      </c>
      <c r="N28" s="35">
        <f t="shared" ref="N28:N30" si="2">AVERAGE(C28:F28)</f>
        <v>62.5</v>
      </c>
      <c r="O28" s="35">
        <f t="shared" ref="O28:O30" si="3">AVERAGE(G28:J28)</f>
        <v>61.75</v>
      </c>
    </row>
    <row r="29">
      <c r="A29" s="22" t="s">
        <v>74</v>
      </c>
      <c r="B29" s="10" t="s">
        <v>75</v>
      </c>
      <c r="C29" s="63">
        <v>170.0</v>
      </c>
      <c r="D29" s="63">
        <v>174.0</v>
      </c>
      <c r="E29" s="63">
        <v>155.0</v>
      </c>
      <c r="F29" s="63">
        <v>141.0</v>
      </c>
      <c r="G29" s="63">
        <v>134.0</v>
      </c>
      <c r="H29" s="63">
        <v>133.0</v>
      </c>
      <c r="I29" s="63">
        <v>137.0</v>
      </c>
      <c r="J29" s="63">
        <v>142.0</v>
      </c>
      <c r="K29" s="3" t="s">
        <v>166</v>
      </c>
      <c r="N29" s="35">
        <f t="shared" si="2"/>
        <v>160</v>
      </c>
      <c r="O29" s="35">
        <f t="shared" si="3"/>
        <v>136.5</v>
      </c>
    </row>
    <row r="30">
      <c r="A30" s="22" t="s">
        <v>76</v>
      </c>
      <c r="B30" s="10" t="s">
        <v>77</v>
      </c>
      <c r="C30" s="63">
        <v>1038.0</v>
      </c>
      <c r="D30" s="63">
        <v>1340.0</v>
      </c>
      <c r="E30" s="63">
        <v>1424.0</v>
      </c>
      <c r="F30" s="63">
        <v>1322.0</v>
      </c>
      <c r="G30" s="63">
        <v>1322.0</v>
      </c>
      <c r="H30" s="63">
        <v>983.0</v>
      </c>
      <c r="I30" s="63">
        <v>983.0</v>
      </c>
      <c r="J30" s="63">
        <v>983.0</v>
      </c>
      <c r="K30" s="3" t="s">
        <v>54</v>
      </c>
      <c r="N30" s="35">
        <f t="shared" si="2"/>
        <v>1281</v>
      </c>
      <c r="O30" s="35">
        <f t="shared" si="3"/>
        <v>1067.75</v>
      </c>
    </row>
    <row r="31">
      <c r="C31" s="10"/>
      <c r="D31" s="10"/>
      <c r="E31" s="10"/>
      <c r="F31" s="10"/>
      <c r="G31" s="10"/>
      <c r="H31" s="10"/>
      <c r="I31" s="10"/>
      <c r="J31" s="10"/>
    </row>
    <row r="33">
      <c r="A33" s="3" t="s">
        <v>78</v>
      </c>
      <c r="B33" s="12" t="s">
        <v>79</v>
      </c>
      <c r="C33" s="63">
        <v>99.3</v>
      </c>
      <c r="D33" s="63">
        <v>110.0</v>
      </c>
      <c r="E33" s="63">
        <v>106.4</v>
      </c>
      <c r="F33" s="63">
        <v>101.8</v>
      </c>
      <c r="G33" s="63">
        <v>98.1</v>
      </c>
      <c r="H33" s="63">
        <v>99.8</v>
      </c>
      <c r="I33" s="63">
        <v>102.6</v>
      </c>
      <c r="J33" s="63">
        <v>103.4</v>
      </c>
      <c r="N33" s="35">
        <f t="shared" ref="N33:N35" si="4">AVERAGE(C33:F33)</f>
        <v>104.375</v>
      </c>
      <c r="O33" s="35">
        <f t="shared" ref="O33:O35" si="5">AVERAGE(G33:J33)</f>
        <v>100.975</v>
      </c>
    </row>
    <row r="34">
      <c r="A34" s="3" t="s">
        <v>80</v>
      </c>
      <c r="B34" s="3" t="s">
        <v>79</v>
      </c>
      <c r="C34" s="63">
        <v>97.2</v>
      </c>
      <c r="D34" s="63">
        <v>127.0</v>
      </c>
      <c r="E34" s="63">
        <v>115.0</v>
      </c>
      <c r="F34" s="63">
        <v>105.0</v>
      </c>
      <c r="G34" s="63">
        <v>102.0</v>
      </c>
      <c r="H34" s="63">
        <v>102.0</v>
      </c>
      <c r="I34" s="63">
        <v>102.0</v>
      </c>
      <c r="J34" s="63">
        <v>102.0</v>
      </c>
      <c r="N34" s="35">
        <f t="shared" si="4"/>
        <v>111.05</v>
      </c>
      <c r="O34" s="35">
        <f t="shared" si="5"/>
        <v>102</v>
      </c>
    </row>
    <row r="35">
      <c r="A35" s="3" t="s">
        <v>81</v>
      </c>
      <c r="B35" s="3" t="s">
        <v>79</v>
      </c>
      <c r="C35" s="63">
        <v>105.5</v>
      </c>
      <c r="D35" s="63">
        <v>106.0</v>
      </c>
      <c r="E35" s="63">
        <v>106.4</v>
      </c>
      <c r="F35" s="63">
        <v>106.0</v>
      </c>
      <c r="G35" s="63">
        <v>105.3</v>
      </c>
      <c r="H35" s="63">
        <v>104.5</v>
      </c>
      <c r="I35" s="63">
        <v>104.1</v>
      </c>
      <c r="J35" s="63">
        <v>104.1</v>
      </c>
      <c r="N35" s="35">
        <f t="shared" si="4"/>
        <v>105.975</v>
      </c>
      <c r="O35" s="35">
        <f t="shared" si="5"/>
        <v>104.5</v>
      </c>
    </row>
    <row r="37">
      <c r="C37" s="30"/>
      <c r="D37" s="30"/>
      <c r="E37" s="30"/>
      <c r="F37" s="30"/>
      <c r="G37" s="30"/>
      <c r="H37" s="30"/>
      <c r="I37" s="30"/>
      <c r="J37" s="30"/>
    </row>
    <row r="39">
      <c r="A39" s="3" t="s">
        <v>137</v>
      </c>
      <c r="B39" s="11"/>
      <c r="C39" s="63">
        <v>74.4</v>
      </c>
      <c r="D39" s="63">
        <v>73.6</v>
      </c>
      <c r="E39" s="63">
        <v>73.0</v>
      </c>
      <c r="F39" s="63">
        <v>73.1</v>
      </c>
      <c r="G39" s="63">
        <v>74.6</v>
      </c>
      <c r="H39" s="63">
        <v>76.5</v>
      </c>
      <c r="I39" s="63">
        <v>76.0</v>
      </c>
      <c r="J39" s="63">
        <v>75.5</v>
      </c>
    </row>
    <row r="43">
      <c r="C43" s="35">
        <f t="shared" ref="C43:G43" si="6">VALUE(MID(C2,1,2))</f>
        <v>72</v>
      </c>
      <c r="D43" s="35">
        <f t="shared" si="6"/>
        <v>72</v>
      </c>
      <c r="E43" s="35">
        <f t="shared" si="6"/>
        <v>71</v>
      </c>
      <c r="F43" s="35">
        <f t="shared" si="6"/>
        <v>72</v>
      </c>
      <c r="G43" s="35">
        <f t="shared" si="6"/>
        <v>73</v>
      </c>
    </row>
    <row r="44">
      <c r="C44" s="35">
        <f t="shared" ref="C44:G44" si="7">VALUE(MID(C3,1,2))</f>
        <v>87</v>
      </c>
      <c r="D44" s="35">
        <f t="shared" si="7"/>
        <v>87</v>
      </c>
      <c r="E44" s="35">
        <f t="shared" si="7"/>
        <v>85</v>
      </c>
      <c r="F44" s="35">
        <f t="shared" si="7"/>
        <v>86</v>
      </c>
      <c r="G44" s="35">
        <f t="shared" si="7"/>
        <v>87</v>
      </c>
    </row>
    <row r="45">
      <c r="C45" s="35">
        <f t="shared" ref="C45:G45" si="8">VALUE(MID(C2,4,2))</f>
        <v>77</v>
      </c>
      <c r="D45" s="35">
        <f t="shared" si="8"/>
        <v>77</v>
      </c>
      <c r="E45" s="35">
        <f t="shared" si="8"/>
        <v>76</v>
      </c>
      <c r="F45" s="35">
        <f t="shared" si="8"/>
        <v>77</v>
      </c>
      <c r="G45" s="35">
        <f t="shared" si="8"/>
        <v>78</v>
      </c>
    </row>
    <row r="46">
      <c r="C46" s="35">
        <f t="shared" ref="C46:G46" si="9">VALUE(MID(C3,4,2))</f>
        <v>92</v>
      </c>
      <c r="D46" s="35">
        <f t="shared" si="9"/>
        <v>92</v>
      </c>
      <c r="E46" s="35">
        <f t="shared" si="9"/>
        <v>90</v>
      </c>
      <c r="F46" s="35">
        <f t="shared" si="9"/>
        <v>91</v>
      </c>
      <c r="G46" s="35">
        <f t="shared" si="9"/>
        <v>92</v>
      </c>
    </row>
    <row r="47">
      <c r="C47" s="35">
        <f t="shared" ref="C47:G47" si="10">AVERAGE(C43,C45)</f>
        <v>74.5</v>
      </c>
      <c r="D47" s="35">
        <f t="shared" si="10"/>
        <v>74.5</v>
      </c>
      <c r="E47" s="35">
        <f t="shared" si="10"/>
        <v>73.5</v>
      </c>
      <c r="F47" s="35">
        <f t="shared" si="10"/>
        <v>74.5</v>
      </c>
      <c r="G47" s="35">
        <f t="shared" si="10"/>
        <v>75.5</v>
      </c>
    </row>
    <row r="48">
      <c r="C48" s="35">
        <f t="shared" ref="C48:G48" si="11">AVERAGE(C44,C46)</f>
        <v>89.5</v>
      </c>
      <c r="D48" s="35">
        <f t="shared" si="11"/>
        <v>89.5</v>
      </c>
      <c r="E48" s="35">
        <f t="shared" si="11"/>
        <v>87.5</v>
      </c>
      <c r="F48" s="35">
        <f t="shared" si="11"/>
        <v>88.5</v>
      </c>
      <c r="G48" s="35">
        <f t="shared" si="11"/>
        <v>89.5</v>
      </c>
    </row>
    <row r="49">
      <c r="A49" s="3" t="s">
        <v>151</v>
      </c>
      <c r="C49" s="59">
        <f t="shared" ref="C49:G49" si="12">C48/C47</f>
        <v>1.201342282</v>
      </c>
      <c r="D49" s="59">
        <f t="shared" si="12"/>
        <v>1.201342282</v>
      </c>
      <c r="E49" s="59">
        <f t="shared" si="12"/>
        <v>1.19047619</v>
      </c>
      <c r="F49" s="59">
        <f t="shared" si="12"/>
        <v>1.187919463</v>
      </c>
      <c r="G49" s="59">
        <f t="shared" si="12"/>
        <v>1.185430464</v>
      </c>
    </row>
    <row r="53">
      <c r="A53" s="66"/>
      <c r="B53" s="66"/>
      <c r="C53" s="66"/>
      <c r="D53" s="66"/>
      <c r="E53" s="66"/>
      <c r="F53" s="66"/>
      <c r="G53" s="66"/>
      <c r="H53" s="66"/>
      <c r="I53" s="66"/>
      <c r="J53" s="66"/>
      <c r="K53" s="66"/>
      <c r="L53" s="66"/>
      <c r="M53" s="66"/>
      <c r="N53" s="66"/>
      <c r="O53" s="66"/>
    </row>
    <row r="54">
      <c r="A54" s="66"/>
      <c r="B54" s="18" t="s">
        <v>167</v>
      </c>
      <c r="C54" s="18" t="s">
        <v>168</v>
      </c>
      <c r="D54" s="67" t="s">
        <v>169</v>
      </c>
      <c r="E54" s="18" t="s">
        <v>170</v>
      </c>
      <c r="F54" s="18" t="s">
        <v>171</v>
      </c>
      <c r="G54" s="67" t="s">
        <v>172</v>
      </c>
      <c r="H54" s="18" t="s">
        <v>173</v>
      </c>
      <c r="I54" s="18" t="s">
        <v>174</v>
      </c>
      <c r="J54" s="67" t="s">
        <v>175</v>
      </c>
      <c r="K54" s="18" t="s">
        <v>176</v>
      </c>
      <c r="L54" s="18" t="s">
        <v>177</v>
      </c>
      <c r="M54" s="67" t="s">
        <v>178</v>
      </c>
      <c r="N54" s="66"/>
      <c r="O54" s="66"/>
    </row>
    <row r="55">
      <c r="A55" s="68">
        <v>2021.0</v>
      </c>
      <c r="B55" s="69">
        <v>0.67</v>
      </c>
      <c r="C55" s="69">
        <v>0.78</v>
      </c>
      <c r="D55" s="69">
        <v>0.66</v>
      </c>
      <c r="E55" s="69">
        <v>0.58</v>
      </c>
      <c r="F55" s="69">
        <v>0.74</v>
      </c>
      <c r="G55" s="69">
        <v>0.69</v>
      </c>
      <c r="H55" s="90">
        <v>0.5</v>
      </c>
      <c r="I55" s="71">
        <v>0.0</v>
      </c>
      <c r="J55" s="71">
        <v>0.1</v>
      </c>
      <c r="K55" s="71">
        <v>0.4</v>
      </c>
      <c r="L55" s="71">
        <v>0.5</v>
      </c>
      <c r="M55" s="72">
        <v>0.5</v>
      </c>
      <c r="N55" s="73"/>
      <c r="O55" s="74"/>
    </row>
    <row r="56">
      <c r="A56" s="75" t="s">
        <v>179</v>
      </c>
      <c r="B56" s="76">
        <v>5.19</v>
      </c>
      <c r="C56" s="76">
        <v>5.67</v>
      </c>
      <c r="D56" s="76">
        <v>5.79</v>
      </c>
      <c r="E56" s="76">
        <v>5.53</v>
      </c>
      <c r="F56" s="76">
        <v>6.02</v>
      </c>
      <c r="G56" s="76">
        <v>6.5</v>
      </c>
      <c r="H56" s="77">
        <v>6.68</v>
      </c>
      <c r="I56" s="77">
        <v>6.72</v>
      </c>
      <c r="J56" s="77">
        <v>6.9</v>
      </c>
      <c r="K56" s="77">
        <v>6.87</v>
      </c>
      <c r="L56" s="77">
        <v>6.65</v>
      </c>
      <c r="M56" s="78">
        <v>6.3</v>
      </c>
      <c r="N56" s="79">
        <v>6.3</v>
      </c>
      <c r="O56" s="80">
        <v>2021.0</v>
      </c>
    </row>
    <row r="57">
      <c r="A57" s="66"/>
      <c r="B57" s="66"/>
      <c r="C57" s="66"/>
      <c r="D57" s="66"/>
      <c r="E57" s="66"/>
      <c r="F57" s="66"/>
      <c r="G57" s="66"/>
      <c r="H57" s="66"/>
      <c r="I57" s="66"/>
      <c r="J57" s="66"/>
      <c r="K57" s="66"/>
      <c r="L57" s="66"/>
      <c r="M57" s="66"/>
      <c r="N57" s="81" t="s">
        <v>198</v>
      </c>
    </row>
    <row r="58">
      <c r="A58" s="18" t="s">
        <v>181</v>
      </c>
      <c r="B58" s="18">
        <v>0.6</v>
      </c>
      <c r="C58" s="18">
        <v>0.4</v>
      </c>
      <c r="D58" s="18">
        <v>0.5</v>
      </c>
      <c r="E58" s="18">
        <v>0.4</v>
      </c>
      <c r="F58" s="18">
        <v>0.4</v>
      </c>
      <c r="G58" s="18">
        <v>0.4</v>
      </c>
      <c r="H58" s="18">
        <v>0.5</v>
      </c>
      <c r="I58" s="18">
        <v>0.0</v>
      </c>
      <c r="J58" s="18">
        <v>0.2</v>
      </c>
      <c r="K58" s="18">
        <v>0.4</v>
      </c>
      <c r="L58" s="18">
        <v>0.5</v>
      </c>
      <c r="M58" s="18">
        <v>0.5</v>
      </c>
      <c r="N58" s="66"/>
      <c r="O58" s="66"/>
    </row>
    <row r="59">
      <c r="A59" s="18" t="s">
        <v>182</v>
      </c>
      <c r="B59" s="18">
        <v>0.5</v>
      </c>
      <c r="C59" s="18">
        <v>0.3</v>
      </c>
      <c r="D59" s="18">
        <v>0.3</v>
      </c>
      <c r="E59" s="18">
        <v>0.4</v>
      </c>
      <c r="F59" s="18">
        <v>0.4</v>
      </c>
      <c r="G59" s="18">
        <v>0.4</v>
      </c>
      <c r="H59" s="18">
        <v>0.2</v>
      </c>
      <c r="I59" s="82">
        <v>-0.1</v>
      </c>
      <c r="J59" s="82">
        <v>-0.1</v>
      </c>
      <c r="K59" s="18">
        <v>0.3</v>
      </c>
      <c r="L59" s="18">
        <v>0.4</v>
      </c>
      <c r="M59" s="18">
        <v>0.6</v>
      </c>
      <c r="N59" s="66"/>
      <c r="O59" s="66"/>
    </row>
    <row r="60">
      <c r="A60" s="66"/>
      <c r="B60" s="18" t="s">
        <v>183</v>
      </c>
      <c r="C60" s="18" t="s">
        <v>184</v>
      </c>
      <c r="D60" s="18" t="s">
        <v>169</v>
      </c>
      <c r="E60" s="18" t="s">
        <v>185</v>
      </c>
      <c r="F60" s="18" t="s">
        <v>186</v>
      </c>
      <c r="G60" s="18" t="s">
        <v>172</v>
      </c>
      <c r="H60" s="18" t="s">
        <v>187</v>
      </c>
      <c r="I60" s="18" t="s">
        <v>188</v>
      </c>
      <c r="J60" s="18" t="s">
        <v>175</v>
      </c>
      <c r="K60" s="18" t="s">
        <v>189</v>
      </c>
      <c r="L60" s="18" t="s">
        <v>190</v>
      </c>
      <c r="M60" s="18" t="s">
        <v>178</v>
      </c>
      <c r="N60" s="66"/>
      <c r="O60" s="66"/>
    </row>
    <row r="61">
      <c r="A61" s="66"/>
      <c r="B61" s="66"/>
      <c r="C61" s="66"/>
      <c r="D61" s="66"/>
      <c r="E61" s="66"/>
      <c r="F61" s="66"/>
      <c r="G61" s="66"/>
      <c r="H61" s="66"/>
      <c r="I61" s="66"/>
      <c r="J61" s="66"/>
      <c r="K61" s="66"/>
      <c r="L61" s="66"/>
      <c r="M61" s="66"/>
      <c r="N61" s="66"/>
      <c r="O61" s="66"/>
    </row>
    <row r="62">
      <c r="A62" s="66"/>
      <c r="B62" s="66"/>
      <c r="C62" s="66"/>
      <c r="D62" s="66"/>
      <c r="E62" s="66"/>
      <c r="F62" s="66"/>
      <c r="G62" s="66"/>
      <c r="H62" s="66"/>
      <c r="I62" s="66"/>
      <c r="J62" s="66"/>
      <c r="K62" s="66"/>
      <c r="L62" s="66"/>
      <c r="M62" s="66"/>
      <c r="N62" s="66"/>
      <c r="O62" s="66"/>
    </row>
    <row r="63">
      <c r="A63" s="66"/>
      <c r="B63" s="18" t="s">
        <v>167</v>
      </c>
      <c r="C63" s="18" t="s">
        <v>168</v>
      </c>
      <c r="D63" s="83" t="s">
        <v>169</v>
      </c>
      <c r="E63" s="18" t="s">
        <v>170</v>
      </c>
      <c r="F63" s="18" t="s">
        <v>171</v>
      </c>
      <c r="G63" s="83" t="s">
        <v>172</v>
      </c>
      <c r="H63" s="18" t="s">
        <v>173</v>
      </c>
      <c r="I63" s="18" t="s">
        <v>174</v>
      </c>
      <c r="J63" s="83" t="s">
        <v>175</v>
      </c>
      <c r="K63" s="18" t="s">
        <v>176</v>
      </c>
      <c r="L63" s="18" t="s">
        <v>177</v>
      </c>
      <c r="M63" s="83" t="s">
        <v>178</v>
      </c>
      <c r="N63" s="66"/>
      <c r="O63" s="66"/>
    </row>
    <row r="64">
      <c r="A64" s="68">
        <v>2022.0</v>
      </c>
      <c r="B64" s="70">
        <v>0.5</v>
      </c>
      <c r="C64" s="70">
        <v>0.3</v>
      </c>
      <c r="D64" s="70">
        <v>0.3</v>
      </c>
      <c r="E64" s="70">
        <v>0.4</v>
      </c>
      <c r="F64" s="70">
        <v>0.4</v>
      </c>
      <c r="G64" s="70">
        <v>0.5</v>
      </c>
      <c r="H64" s="71">
        <v>0.2</v>
      </c>
      <c r="I64" s="84">
        <v>-0.1</v>
      </c>
      <c r="J64" s="84">
        <v>-0.1</v>
      </c>
      <c r="K64" s="71">
        <v>0.4</v>
      </c>
      <c r="L64" s="71">
        <v>0.4</v>
      </c>
      <c r="M64" s="72">
        <v>0.5</v>
      </c>
      <c r="N64" s="66"/>
      <c r="O64" s="66"/>
    </row>
    <row r="65">
      <c r="A65" s="75" t="s">
        <v>179</v>
      </c>
      <c r="B65" s="91">
        <v>6.12</v>
      </c>
      <c r="C65" s="76">
        <v>5.61</v>
      </c>
      <c r="D65" s="76">
        <v>5.23</v>
      </c>
      <c r="E65" s="76">
        <v>5.04</v>
      </c>
      <c r="F65" s="76">
        <v>4.69</v>
      </c>
      <c r="G65" s="76">
        <v>4.49</v>
      </c>
      <c r="H65" s="77">
        <v>4.18</v>
      </c>
      <c r="I65" s="77">
        <v>4.07</v>
      </c>
      <c r="J65" s="77">
        <v>3.86</v>
      </c>
      <c r="K65" s="77">
        <v>3.86</v>
      </c>
      <c r="L65" s="77">
        <v>3.76</v>
      </c>
      <c r="M65" s="78">
        <v>3.76</v>
      </c>
      <c r="N65" s="79">
        <v>3.8</v>
      </c>
      <c r="O65" s="80">
        <v>2022.0</v>
      </c>
    </row>
  </sheetData>
  <mergeCells count="1">
    <mergeCell ref="N57:O5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8" max="10" width="12.5"/>
    <col customWidth="1" min="11" max="11" width="23.88"/>
  </cols>
  <sheetData>
    <row r="1">
      <c r="A1" s="92">
        <v>44435.0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3" t="s">
        <v>15</v>
      </c>
      <c r="B2" s="4"/>
      <c r="C2" s="4" t="s">
        <v>16</v>
      </c>
      <c r="D2" s="4" t="s">
        <v>16</v>
      </c>
      <c r="E2" s="54" t="s">
        <v>152</v>
      </c>
      <c r="F2" s="54" t="s">
        <v>152</v>
      </c>
      <c r="G2" s="54" t="s">
        <v>17</v>
      </c>
      <c r="H2" s="54" t="s">
        <v>17</v>
      </c>
      <c r="J2" s="5"/>
      <c r="L2" s="3" t="s">
        <v>20</v>
      </c>
      <c r="N2" s="7" t="s">
        <v>22</v>
      </c>
      <c r="O2" s="52"/>
      <c r="P2" s="3" t="s">
        <v>23</v>
      </c>
      <c r="Q2" s="52"/>
    </row>
    <row r="3">
      <c r="A3" s="3" t="s">
        <v>24</v>
      </c>
      <c r="B3" s="4"/>
      <c r="C3" s="4" t="s">
        <v>25</v>
      </c>
      <c r="D3" s="4" t="s">
        <v>25</v>
      </c>
      <c r="E3" s="54" t="s">
        <v>153</v>
      </c>
      <c r="F3" s="54" t="s">
        <v>153</v>
      </c>
      <c r="G3" s="54" t="s">
        <v>25</v>
      </c>
      <c r="H3" s="54" t="s">
        <v>25</v>
      </c>
      <c r="J3" s="5"/>
      <c r="L3" s="3" t="s">
        <v>20</v>
      </c>
      <c r="N3" s="7" t="s">
        <v>22</v>
      </c>
      <c r="O3" s="52"/>
      <c r="P3" s="3" t="s">
        <v>23</v>
      </c>
      <c r="Q3" s="52"/>
    </row>
    <row r="4">
      <c r="A4" s="3" t="s">
        <v>28</v>
      </c>
      <c r="B4" s="4"/>
      <c r="C4" s="4" t="s">
        <v>29</v>
      </c>
      <c r="D4" s="4" t="s">
        <v>139</v>
      </c>
      <c r="E4" s="54" t="s">
        <v>199</v>
      </c>
      <c r="F4" s="54" t="s">
        <v>140</v>
      </c>
      <c r="G4" s="54" t="s">
        <v>141</v>
      </c>
      <c r="H4" s="54" t="s">
        <v>200</v>
      </c>
      <c r="J4" s="5"/>
      <c r="L4" s="3" t="s">
        <v>33</v>
      </c>
      <c r="N4" s="3" t="s">
        <v>23</v>
      </c>
      <c r="O4" s="53"/>
      <c r="Q4" s="52"/>
    </row>
    <row r="5">
      <c r="A5" s="3" t="s">
        <v>35</v>
      </c>
      <c r="B5" s="4"/>
      <c r="C5" s="4">
        <v>5.7</v>
      </c>
      <c r="D5" s="54" t="s">
        <v>144</v>
      </c>
      <c r="E5" s="54" t="s">
        <v>201</v>
      </c>
      <c r="F5" s="54" t="s">
        <v>145</v>
      </c>
      <c r="G5" s="54" t="s">
        <v>202</v>
      </c>
      <c r="H5" s="54" t="s">
        <v>203</v>
      </c>
      <c r="J5" s="4"/>
      <c r="L5" s="3" t="s">
        <v>20</v>
      </c>
      <c r="N5" s="7" t="s">
        <v>22</v>
      </c>
      <c r="O5" s="53"/>
      <c r="P5" s="3" t="s">
        <v>23</v>
      </c>
      <c r="Q5" s="52"/>
    </row>
    <row r="6">
      <c r="A6" s="3" t="s">
        <v>42</v>
      </c>
      <c r="B6" s="4"/>
      <c r="C6" s="4">
        <v>4.5</v>
      </c>
      <c r="D6" s="54">
        <v>5.5</v>
      </c>
      <c r="E6" s="54" t="s">
        <v>194</v>
      </c>
      <c r="F6" s="54" t="s">
        <v>204</v>
      </c>
      <c r="G6" s="54" t="s">
        <v>205</v>
      </c>
      <c r="H6" s="54" t="s">
        <v>161</v>
      </c>
      <c r="J6" s="5"/>
      <c r="L6" s="3" t="s">
        <v>20</v>
      </c>
      <c r="N6" s="7" t="s">
        <v>22</v>
      </c>
      <c r="O6" s="52"/>
      <c r="P6" s="3" t="s">
        <v>23</v>
      </c>
      <c r="Q6" s="52"/>
    </row>
    <row r="7">
      <c r="O7" s="55"/>
      <c r="Q7" s="55"/>
    </row>
    <row r="8">
      <c r="A8" s="3" t="s">
        <v>47</v>
      </c>
      <c r="C8" s="4">
        <v>5.7</v>
      </c>
      <c r="D8" s="4">
        <v>6.5</v>
      </c>
      <c r="E8" s="62">
        <v>7.0</v>
      </c>
      <c r="F8" s="54">
        <v>6.5</v>
      </c>
      <c r="G8" s="54">
        <v>5.5</v>
      </c>
      <c r="H8" s="54">
        <v>4.7</v>
      </c>
      <c r="I8" s="62">
        <v>4.0</v>
      </c>
      <c r="J8" s="54">
        <v>3.8</v>
      </c>
    </row>
    <row r="9">
      <c r="A9" s="3" t="s">
        <v>162</v>
      </c>
      <c r="F9" s="54">
        <v>6.5</v>
      </c>
      <c r="G9" s="3" t="s">
        <v>206</v>
      </c>
    </row>
    <row r="12">
      <c r="A12" s="3" t="s">
        <v>48</v>
      </c>
    </row>
    <row r="13">
      <c r="A13" s="3" t="s">
        <v>15</v>
      </c>
      <c r="B13" s="11"/>
      <c r="C13" s="93">
        <v>74.4</v>
      </c>
      <c r="D13" s="93">
        <v>74.2</v>
      </c>
      <c r="E13" s="93">
        <v>74.5</v>
      </c>
      <c r="F13" s="93">
        <v>74.2</v>
      </c>
      <c r="G13" s="93">
        <v>76.5</v>
      </c>
      <c r="H13" s="93">
        <v>77.7</v>
      </c>
      <c r="I13" s="93">
        <v>77.7</v>
      </c>
      <c r="J13" s="93">
        <v>76.5</v>
      </c>
      <c r="K13" s="3" t="s">
        <v>92</v>
      </c>
    </row>
    <row r="14">
      <c r="A14" s="3" t="s">
        <v>50</v>
      </c>
      <c r="B14" s="12"/>
      <c r="C14" s="12"/>
      <c r="D14" s="13"/>
      <c r="E14" s="13"/>
      <c r="F14" s="27">
        <v>10.9</v>
      </c>
      <c r="G14" s="62">
        <v>5.381397</v>
      </c>
      <c r="H14" s="62">
        <v>3.614607</v>
      </c>
      <c r="I14" s="62">
        <v>2.093398</v>
      </c>
      <c r="J14" s="24">
        <v>1.9</v>
      </c>
      <c r="K14" s="3" t="s">
        <v>51</v>
      </c>
    </row>
    <row r="15">
      <c r="A15" s="3" t="s">
        <v>149</v>
      </c>
      <c r="B15" s="12"/>
      <c r="C15" s="12"/>
      <c r="D15" s="13"/>
      <c r="E15" s="13"/>
      <c r="F15" s="27">
        <v>6.5</v>
      </c>
      <c r="G15" s="5"/>
      <c r="H15" s="14"/>
      <c r="I15" s="14"/>
      <c r="J15" s="4"/>
      <c r="K15" s="3" t="s">
        <v>51</v>
      </c>
    </row>
    <row r="16">
      <c r="A16" s="3" t="s">
        <v>150</v>
      </c>
      <c r="B16" s="12"/>
      <c r="C16" s="12"/>
      <c r="D16" s="13"/>
      <c r="E16" s="13"/>
      <c r="F16" s="94">
        <v>44232.0</v>
      </c>
      <c r="G16" s="62">
        <v>4.498274</v>
      </c>
      <c r="H16" s="62">
        <v>4.739392</v>
      </c>
      <c r="I16" s="62">
        <v>4.235251</v>
      </c>
      <c r="J16" s="4"/>
      <c r="K16" s="3" t="s">
        <v>51</v>
      </c>
    </row>
    <row r="17">
      <c r="B17" s="15" t="s">
        <v>52</v>
      </c>
      <c r="C17" s="16"/>
      <c r="D17" s="16"/>
      <c r="E17" s="16"/>
      <c r="F17" s="17" t="s">
        <v>53</v>
      </c>
      <c r="G17" s="18"/>
      <c r="H17" s="18"/>
      <c r="I17" s="18"/>
      <c r="J17" s="18"/>
      <c r="K17" s="3"/>
    </row>
    <row r="18">
      <c r="A18" s="3"/>
      <c r="B18" s="16" t="s">
        <v>28</v>
      </c>
      <c r="C18" s="16"/>
      <c r="D18" s="16"/>
      <c r="E18" s="16"/>
      <c r="F18" s="20" t="s">
        <v>207</v>
      </c>
      <c r="G18" s="20">
        <v>0.085534</v>
      </c>
      <c r="H18" s="20">
        <v>-0.09657</v>
      </c>
      <c r="I18" s="20">
        <v>-0.074</v>
      </c>
      <c r="J18" s="18"/>
      <c r="K18" s="31" t="s">
        <v>164</v>
      </c>
    </row>
    <row r="19">
      <c r="A19" s="3"/>
      <c r="B19" s="16" t="s">
        <v>55</v>
      </c>
      <c r="C19" s="16"/>
      <c r="D19" s="16"/>
      <c r="E19" s="16"/>
      <c r="F19" s="20" t="s">
        <v>208</v>
      </c>
      <c r="G19" s="20">
        <v>0.0891</v>
      </c>
      <c r="H19" s="20">
        <v>0.015935</v>
      </c>
      <c r="I19" s="20">
        <v>-0.00482</v>
      </c>
      <c r="J19" s="86">
        <v>-0.022</v>
      </c>
      <c r="K19" s="3" t="s">
        <v>56</v>
      </c>
    </row>
    <row r="20">
      <c r="A20" s="3"/>
      <c r="B20" s="16" t="s">
        <v>57</v>
      </c>
      <c r="C20" s="16"/>
      <c r="D20" s="16"/>
      <c r="E20" s="16"/>
      <c r="F20" s="57" t="s">
        <v>209</v>
      </c>
      <c r="G20" s="20">
        <v>0.166436</v>
      </c>
      <c r="H20" s="20">
        <v>-0.21198</v>
      </c>
      <c r="I20" s="20">
        <v>-0.40366</v>
      </c>
      <c r="J20" s="88">
        <v>-0.267</v>
      </c>
      <c r="K20" s="3" t="s">
        <v>56</v>
      </c>
    </row>
    <row r="21">
      <c r="A21" s="3"/>
      <c r="B21" s="16" t="s">
        <v>58</v>
      </c>
      <c r="C21" s="16"/>
      <c r="D21" s="16"/>
      <c r="E21" s="16"/>
      <c r="F21" s="20" t="s">
        <v>210</v>
      </c>
      <c r="G21" s="20">
        <v>0.09644</v>
      </c>
      <c r="H21" s="20">
        <v>-0.01752</v>
      </c>
      <c r="I21" s="20">
        <v>0.090012</v>
      </c>
      <c r="J21" s="88">
        <v>-0.051</v>
      </c>
      <c r="K21" s="3" t="s">
        <v>56</v>
      </c>
    </row>
    <row r="22">
      <c r="A22" s="3"/>
      <c r="B22" s="16" t="s">
        <v>60</v>
      </c>
      <c r="C22" s="16"/>
      <c r="D22" s="16"/>
      <c r="E22" s="16"/>
      <c r="F22" s="20" t="s">
        <v>211</v>
      </c>
      <c r="G22" s="20">
        <v>0.136107</v>
      </c>
      <c r="H22" s="20">
        <v>0.038548</v>
      </c>
      <c r="I22" s="20">
        <v>-0.09601</v>
      </c>
      <c r="J22" s="88">
        <v>-0.099</v>
      </c>
      <c r="K22" s="3" t="s">
        <v>56</v>
      </c>
    </row>
    <row r="23">
      <c r="A23" s="3"/>
      <c r="B23" s="16" t="s">
        <v>62</v>
      </c>
      <c r="C23" s="16"/>
      <c r="D23" s="16"/>
      <c r="E23" s="16"/>
      <c r="F23" s="29">
        <f t="shared" ref="F23:J23" si="1">F39</f>
        <v>73</v>
      </c>
      <c r="G23" s="18">
        <f t="shared" si="1"/>
        <v>75.5</v>
      </c>
      <c r="H23" s="18">
        <f t="shared" si="1"/>
        <v>76.7</v>
      </c>
      <c r="I23" s="18">
        <f t="shared" si="1"/>
        <v>76.3</v>
      </c>
      <c r="J23" s="89">
        <f t="shared" si="1"/>
        <v>75.3</v>
      </c>
      <c r="K23" s="3" t="s">
        <v>63</v>
      </c>
    </row>
    <row r="24">
      <c r="A24" s="3"/>
      <c r="B24" s="16" t="s">
        <v>64</v>
      </c>
      <c r="C24" s="16"/>
      <c r="D24" s="16"/>
      <c r="E24" s="16"/>
      <c r="F24" s="95">
        <v>0.09</v>
      </c>
      <c r="G24" s="20">
        <v>0.08</v>
      </c>
      <c r="H24" s="20">
        <v>0.07</v>
      </c>
      <c r="I24" s="20">
        <v>0.07</v>
      </c>
      <c r="J24" s="86">
        <v>0.07</v>
      </c>
      <c r="K24" s="3" t="s">
        <v>65</v>
      </c>
    </row>
    <row r="25">
      <c r="A25" s="3"/>
      <c r="B25" s="16" t="s">
        <v>66</v>
      </c>
      <c r="C25" s="16"/>
      <c r="D25" s="16"/>
      <c r="E25" s="16"/>
      <c r="F25" s="21">
        <v>0.042</v>
      </c>
      <c r="G25" s="21">
        <v>0.042</v>
      </c>
      <c r="H25" s="21">
        <v>0.042</v>
      </c>
      <c r="I25" s="21">
        <v>0.042</v>
      </c>
      <c r="J25" s="88">
        <v>0.042</v>
      </c>
      <c r="K25" s="3" t="s">
        <v>67</v>
      </c>
    </row>
    <row r="26">
      <c r="A26" s="3"/>
      <c r="B26" s="16" t="s">
        <v>68</v>
      </c>
      <c r="C26" s="16"/>
      <c r="D26" s="16"/>
      <c r="E26" s="16"/>
      <c r="F26" s="21">
        <v>0.024</v>
      </c>
      <c r="G26" s="21">
        <v>0.024</v>
      </c>
      <c r="H26" s="21">
        <v>0.024</v>
      </c>
      <c r="I26" s="21">
        <v>0.024</v>
      </c>
      <c r="J26" s="88">
        <v>0.024</v>
      </c>
      <c r="K26" s="3" t="s">
        <v>67</v>
      </c>
    </row>
    <row r="28">
      <c r="A28" s="3" t="s">
        <v>28</v>
      </c>
      <c r="B28" s="10" t="s">
        <v>69</v>
      </c>
      <c r="C28" s="63">
        <v>56.0</v>
      </c>
      <c r="D28" s="63">
        <v>66.0</v>
      </c>
      <c r="E28" s="63">
        <v>72.6</v>
      </c>
      <c r="F28" s="63">
        <v>69.8</v>
      </c>
      <c r="G28" s="63">
        <v>68.7</v>
      </c>
      <c r="H28" s="63">
        <v>67.7</v>
      </c>
      <c r="I28" s="63">
        <v>67.7</v>
      </c>
      <c r="J28" s="63">
        <v>67.7</v>
      </c>
      <c r="K28" s="3" t="s">
        <v>165</v>
      </c>
      <c r="L28" s="96" t="s">
        <v>212</v>
      </c>
      <c r="N28" s="35">
        <f t="shared" ref="N28:N30" si="2">AVERAGE(C28:F28)</f>
        <v>66.1</v>
      </c>
      <c r="O28" s="35">
        <f t="shared" ref="O28:O30" si="3">AVERAGE(G28:J28)</f>
        <v>67.95</v>
      </c>
    </row>
    <row r="29">
      <c r="A29" s="22" t="s">
        <v>74</v>
      </c>
      <c r="B29" s="10" t="s">
        <v>75</v>
      </c>
      <c r="C29" s="97">
        <v>170.0</v>
      </c>
      <c r="D29" s="97">
        <v>201.0</v>
      </c>
      <c r="E29" s="97">
        <v>202.0</v>
      </c>
      <c r="F29" s="97">
        <v>166.0</v>
      </c>
      <c r="G29" s="97">
        <v>162.0</v>
      </c>
      <c r="H29" s="97">
        <v>162.0</v>
      </c>
      <c r="I29" s="97">
        <v>162.0</v>
      </c>
      <c r="J29" s="97">
        <v>168.0</v>
      </c>
      <c r="K29" s="3" t="s">
        <v>166</v>
      </c>
      <c r="N29" s="35">
        <f t="shared" si="2"/>
        <v>184.75</v>
      </c>
      <c r="O29" s="35">
        <f t="shared" si="3"/>
        <v>163.5</v>
      </c>
    </row>
    <row r="30">
      <c r="A30" s="22" t="s">
        <v>76</v>
      </c>
      <c r="B30" s="10" t="s">
        <v>77</v>
      </c>
      <c r="C30" s="97">
        <v>1038.0</v>
      </c>
      <c r="D30" s="97">
        <v>1394.0</v>
      </c>
      <c r="E30" s="97">
        <v>1754.0</v>
      </c>
      <c r="F30" s="97">
        <v>1787.0</v>
      </c>
      <c r="G30" s="97">
        <v>1670.0</v>
      </c>
      <c r="H30" s="97">
        <v>1615.0</v>
      </c>
      <c r="I30" s="97">
        <v>1373.0</v>
      </c>
      <c r="J30" s="97">
        <v>1251.0</v>
      </c>
      <c r="K30" s="3" t="s">
        <v>54</v>
      </c>
      <c r="N30" s="35">
        <f t="shared" si="2"/>
        <v>1493.25</v>
      </c>
      <c r="O30" s="35">
        <f t="shared" si="3"/>
        <v>1477.25</v>
      </c>
    </row>
    <row r="31">
      <c r="C31" s="10"/>
      <c r="D31" s="10"/>
      <c r="E31" s="10"/>
      <c r="F31" s="10"/>
      <c r="G31" s="10"/>
      <c r="H31" s="10"/>
      <c r="I31" s="10"/>
      <c r="J31" s="10"/>
    </row>
    <row r="33">
      <c r="A33" s="3" t="s">
        <v>78</v>
      </c>
      <c r="B33" s="12" t="s">
        <v>79</v>
      </c>
      <c r="C33" s="97">
        <v>99.3</v>
      </c>
      <c r="D33" s="97">
        <v>110.3</v>
      </c>
      <c r="E33" s="97">
        <v>105.4</v>
      </c>
      <c r="F33" s="97">
        <v>101.4</v>
      </c>
      <c r="G33" s="97">
        <v>96.1</v>
      </c>
      <c r="H33" s="97">
        <v>99.5</v>
      </c>
      <c r="I33" s="97">
        <v>102.9</v>
      </c>
      <c r="J33" s="97">
        <v>103.7</v>
      </c>
      <c r="N33" s="35">
        <f t="shared" ref="N33:N35" si="4">AVERAGE(C33:F33)</f>
        <v>104.1</v>
      </c>
      <c r="O33" s="35">
        <f t="shared" ref="O33:O35" si="5">AVERAGE(G33:J33)</f>
        <v>100.55</v>
      </c>
    </row>
    <row r="34">
      <c r="A34" s="3" t="s">
        <v>80</v>
      </c>
      <c r="B34" s="3" t="s">
        <v>79</v>
      </c>
      <c r="C34" s="97">
        <v>97.2</v>
      </c>
      <c r="D34" s="97">
        <v>127.0</v>
      </c>
      <c r="E34" s="97">
        <v>115.0</v>
      </c>
      <c r="F34" s="97">
        <v>105.0</v>
      </c>
      <c r="G34" s="97">
        <v>102.0</v>
      </c>
      <c r="H34" s="97">
        <v>102.0</v>
      </c>
      <c r="I34" s="97">
        <v>102.0</v>
      </c>
      <c r="J34" s="97">
        <v>102.0</v>
      </c>
      <c r="N34" s="35">
        <f t="shared" si="4"/>
        <v>111.05</v>
      </c>
      <c r="O34" s="35">
        <f t="shared" si="5"/>
        <v>102</v>
      </c>
    </row>
    <row r="35">
      <c r="A35" s="3" t="s">
        <v>81</v>
      </c>
      <c r="B35" s="3" t="s">
        <v>79</v>
      </c>
      <c r="C35" s="97">
        <v>105.5</v>
      </c>
      <c r="D35" s="97">
        <v>106.0</v>
      </c>
      <c r="E35" s="97">
        <v>106.6</v>
      </c>
      <c r="F35" s="97">
        <v>106.4</v>
      </c>
      <c r="G35" s="97">
        <v>105.6</v>
      </c>
      <c r="H35" s="97">
        <v>104.8</v>
      </c>
      <c r="I35" s="97">
        <v>104.2</v>
      </c>
      <c r="J35" s="97">
        <v>104.1</v>
      </c>
      <c r="N35" s="35">
        <f t="shared" si="4"/>
        <v>106.125</v>
      </c>
      <c r="O35" s="35">
        <f t="shared" si="5"/>
        <v>104.675</v>
      </c>
    </row>
    <row r="37">
      <c r="C37" s="30"/>
      <c r="D37" s="30"/>
      <c r="E37" s="30"/>
      <c r="F37" s="30"/>
      <c r="G37" s="30"/>
      <c r="H37" s="30"/>
      <c r="I37" s="30"/>
      <c r="J37" s="30"/>
    </row>
    <row r="39">
      <c r="A39" s="3" t="s">
        <v>137</v>
      </c>
      <c r="B39" s="11"/>
      <c r="C39" s="97">
        <v>74.4</v>
      </c>
      <c r="D39" s="97" t="s">
        <v>213</v>
      </c>
      <c r="E39" s="97">
        <v>73.6</v>
      </c>
      <c r="F39" s="42">
        <v>73.0</v>
      </c>
      <c r="G39" s="97">
        <v>75.5</v>
      </c>
      <c r="H39" s="97">
        <v>76.7</v>
      </c>
      <c r="I39" s="97">
        <v>76.3</v>
      </c>
      <c r="J39" s="97">
        <v>75.3</v>
      </c>
    </row>
    <row r="43">
      <c r="C43" s="35">
        <f t="shared" ref="C43:G43" si="6">VALUE(MID(C2,1,2))</f>
        <v>72</v>
      </c>
      <c r="D43" s="35">
        <f t="shared" si="6"/>
        <v>72</v>
      </c>
      <c r="E43" s="35">
        <f t="shared" si="6"/>
        <v>71</v>
      </c>
      <c r="F43" s="35">
        <f t="shared" si="6"/>
        <v>71</v>
      </c>
      <c r="G43" s="35">
        <f t="shared" si="6"/>
        <v>73</v>
      </c>
    </row>
    <row r="44">
      <c r="C44" s="35">
        <f t="shared" ref="C44:G44" si="7">VALUE(MID(C3,1,2))</f>
        <v>87</v>
      </c>
      <c r="D44" s="35">
        <f t="shared" si="7"/>
        <v>87</v>
      </c>
      <c r="E44" s="35">
        <f t="shared" si="7"/>
        <v>85</v>
      </c>
      <c r="F44" s="35">
        <f t="shared" si="7"/>
        <v>85</v>
      </c>
      <c r="G44" s="35">
        <f t="shared" si="7"/>
        <v>87</v>
      </c>
    </row>
    <row r="45">
      <c r="C45" s="35">
        <f t="shared" ref="C45:G45" si="8">VALUE(MID(C2,4,2))</f>
        <v>77</v>
      </c>
      <c r="D45" s="35">
        <f t="shared" si="8"/>
        <v>77</v>
      </c>
      <c r="E45" s="35">
        <f t="shared" si="8"/>
        <v>76</v>
      </c>
      <c r="F45" s="35">
        <f t="shared" si="8"/>
        <v>76</v>
      </c>
      <c r="G45" s="35">
        <f t="shared" si="8"/>
        <v>78</v>
      </c>
    </row>
    <row r="46">
      <c r="C46" s="35">
        <f t="shared" ref="C46:G46" si="9">VALUE(MID(C3,4,2))</f>
        <v>92</v>
      </c>
      <c r="D46" s="35">
        <f t="shared" si="9"/>
        <v>92</v>
      </c>
      <c r="E46" s="35">
        <f t="shared" si="9"/>
        <v>90</v>
      </c>
      <c r="F46" s="35">
        <f t="shared" si="9"/>
        <v>90</v>
      </c>
      <c r="G46" s="35">
        <f t="shared" si="9"/>
        <v>92</v>
      </c>
    </row>
    <row r="47">
      <c r="C47" s="35">
        <f t="shared" ref="C47:G47" si="10">AVERAGE(C43,C45)</f>
        <v>74.5</v>
      </c>
      <c r="D47" s="35">
        <f t="shared" si="10"/>
        <v>74.5</v>
      </c>
      <c r="E47" s="35">
        <f t="shared" si="10"/>
        <v>73.5</v>
      </c>
      <c r="F47" s="35">
        <f t="shared" si="10"/>
        <v>73.5</v>
      </c>
      <c r="G47" s="35">
        <f t="shared" si="10"/>
        <v>75.5</v>
      </c>
    </row>
    <row r="48">
      <c r="C48" s="35">
        <f t="shared" ref="C48:G48" si="11">AVERAGE(C44,C46)</f>
        <v>89.5</v>
      </c>
      <c r="D48" s="35">
        <f t="shared" si="11"/>
        <v>89.5</v>
      </c>
      <c r="E48" s="35">
        <f t="shared" si="11"/>
        <v>87.5</v>
      </c>
      <c r="F48" s="35">
        <f t="shared" si="11"/>
        <v>87.5</v>
      </c>
      <c r="G48" s="35">
        <f t="shared" si="11"/>
        <v>89.5</v>
      </c>
    </row>
    <row r="49">
      <c r="A49" s="3" t="s">
        <v>151</v>
      </c>
      <c r="C49" s="59">
        <f t="shared" ref="C49:G49" si="12">C48/C47</f>
        <v>1.201342282</v>
      </c>
      <c r="D49" s="59">
        <f t="shared" si="12"/>
        <v>1.201342282</v>
      </c>
      <c r="E49" s="59">
        <f t="shared" si="12"/>
        <v>1.19047619</v>
      </c>
      <c r="F49" s="59">
        <f t="shared" si="12"/>
        <v>1.19047619</v>
      </c>
      <c r="G49" s="59">
        <f t="shared" si="12"/>
        <v>1.185430464</v>
      </c>
    </row>
    <row r="53">
      <c r="A53" s="66"/>
      <c r="B53" s="66"/>
      <c r="C53" s="66"/>
      <c r="D53" s="66"/>
      <c r="E53" s="66"/>
      <c r="F53" s="66"/>
      <c r="G53" s="66"/>
      <c r="H53" s="66"/>
      <c r="I53" s="66"/>
      <c r="J53" s="66"/>
      <c r="K53" s="66"/>
      <c r="L53" s="66"/>
      <c r="M53" s="66"/>
      <c r="N53" s="66"/>
      <c r="O53" s="66"/>
    </row>
    <row r="54">
      <c r="A54" s="66"/>
      <c r="B54" s="18" t="s">
        <v>167</v>
      </c>
      <c r="C54" s="18" t="s">
        <v>168</v>
      </c>
      <c r="D54" s="67" t="s">
        <v>169</v>
      </c>
      <c r="E54" s="18" t="s">
        <v>170</v>
      </c>
      <c r="F54" s="18" t="s">
        <v>171</v>
      </c>
      <c r="G54" s="67" t="s">
        <v>172</v>
      </c>
      <c r="H54" s="18" t="s">
        <v>173</v>
      </c>
      <c r="I54" s="18" t="s">
        <v>174</v>
      </c>
      <c r="J54" s="67" t="s">
        <v>175</v>
      </c>
      <c r="K54" s="18" t="s">
        <v>176</v>
      </c>
      <c r="L54" s="18" t="s">
        <v>177</v>
      </c>
      <c r="M54" s="67" t="s">
        <v>178</v>
      </c>
      <c r="N54" s="66"/>
      <c r="O54" s="66"/>
    </row>
    <row r="55">
      <c r="A55" s="68">
        <v>2021.0</v>
      </c>
      <c r="B55" s="69">
        <v>0.67</v>
      </c>
      <c r="C55" s="69">
        <v>0.78</v>
      </c>
      <c r="D55" s="69">
        <v>0.66</v>
      </c>
      <c r="E55" s="69">
        <v>0.58</v>
      </c>
      <c r="F55" s="69">
        <v>0.74</v>
      </c>
      <c r="G55" s="69">
        <v>0.69</v>
      </c>
      <c r="H55" s="98">
        <v>0.31</v>
      </c>
      <c r="I55" s="71">
        <v>0.1</v>
      </c>
      <c r="J55" s="71">
        <v>0.3</v>
      </c>
      <c r="K55" s="71">
        <v>0.4</v>
      </c>
      <c r="L55" s="71">
        <v>0.5</v>
      </c>
      <c r="M55" s="72">
        <v>0.6</v>
      </c>
      <c r="N55" s="73"/>
      <c r="O55" s="74"/>
    </row>
    <row r="56">
      <c r="A56" s="75" t="s">
        <v>179</v>
      </c>
      <c r="B56" s="76">
        <v>5.19</v>
      </c>
      <c r="C56" s="76">
        <v>5.67</v>
      </c>
      <c r="D56" s="76">
        <v>5.79</v>
      </c>
      <c r="E56" s="76">
        <v>5.53</v>
      </c>
      <c r="F56" s="76">
        <v>6.02</v>
      </c>
      <c r="G56" s="76">
        <v>6.5</v>
      </c>
      <c r="H56" s="77">
        <v>6.46</v>
      </c>
      <c r="I56" s="77">
        <v>6.62</v>
      </c>
      <c r="J56" s="77">
        <v>7.02</v>
      </c>
      <c r="K56" s="77">
        <v>6.99</v>
      </c>
      <c r="L56" s="77">
        <v>6.76</v>
      </c>
      <c r="M56" s="78">
        <v>6.52</v>
      </c>
      <c r="N56" s="79">
        <v>6.5</v>
      </c>
      <c r="O56" s="80">
        <v>2021.0</v>
      </c>
    </row>
    <row r="57">
      <c r="A57" s="66"/>
      <c r="B57" s="66"/>
      <c r="C57" s="66"/>
      <c r="D57" s="66"/>
      <c r="E57" s="66"/>
      <c r="F57" s="66"/>
      <c r="G57" s="66"/>
      <c r="H57" s="66"/>
      <c r="I57" s="66"/>
      <c r="J57" s="66"/>
      <c r="K57" s="66"/>
      <c r="L57" s="66"/>
      <c r="M57" s="66"/>
      <c r="N57" s="81"/>
    </row>
    <row r="58">
      <c r="A58" s="18" t="s">
        <v>181</v>
      </c>
      <c r="B58" s="18">
        <v>0.6</v>
      </c>
      <c r="C58" s="18">
        <v>0.4</v>
      </c>
      <c r="D58" s="18">
        <v>0.5</v>
      </c>
      <c r="E58" s="18">
        <v>0.4</v>
      </c>
      <c r="F58" s="18">
        <v>0.4</v>
      </c>
      <c r="G58" s="18">
        <v>0.4</v>
      </c>
      <c r="H58" s="18">
        <v>0.5</v>
      </c>
      <c r="I58" s="18">
        <v>0.0</v>
      </c>
      <c r="J58" s="18">
        <v>0.2</v>
      </c>
      <c r="K58" s="18">
        <v>0.4</v>
      </c>
      <c r="L58" s="18">
        <v>0.5</v>
      </c>
      <c r="M58" s="18">
        <v>0.5</v>
      </c>
      <c r="N58" s="66"/>
      <c r="O58" s="66"/>
    </row>
    <row r="59">
      <c r="A59" s="18" t="s">
        <v>182</v>
      </c>
      <c r="B59" s="18">
        <v>0.5</v>
      </c>
      <c r="C59" s="18">
        <v>0.3</v>
      </c>
      <c r="D59" s="18">
        <v>0.3</v>
      </c>
      <c r="E59" s="18">
        <v>0.4</v>
      </c>
      <c r="F59" s="18">
        <v>0.4</v>
      </c>
      <c r="G59" s="18">
        <v>0.4</v>
      </c>
      <c r="H59" s="18">
        <v>0.2</v>
      </c>
      <c r="I59" s="82">
        <v>-0.1</v>
      </c>
      <c r="J59" s="82">
        <v>-0.1</v>
      </c>
      <c r="K59" s="18">
        <v>0.3</v>
      </c>
      <c r="L59" s="18">
        <v>0.4</v>
      </c>
      <c r="M59" s="18">
        <v>0.6</v>
      </c>
      <c r="N59" s="66"/>
      <c r="O59" s="66"/>
    </row>
    <row r="60">
      <c r="A60" s="66"/>
      <c r="B60" s="18" t="s">
        <v>183</v>
      </c>
      <c r="C60" s="18" t="s">
        <v>184</v>
      </c>
      <c r="D60" s="18" t="s">
        <v>169</v>
      </c>
      <c r="E60" s="18" t="s">
        <v>185</v>
      </c>
      <c r="F60" s="18" t="s">
        <v>186</v>
      </c>
      <c r="G60" s="18" t="s">
        <v>172</v>
      </c>
      <c r="H60" s="18" t="s">
        <v>187</v>
      </c>
      <c r="I60" s="18" t="s">
        <v>188</v>
      </c>
      <c r="J60" s="18" t="s">
        <v>175</v>
      </c>
      <c r="K60" s="18" t="s">
        <v>189</v>
      </c>
      <c r="L60" s="18" t="s">
        <v>190</v>
      </c>
      <c r="M60" s="18" t="s">
        <v>178</v>
      </c>
      <c r="N60" s="66"/>
      <c r="O60" s="66"/>
    </row>
    <row r="61">
      <c r="A61" s="66"/>
      <c r="B61" s="66"/>
      <c r="C61" s="66"/>
      <c r="D61" s="66"/>
      <c r="E61" s="66"/>
      <c r="F61" s="66"/>
      <c r="G61" s="66"/>
      <c r="H61" s="66"/>
      <c r="I61" s="66"/>
      <c r="J61" s="66"/>
      <c r="K61" s="66"/>
      <c r="L61" s="66"/>
      <c r="M61" s="66"/>
      <c r="N61" s="66"/>
      <c r="O61" s="66"/>
    </row>
    <row r="62">
      <c r="A62" s="66"/>
      <c r="B62" s="66"/>
      <c r="C62" s="66"/>
      <c r="D62" s="66"/>
      <c r="E62" s="66"/>
      <c r="F62" s="66"/>
      <c r="G62" s="66"/>
      <c r="H62" s="66"/>
      <c r="I62" s="66"/>
      <c r="J62" s="66"/>
      <c r="K62" s="66"/>
      <c r="L62" s="66"/>
      <c r="M62" s="66"/>
      <c r="N62" s="66"/>
      <c r="O62" s="66"/>
    </row>
    <row r="63">
      <c r="A63" s="66"/>
      <c r="B63" s="18" t="s">
        <v>167</v>
      </c>
      <c r="C63" s="18" t="s">
        <v>168</v>
      </c>
      <c r="D63" s="83" t="s">
        <v>169</v>
      </c>
      <c r="E63" s="18" t="s">
        <v>170</v>
      </c>
      <c r="F63" s="18" t="s">
        <v>171</v>
      </c>
      <c r="G63" s="83" t="s">
        <v>172</v>
      </c>
      <c r="H63" s="18" t="s">
        <v>173</v>
      </c>
      <c r="I63" s="18" t="s">
        <v>174</v>
      </c>
      <c r="J63" s="83" t="s">
        <v>175</v>
      </c>
      <c r="K63" s="18" t="s">
        <v>176</v>
      </c>
      <c r="L63" s="18" t="s">
        <v>177</v>
      </c>
      <c r="M63" s="83" t="s">
        <v>178</v>
      </c>
      <c r="N63" s="66"/>
      <c r="O63" s="66"/>
    </row>
    <row r="64">
      <c r="A64" s="68">
        <v>2022.0</v>
      </c>
      <c r="B64" s="70">
        <v>0.5</v>
      </c>
      <c r="C64" s="70">
        <v>0.3</v>
      </c>
      <c r="D64" s="70">
        <v>0.3</v>
      </c>
      <c r="E64" s="70">
        <v>0.4</v>
      </c>
      <c r="F64" s="70">
        <v>0.4</v>
      </c>
      <c r="G64" s="70">
        <v>0.5</v>
      </c>
      <c r="H64" s="71">
        <v>0.2</v>
      </c>
      <c r="I64" s="84">
        <v>-0.1</v>
      </c>
      <c r="J64" s="84">
        <v>-0.1</v>
      </c>
      <c r="K64" s="71">
        <v>0.4</v>
      </c>
      <c r="L64" s="71">
        <v>0.4</v>
      </c>
      <c r="M64" s="72">
        <v>0.5</v>
      </c>
      <c r="N64" s="66"/>
      <c r="O64" s="66"/>
    </row>
    <row r="65">
      <c r="A65" s="75" t="s">
        <v>179</v>
      </c>
      <c r="B65" s="76">
        <v>6.34</v>
      </c>
      <c r="C65" s="76">
        <v>5.83</v>
      </c>
      <c r="D65" s="76">
        <v>5.45</v>
      </c>
      <c r="E65" s="76">
        <v>5.26</v>
      </c>
      <c r="F65" s="76">
        <v>4.91</v>
      </c>
      <c r="G65" s="76">
        <v>4.71</v>
      </c>
      <c r="H65" s="77">
        <v>4.59</v>
      </c>
      <c r="I65" s="77">
        <v>4.38</v>
      </c>
      <c r="J65" s="77">
        <v>3.97</v>
      </c>
      <c r="K65" s="77">
        <v>3.97</v>
      </c>
      <c r="L65" s="77">
        <v>3.86</v>
      </c>
      <c r="M65" s="78">
        <v>3.76</v>
      </c>
      <c r="N65" s="79">
        <v>3.8</v>
      </c>
      <c r="O65" s="80">
        <v>2022.0</v>
      </c>
    </row>
  </sheetData>
  <mergeCells count="1">
    <mergeCell ref="N57:O5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8.25"/>
    <col hidden="1" min="2" max="3" width="12.63"/>
    <col customWidth="1" min="5" max="5" width="14.13"/>
    <col customWidth="1" min="6" max="6" width="14.38"/>
    <col customWidth="1" min="7" max="7" width="27.5"/>
  </cols>
  <sheetData>
    <row r="1">
      <c r="A1" s="31" t="s">
        <v>95</v>
      </c>
      <c r="B1" s="5"/>
      <c r="C1" s="5"/>
      <c r="D1" s="4" t="s">
        <v>96</v>
      </c>
      <c r="E1" s="99" t="s">
        <v>214</v>
      </c>
      <c r="F1" s="99" t="s">
        <v>215</v>
      </c>
    </row>
    <row r="2">
      <c r="B2" s="32" t="s">
        <v>99</v>
      </c>
      <c r="C2" s="32" t="s">
        <v>100</v>
      </c>
      <c r="D2" s="32">
        <v>2021.0</v>
      </c>
      <c r="E2" s="32">
        <v>2021.0</v>
      </c>
      <c r="F2" s="32">
        <v>2021.0</v>
      </c>
      <c r="H2" s="100" t="s">
        <v>101</v>
      </c>
    </row>
    <row r="3">
      <c r="A3" s="34" t="s">
        <v>216</v>
      </c>
      <c r="B3" s="101">
        <v>64.0</v>
      </c>
      <c r="C3" s="101">
        <v>69.0</v>
      </c>
      <c r="D3" s="101">
        <v>68.0</v>
      </c>
      <c r="E3" s="101">
        <v>74.0</v>
      </c>
      <c r="F3" s="101">
        <v>61.0</v>
      </c>
      <c r="G3" s="35" t="str">
        <f t="shared" ref="G3:G5" si="1">A3</f>
        <v>Нефть Brent (средний за период)</v>
      </c>
      <c r="H3" s="100" t="s">
        <v>217</v>
      </c>
    </row>
    <row r="4">
      <c r="A4" s="34" t="s">
        <v>104</v>
      </c>
      <c r="B4" s="102">
        <v>-0.007</v>
      </c>
      <c r="C4" s="102">
        <v>0.103</v>
      </c>
      <c r="D4" s="102">
        <v>0.041</v>
      </c>
      <c r="E4" s="102">
        <v>0.047</v>
      </c>
      <c r="F4" s="102">
        <v>0.039</v>
      </c>
      <c r="G4" s="35" t="str">
        <f t="shared" si="1"/>
        <v>ВВП, физ. рост</v>
      </c>
    </row>
    <row r="5" hidden="1">
      <c r="A5" s="34" t="s">
        <v>81</v>
      </c>
      <c r="B5" s="36">
        <v>0.058</v>
      </c>
      <c r="C5" s="103">
        <v>0.055</v>
      </c>
      <c r="D5" s="103"/>
      <c r="E5" s="103"/>
      <c r="F5" s="103"/>
      <c r="G5" s="35" t="str">
        <f t="shared" si="1"/>
        <v>Инфляция</v>
      </c>
    </row>
    <row r="6" hidden="1">
      <c r="A6" s="31" t="s">
        <v>105</v>
      </c>
      <c r="B6" s="36"/>
      <c r="C6" s="103"/>
      <c r="D6" s="24" t="s">
        <v>106</v>
      </c>
      <c r="E6" s="24" t="s">
        <v>107</v>
      </c>
      <c r="F6" s="24" t="s">
        <v>108</v>
      </c>
    </row>
    <row r="7">
      <c r="A7" s="37" t="s">
        <v>218</v>
      </c>
      <c r="B7" s="38"/>
      <c r="C7" s="103"/>
      <c r="D7" s="104">
        <v>0.068</v>
      </c>
      <c r="E7" s="105">
        <v>0.08</v>
      </c>
      <c r="F7" s="105">
        <v>0.055</v>
      </c>
      <c r="G7" s="3" t="s">
        <v>219</v>
      </c>
    </row>
    <row r="8" hidden="1">
      <c r="A8" s="31" t="s">
        <v>110</v>
      </c>
      <c r="B8" s="36"/>
      <c r="C8" s="103"/>
      <c r="D8" s="106" t="s">
        <v>111</v>
      </c>
      <c r="E8" s="24" t="s">
        <v>112</v>
      </c>
      <c r="F8" s="107">
        <v>0.04</v>
      </c>
    </row>
    <row r="9">
      <c r="A9" s="31" t="s">
        <v>113</v>
      </c>
      <c r="B9" s="36">
        <v>0.054</v>
      </c>
      <c r="C9" s="104">
        <v>0.048</v>
      </c>
      <c r="D9" s="104">
        <v>0.044</v>
      </c>
      <c r="E9" s="103">
        <v>0.05</v>
      </c>
      <c r="F9" s="103">
        <v>0.06</v>
      </c>
      <c r="G9" s="35" t="str">
        <f t="shared" ref="G9:G14" si="2">A9</f>
        <v>Безработица</v>
      </c>
    </row>
    <row r="10">
      <c r="A10" s="31" t="s">
        <v>220</v>
      </c>
      <c r="B10" s="36">
        <v>0.045</v>
      </c>
      <c r="C10" s="36">
        <v>0.055</v>
      </c>
      <c r="D10" s="104">
        <v>0.07</v>
      </c>
      <c r="E10" s="104">
        <v>0.075</v>
      </c>
      <c r="F10" s="104">
        <v>0.065</v>
      </c>
      <c r="G10" s="35" t="str">
        <f t="shared" si="2"/>
        <v>Ключевая ставка, на конец</v>
      </c>
    </row>
    <row r="11">
      <c r="A11" s="31" t="s">
        <v>115</v>
      </c>
      <c r="B11" s="36">
        <v>-0.038</v>
      </c>
      <c r="C11" s="103">
        <v>0.01</v>
      </c>
      <c r="D11" s="104">
        <v>0.005</v>
      </c>
      <c r="E11" s="103">
        <v>0.015</v>
      </c>
      <c r="F11" s="103">
        <v>-0.01</v>
      </c>
      <c r="G11" s="35" t="str">
        <f t="shared" si="2"/>
        <v>Дефицит(-)/Профицит(+) бюджета, % ВВП</v>
      </c>
    </row>
    <row r="12">
      <c r="A12" s="34" t="s">
        <v>221</v>
      </c>
      <c r="B12" s="64">
        <v>74.4</v>
      </c>
      <c r="C12" s="108">
        <v>74.2</v>
      </c>
      <c r="D12" s="101">
        <v>74.1</v>
      </c>
      <c r="E12" s="101">
        <v>71.9</v>
      </c>
      <c r="F12" s="101">
        <v>75.7</v>
      </c>
      <c r="G12" s="35" t="str">
        <f t="shared" si="2"/>
        <v>Курс доллара США, средний за период (год)</v>
      </c>
    </row>
    <row r="13" hidden="1">
      <c r="A13" s="31" t="s">
        <v>118</v>
      </c>
      <c r="B13" s="36">
        <v>0.072</v>
      </c>
      <c r="C13" s="103">
        <v>0.072</v>
      </c>
      <c r="D13" s="103"/>
      <c r="E13" s="103"/>
      <c r="F13" s="103"/>
      <c r="G13" s="35" t="str">
        <f t="shared" si="2"/>
        <v>Ставка по 10-летней ОФЗ</v>
      </c>
    </row>
    <row r="14">
      <c r="A14" s="31" t="s">
        <v>222</v>
      </c>
      <c r="B14" s="36">
        <v>0.0648</v>
      </c>
      <c r="C14" s="103">
        <v>0.0722</v>
      </c>
      <c r="D14" s="103">
        <v>0.07</v>
      </c>
      <c r="E14" s="103">
        <v>0.072</v>
      </c>
      <c r="F14" s="103">
        <v>0.065</v>
      </c>
      <c r="G14" s="35" t="str">
        <f t="shared" si="2"/>
        <v>Доходность по 10-летней ОФЗ, на конец периода</v>
      </c>
    </row>
    <row r="15">
      <c r="A15" s="33" t="s">
        <v>120</v>
      </c>
      <c r="B15" s="109">
        <f t="shared" ref="B15:F15" si="3">B12*B3</f>
        <v>4761.6</v>
      </c>
      <c r="C15" s="109">
        <f t="shared" si="3"/>
        <v>5119.8</v>
      </c>
      <c r="D15" s="109">
        <f t="shared" si="3"/>
        <v>5038.8</v>
      </c>
      <c r="E15" s="109">
        <f t="shared" si="3"/>
        <v>5320.6</v>
      </c>
      <c r="F15" s="109">
        <f t="shared" si="3"/>
        <v>4617.7</v>
      </c>
    </row>
    <row r="16">
      <c r="B16" s="5"/>
      <c r="C16" s="5"/>
      <c r="D16" s="5"/>
      <c r="E16" s="5"/>
      <c r="F16" s="5"/>
    </row>
    <row r="17">
      <c r="A17" s="3" t="s">
        <v>121</v>
      </c>
      <c r="B17" s="5"/>
      <c r="C17" s="5"/>
      <c r="D17" s="5"/>
      <c r="E17" s="5"/>
      <c r="F17" s="5"/>
      <c r="H17" s="3" t="s">
        <v>223</v>
      </c>
    </row>
    <row r="18">
      <c r="A18" s="33" t="s">
        <v>122</v>
      </c>
      <c r="B18" s="5"/>
      <c r="C18" s="5"/>
      <c r="D18" s="102">
        <v>0.09</v>
      </c>
      <c r="E18" s="102">
        <v>0.1</v>
      </c>
      <c r="F18" s="102">
        <v>0.08</v>
      </c>
      <c r="H18" s="3" t="s">
        <v>224</v>
      </c>
    </row>
    <row r="19">
      <c r="A19" s="33" t="s">
        <v>124</v>
      </c>
      <c r="B19" s="5"/>
      <c r="C19" s="5"/>
      <c r="D19" s="102">
        <v>0.16</v>
      </c>
      <c r="E19" s="102">
        <f>D19</f>
        <v>0.16</v>
      </c>
      <c r="F19" s="102">
        <v>0.05</v>
      </c>
      <c r="H19" s="3" t="s">
        <v>225</v>
      </c>
    </row>
    <row r="20">
      <c r="A20" s="46" t="s">
        <v>127</v>
      </c>
      <c r="B20" s="5"/>
      <c r="C20" s="5"/>
      <c r="D20" s="110">
        <v>0.28</v>
      </c>
      <c r="E20" s="110">
        <v>0.56</v>
      </c>
      <c r="F20" s="110">
        <f>D20</f>
        <v>0.28</v>
      </c>
      <c r="G20" s="49" t="s">
        <v>129</v>
      </c>
      <c r="H20" s="3" t="s">
        <v>225</v>
      </c>
      <c r="I20" s="3" t="s">
        <v>226</v>
      </c>
    </row>
    <row r="21">
      <c r="A21" s="33" t="s">
        <v>131</v>
      </c>
      <c r="B21" s="5"/>
      <c r="C21" s="5"/>
      <c r="D21" s="102">
        <v>-0.11</v>
      </c>
      <c r="E21" s="102">
        <f t="shared" ref="E21:E22" si="4">D21</f>
        <v>-0.11</v>
      </c>
      <c r="F21" s="102">
        <v>-0.2</v>
      </c>
      <c r="H21" s="3" t="s">
        <v>225</v>
      </c>
    </row>
    <row r="22">
      <c r="A22" s="33" t="s">
        <v>133</v>
      </c>
      <c r="B22" s="5"/>
      <c r="C22" s="5"/>
      <c r="D22" s="102">
        <v>0.25</v>
      </c>
      <c r="E22" s="102">
        <f t="shared" si="4"/>
        <v>0.25</v>
      </c>
      <c r="F22" s="102">
        <v>0.1</v>
      </c>
      <c r="H22" s="3" t="s">
        <v>225</v>
      </c>
    </row>
    <row r="23">
      <c r="B23" s="5"/>
      <c r="C23" s="5"/>
      <c r="D23" s="5"/>
      <c r="E23" s="5"/>
      <c r="F23" s="5"/>
    </row>
    <row r="24">
      <c r="A24" s="3" t="s">
        <v>137</v>
      </c>
      <c r="B24" s="64">
        <v>75.7</v>
      </c>
      <c r="C24" s="63">
        <v>72.4</v>
      </c>
      <c r="D24" s="64">
        <v>75.0</v>
      </c>
      <c r="E24" s="63">
        <v>69.4</v>
      </c>
      <c r="F24" s="63">
        <v>78.6</v>
      </c>
      <c r="H24" s="100" t="s">
        <v>227</v>
      </c>
    </row>
    <row r="25">
      <c r="A25" s="3" t="s">
        <v>228</v>
      </c>
      <c r="B25" s="5"/>
      <c r="C25" s="5"/>
      <c r="D25" s="4">
        <v>70.0</v>
      </c>
      <c r="E25" s="4">
        <v>100.0</v>
      </c>
      <c r="F25" s="4">
        <v>50.0</v>
      </c>
    </row>
    <row r="26">
      <c r="B26" s="5"/>
      <c r="C26" s="5"/>
      <c r="D26" s="5"/>
      <c r="E26" s="5"/>
      <c r="F26" s="5"/>
    </row>
    <row r="27">
      <c r="B27" s="5"/>
      <c r="C27" s="5"/>
      <c r="D27" s="5"/>
      <c r="E27" s="5"/>
      <c r="F27" s="5"/>
    </row>
    <row r="28">
      <c r="B28" s="5"/>
      <c r="C28" s="5"/>
      <c r="D28" s="5"/>
      <c r="E28" s="5"/>
      <c r="F28" s="5"/>
    </row>
  </sheetData>
  <hyperlinks>
    <hyperlink r:id="rId1" ref="G20"/>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5"/>
    <col customWidth="1" min="8" max="10" width="12.5"/>
    <col customWidth="1" min="11" max="11" width="23.88"/>
  </cols>
  <sheetData>
    <row r="1">
      <c r="A1" s="92">
        <v>44482.0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3"/>
      <c r="B2" s="4"/>
      <c r="C2" s="4"/>
      <c r="D2" s="4"/>
      <c r="E2" s="54"/>
      <c r="F2" s="54"/>
      <c r="G2" s="54"/>
      <c r="H2" s="54"/>
      <c r="J2" s="5"/>
      <c r="L2" s="3"/>
      <c r="N2" s="7"/>
      <c r="O2" s="52"/>
      <c r="P2" s="3"/>
      <c r="Q2" s="52"/>
    </row>
    <row r="3">
      <c r="A3" s="3" t="s">
        <v>15</v>
      </c>
      <c r="B3" s="4"/>
      <c r="C3" s="4" t="s">
        <v>16</v>
      </c>
      <c r="D3" s="4" t="s">
        <v>16</v>
      </c>
      <c r="E3" s="54" t="s">
        <v>152</v>
      </c>
      <c r="F3" s="24" t="s">
        <v>229</v>
      </c>
      <c r="G3" s="24" t="s">
        <v>152</v>
      </c>
      <c r="H3" s="24" t="s">
        <v>16</v>
      </c>
      <c r="I3" s="24" t="s">
        <v>16</v>
      </c>
      <c r="J3" s="5"/>
      <c r="L3" s="3" t="s">
        <v>20</v>
      </c>
      <c r="N3" s="7" t="s">
        <v>22</v>
      </c>
      <c r="O3" s="52"/>
      <c r="P3" s="3" t="s">
        <v>23</v>
      </c>
      <c r="Q3" s="52"/>
    </row>
    <row r="4">
      <c r="A4" s="3" t="s">
        <v>24</v>
      </c>
      <c r="B4" s="4"/>
      <c r="C4" s="4" t="s">
        <v>25</v>
      </c>
      <c r="D4" s="4" t="s">
        <v>25</v>
      </c>
      <c r="E4" s="54" t="s">
        <v>153</v>
      </c>
      <c r="F4" s="24" t="s">
        <v>230</v>
      </c>
      <c r="G4" s="24" t="s">
        <v>231</v>
      </c>
      <c r="H4" s="24" t="s">
        <v>232</v>
      </c>
      <c r="I4" s="24" t="s">
        <v>232</v>
      </c>
      <c r="J4" s="5"/>
      <c r="L4" s="3" t="s">
        <v>20</v>
      </c>
      <c r="N4" s="7" t="s">
        <v>22</v>
      </c>
      <c r="O4" s="52"/>
      <c r="P4" s="3" t="s">
        <v>23</v>
      </c>
      <c r="Q4" s="52"/>
    </row>
    <row r="5">
      <c r="A5" s="3" t="s">
        <v>28</v>
      </c>
      <c r="B5" s="4"/>
      <c r="C5" s="4" t="s">
        <v>29</v>
      </c>
      <c r="D5" s="4" t="s">
        <v>139</v>
      </c>
      <c r="E5" s="54" t="s">
        <v>199</v>
      </c>
      <c r="F5" s="24" t="s">
        <v>233</v>
      </c>
      <c r="G5" s="24" t="s">
        <v>233</v>
      </c>
      <c r="H5" s="24" t="s">
        <v>234</v>
      </c>
      <c r="I5" s="24" t="s">
        <v>142</v>
      </c>
      <c r="J5" s="4" t="s">
        <v>235</v>
      </c>
      <c r="L5" s="3" t="s">
        <v>33</v>
      </c>
      <c r="M5" s="3" t="s">
        <v>21</v>
      </c>
      <c r="N5" s="3" t="s">
        <v>23</v>
      </c>
      <c r="O5" s="53"/>
      <c r="Q5" s="52"/>
    </row>
    <row r="6">
      <c r="A6" s="3" t="s">
        <v>35</v>
      </c>
      <c r="B6" s="4"/>
      <c r="C6" s="4">
        <v>5.7</v>
      </c>
      <c r="D6" s="54" t="s">
        <v>144</v>
      </c>
      <c r="E6" s="54" t="s">
        <v>201</v>
      </c>
      <c r="F6" s="24" t="s">
        <v>236</v>
      </c>
      <c r="G6" s="24" t="s">
        <v>237</v>
      </c>
      <c r="H6" s="24" t="s">
        <v>238</v>
      </c>
      <c r="I6" s="24" t="s">
        <v>239</v>
      </c>
      <c r="J6" s="4" t="s">
        <v>240</v>
      </c>
      <c r="L6" s="3" t="s">
        <v>20</v>
      </c>
      <c r="N6" s="7" t="s">
        <v>22</v>
      </c>
      <c r="O6" s="53"/>
      <c r="P6" s="3" t="s">
        <v>23</v>
      </c>
      <c r="Q6" s="52"/>
    </row>
    <row r="7">
      <c r="A7" s="3"/>
      <c r="B7" s="4"/>
      <c r="C7" s="4"/>
      <c r="D7" s="54"/>
      <c r="E7" s="111" t="s">
        <v>241</v>
      </c>
      <c r="F7" s="112" t="s">
        <v>145</v>
      </c>
      <c r="G7" s="112" t="s">
        <v>202</v>
      </c>
      <c r="H7" s="112" t="s">
        <v>203</v>
      </c>
      <c r="I7" s="113"/>
      <c r="J7" s="5"/>
      <c r="L7" s="3"/>
      <c r="N7" s="7"/>
      <c r="O7" s="52"/>
      <c r="P7" s="3"/>
      <c r="Q7" s="52"/>
    </row>
    <row r="8">
      <c r="A8" s="3" t="s">
        <v>42</v>
      </c>
      <c r="B8" s="4"/>
      <c r="C8" s="4">
        <v>4.5</v>
      </c>
      <c r="D8" s="54">
        <v>5.5</v>
      </c>
      <c r="E8" s="54" t="s">
        <v>194</v>
      </c>
      <c r="F8" s="24" t="s">
        <v>242</v>
      </c>
      <c r="G8" s="24" t="s">
        <v>242</v>
      </c>
      <c r="H8" s="24" t="s">
        <v>194</v>
      </c>
      <c r="I8" s="24" t="s">
        <v>148</v>
      </c>
      <c r="J8" s="5"/>
      <c r="L8" s="3" t="s">
        <v>20</v>
      </c>
      <c r="N8" s="7" t="s">
        <v>22</v>
      </c>
      <c r="O8" s="52"/>
      <c r="P8" s="3" t="s">
        <v>23</v>
      </c>
      <c r="Q8" s="52"/>
    </row>
    <row r="9">
      <c r="E9" s="114" t="s">
        <v>241</v>
      </c>
      <c r="F9" s="115" t="s">
        <v>204</v>
      </c>
      <c r="G9" s="115" t="s">
        <v>205</v>
      </c>
      <c r="H9" s="115" t="s">
        <v>161</v>
      </c>
      <c r="O9" s="55"/>
      <c r="Q9" s="55"/>
    </row>
    <row r="10">
      <c r="A10" s="3" t="s">
        <v>47</v>
      </c>
      <c r="C10" s="4">
        <v>5.7</v>
      </c>
      <c r="D10" s="4">
        <v>6.5</v>
      </c>
      <c r="E10" s="62">
        <v>7.4</v>
      </c>
      <c r="F10" s="24">
        <v>7.3</v>
      </c>
      <c r="G10" s="24">
        <v>6.2</v>
      </c>
      <c r="H10" s="24">
        <v>5.5</v>
      </c>
      <c r="I10" s="116">
        <v>4.3</v>
      </c>
      <c r="J10" s="54">
        <v>3.8</v>
      </c>
    </row>
    <row r="11">
      <c r="A11" s="3" t="s">
        <v>162</v>
      </c>
      <c r="D11" s="111" t="s">
        <v>241</v>
      </c>
      <c r="E11" s="117">
        <v>7.0</v>
      </c>
      <c r="F11" s="112">
        <v>6.5</v>
      </c>
      <c r="G11" s="112">
        <v>5.5</v>
      </c>
      <c r="H11" s="112">
        <v>4.7</v>
      </c>
      <c r="I11" s="117">
        <v>4.0</v>
      </c>
      <c r="J11" s="112">
        <v>3.8</v>
      </c>
    </row>
    <row r="12">
      <c r="C12" s="10"/>
      <c r="D12" s="10"/>
      <c r="E12" s="10"/>
      <c r="F12" s="10"/>
      <c r="G12" s="10"/>
      <c r="H12" s="10"/>
      <c r="I12" s="10"/>
      <c r="J12" s="10"/>
    </row>
    <row r="13">
      <c r="E13" s="118">
        <v>74.5</v>
      </c>
      <c r="F13" s="118">
        <v>74.2</v>
      </c>
      <c r="G13" s="118">
        <v>76.5</v>
      </c>
      <c r="H13" s="118">
        <v>77.7</v>
      </c>
      <c r="I13" s="118">
        <v>77.7</v>
      </c>
      <c r="J13" s="118">
        <v>76.5</v>
      </c>
      <c r="K13" s="119" t="s">
        <v>243</v>
      </c>
    </row>
    <row r="14">
      <c r="A14" s="3" t="s">
        <v>48</v>
      </c>
      <c r="F14" s="118">
        <v>73.4</v>
      </c>
      <c r="G14" s="118">
        <v>75.6</v>
      </c>
      <c r="H14" s="118">
        <v>77.2</v>
      </c>
      <c r="I14" s="118">
        <v>76.1</v>
      </c>
      <c r="J14" s="118">
        <v>77.1</v>
      </c>
      <c r="K14" s="119" t="s">
        <v>244</v>
      </c>
    </row>
    <row r="15">
      <c r="A15" s="3" t="s">
        <v>15</v>
      </c>
      <c r="B15" s="11"/>
      <c r="C15" s="120">
        <v>74.4</v>
      </c>
      <c r="D15" s="120">
        <v>74.2</v>
      </c>
      <c r="E15" s="120">
        <v>73.5</v>
      </c>
      <c r="F15" s="97">
        <v>72.5</v>
      </c>
      <c r="G15" s="97">
        <v>74.7</v>
      </c>
      <c r="H15" s="97">
        <v>77.1</v>
      </c>
      <c r="I15" s="97">
        <v>77.1</v>
      </c>
      <c r="J15" s="97">
        <v>78.7</v>
      </c>
      <c r="K15" s="3" t="s">
        <v>92</v>
      </c>
    </row>
    <row r="16">
      <c r="A16" s="3"/>
      <c r="B16" s="12"/>
      <c r="C16" s="12"/>
      <c r="D16" s="13"/>
      <c r="E16" s="13"/>
      <c r="L16" s="13"/>
    </row>
    <row r="17">
      <c r="A17" s="3" t="s">
        <v>50</v>
      </c>
      <c r="B17" s="12"/>
      <c r="C17" s="12"/>
      <c r="D17" s="13"/>
      <c r="E17" s="13"/>
      <c r="F17" s="27">
        <v>10.9</v>
      </c>
      <c r="G17" s="62">
        <v>5.381397</v>
      </c>
      <c r="H17" s="62">
        <v>3.614607</v>
      </c>
      <c r="I17" s="62">
        <v>2.093398</v>
      </c>
      <c r="J17" s="24">
        <v>1.9</v>
      </c>
      <c r="K17" s="3" t="s">
        <v>51</v>
      </c>
    </row>
    <row r="18">
      <c r="A18" s="3" t="s">
        <v>149</v>
      </c>
      <c r="B18" s="12"/>
      <c r="C18" s="12"/>
      <c r="D18" s="13"/>
      <c r="E18" s="13"/>
      <c r="F18" s="27">
        <v>6.5</v>
      </c>
      <c r="G18" s="5"/>
      <c r="H18" s="14"/>
      <c r="I18" s="14"/>
      <c r="J18" s="4"/>
      <c r="K18" s="3" t="s">
        <v>51</v>
      </c>
    </row>
    <row r="19">
      <c r="A19" s="3" t="s">
        <v>150</v>
      </c>
      <c r="B19" s="12"/>
      <c r="C19" s="12"/>
      <c r="D19" s="13"/>
      <c r="E19" s="13"/>
      <c r="F19" s="94">
        <v>44232.0</v>
      </c>
      <c r="G19" s="62">
        <v>4.498274</v>
      </c>
      <c r="H19" s="62">
        <v>4.739392</v>
      </c>
      <c r="I19" s="62">
        <v>4.235251</v>
      </c>
      <c r="J19" s="4"/>
      <c r="K19" s="3" t="s">
        <v>51</v>
      </c>
    </row>
    <row r="20">
      <c r="B20" s="15" t="s">
        <v>52</v>
      </c>
      <c r="C20" s="16"/>
      <c r="D20" s="16"/>
      <c r="E20" s="16"/>
      <c r="F20" s="17" t="s">
        <v>53</v>
      </c>
      <c r="G20" s="18"/>
      <c r="H20" s="18"/>
      <c r="I20" s="18"/>
      <c r="J20" s="18"/>
      <c r="K20" s="3"/>
    </row>
    <row r="21">
      <c r="A21" s="3"/>
      <c r="B21" s="16" t="s">
        <v>28</v>
      </c>
      <c r="C21" s="16"/>
      <c r="D21" s="16"/>
      <c r="E21" s="16"/>
      <c r="F21" s="20" t="s">
        <v>207</v>
      </c>
      <c r="G21" s="20">
        <v>0.085534</v>
      </c>
      <c r="H21" s="20">
        <v>-0.09657</v>
      </c>
      <c r="I21" s="20">
        <v>-0.074</v>
      </c>
      <c r="J21" s="18"/>
      <c r="K21" s="31" t="s">
        <v>164</v>
      </c>
    </row>
    <row r="22">
      <c r="A22" s="3"/>
      <c r="B22" s="16" t="s">
        <v>55</v>
      </c>
      <c r="C22" s="16"/>
      <c r="D22" s="16"/>
      <c r="E22" s="16"/>
      <c r="F22" s="20" t="s">
        <v>208</v>
      </c>
      <c r="G22" s="20">
        <v>0.0891</v>
      </c>
      <c r="H22" s="20">
        <v>0.015935</v>
      </c>
      <c r="I22" s="20">
        <v>-0.00482</v>
      </c>
      <c r="J22" s="86">
        <v>-0.022</v>
      </c>
      <c r="K22" s="3" t="s">
        <v>56</v>
      </c>
    </row>
    <row r="23">
      <c r="A23" s="3"/>
      <c r="B23" s="16" t="s">
        <v>57</v>
      </c>
      <c r="C23" s="16"/>
      <c r="D23" s="16"/>
      <c r="E23" s="16"/>
      <c r="F23" s="57" t="s">
        <v>209</v>
      </c>
      <c r="G23" s="20">
        <v>0.166436</v>
      </c>
      <c r="H23" s="20">
        <v>-0.21198</v>
      </c>
      <c r="I23" s="20">
        <v>-0.40366</v>
      </c>
      <c r="J23" s="88">
        <v>-0.267</v>
      </c>
      <c r="K23" s="3" t="s">
        <v>56</v>
      </c>
    </row>
    <row r="24">
      <c r="A24" s="3"/>
      <c r="B24" s="16" t="s">
        <v>58</v>
      </c>
      <c r="C24" s="16"/>
      <c r="D24" s="16"/>
      <c r="E24" s="16"/>
      <c r="F24" s="20" t="s">
        <v>210</v>
      </c>
      <c r="G24" s="20">
        <v>0.09644</v>
      </c>
      <c r="H24" s="20">
        <v>-0.01752</v>
      </c>
      <c r="I24" s="20">
        <v>0.090012</v>
      </c>
      <c r="J24" s="88">
        <v>-0.051</v>
      </c>
      <c r="K24" s="3" t="s">
        <v>56</v>
      </c>
    </row>
    <row r="25">
      <c r="A25" s="3"/>
      <c r="B25" s="16" t="s">
        <v>60</v>
      </c>
      <c r="C25" s="16"/>
      <c r="D25" s="16"/>
      <c r="E25" s="16"/>
      <c r="F25" s="20" t="s">
        <v>211</v>
      </c>
      <c r="G25" s="20">
        <v>0.136107</v>
      </c>
      <c r="H25" s="20">
        <v>0.038548</v>
      </c>
      <c r="I25" s="20">
        <v>-0.09601</v>
      </c>
      <c r="J25" s="88">
        <v>-0.099</v>
      </c>
      <c r="K25" s="3" t="s">
        <v>56</v>
      </c>
    </row>
    <row r="26">
      <c r="A26" s="3"/>
      <c r="B26" s="16" t="s">
        <v>62</v>
      </c>
      <c r="C26" s="16"/>
      <c r="D26" s="16"/>
      <c r="E26" s="16"/>
      <c r="F26" s="18" t="str">
        <f t="shared" ref="F26:J26" si="1">F48</f>
        <v>72.1</v>
      </c>
      <c r="G26" s="18" t="str">
        <f t="shared" si="1"/>
        <v>74.2</v>
      </c>
      <c r="H26" s="18" t="str">
        <f t="shared" si="1"/>
        <v>76.7</v>
      </c>
      <c r="I26" s="18" t="str">
        <f t="shared" si="1"/>
        <v>76.3</v>
      </c>
      <c r="J26" s="89" t="str">
        <f t="shared" si="1"/>
        <v>78.4</v>
      </c>
      <c r="K26" s="3" t="s">
        <v>63</v>
      </c>
    </row>
    <row r="27">
      <c r="A27" s="3"/>
      <c r="B27" s="16" t="s">
        <v>64</v>
      </c>
      <c r="C27" s="16"/>
      <c r="D27" s="16"/>
      <c r="E27" s="16"/>
      <c r="F27" s="95">
        <v>0.09</v>
      </c>
      <c r="G27" s="20">
        <v>0.08</v>
      </c>
      <c r="H27" s="20">
        <v>0.07</v>
      </c>
      <c r="I27" s="20">
        <v>0.07</v>
      </c>
      <c r="J27" s="86">
        <v>0.07</v>
      </c>
      <c r="K27" s="3" t="s">
        <v>65</v>
      </c>
    </row>
    <row r="28">
      <c r="A28" s="3"/>
      <c r="B28" s="16" t="s">
        <v>66</v>
      </c>
      <c r="C28" s="16"/>
      <c r="D28" s="16"/>
      <c r="E28" s="16"/>
      <c r="F28" s="21">
        <v>0.042</v>
      </c>
      <c r="G28" s="21">
        <v>0.042</v>
      </c>
      <c r="H28" s="21">
        <v>0.042</v>
      </c>
      <c r="I28" s="21">
        <v>0.042</v>
      </c>
      <c r="J28" s="88">
        <v>0.042</v>
      </c>
      <c r="K28" s="3" t="s">
        <v>67</v>
      </c>
    </row>
    <row r="29">
      <c r="A29" s="3"/>
      <c r="B29" s="16" t="s">
        <v>68</v>
      </c>
      <c r="C29" s="16"/>
      <c r="D29" s="16"/>
      <c r="E29" s="16"/>
      <c r="F29" s="21">
        <v>0.024</v>
      </c>
      <c r="G29" s="21">
        <v>0.024</v>
      </c>
      <c r="H29" s="21">
        <v>0.024</v>
      </c>
      <c r="I29" s="21">
        <v>0.024</v>
      </c>
      <c r="J29" s="88">
        <v>0.024</v>
      </c>
      <c r="K29" s="3" t="s">
        <v>67</v>
      </c>
    </row>
    <row r="31">
      <c r="A31" s="31" t="s">
        <v>245</v>
      </c>
      <c r="B31" s="3"/>
      <c r="C31" s="3"/>
      <c r="D31" s="3"/>
      <c r="E31" s="3" t="s">
        <v>246</v>
      </c>
      <c r="F31" s="4">
        <v>82.0</v>
      </c>
      <c r="G31" s="4">
        <v>82.0</v>
      </c>
      <c r="H31" s="4">
        <v>79.0</v>
      </c>
      <c r="I31" s="4">
        <v>78.0</v>
      </c>
      <c r="J31" s="4">
        <v>76.0</v>
      </c>
      <c r="K31" s="3"/>
      <c r="L31" s="3"/>
      <c r="M31" s="3"/>
    </row>
    <row r="32">
      <c r="A32" s="3" t="s">
        <v>28</v>
      </c>
      <c r="B32" s="10" t="s">
        <v>69</v>
      </c>
      <c r="C32" s="97">
        <v>61.0</v>
      </c>
      <c r="D32" s="97">
        <v>69.0</v>
      </c>
      <c r="E32" s="97">
        <v>73.0</v>
      </c>
      <c r="F32" s="121">
        <v>82.0</v>
      </c>
      <c r="G32" s="121">
        <v>82.0</v>
      </c>
      <c r="H32" s="121">
        <v>75.0</v>
      </c>
      <c r="I32" s="121">
        <v>67.0</v>
      </c>
      <c r="J32" s="121">
        <v>60.0</v>
      </c>
      <c r="K32" s="122" t="s">
        <v>247</v>
      </c>
      <c r="N32" s="35">
        <f t="shared" ref="N32:N34" si="2">AVERAGE(C32:F32)</f>
        <v>71.25</v>
      </c>
      <c r="O32" s="35">
        <f t="shared" ref="O32:O34" si="3">AVERAGE(G32:J32)</f>
        <v>71</v>
      </c>
    </row>
    <row r="33">
      <c r="A33" s="22" t="s">
        <v>74</v>
      </c>
      <c r="B33" s="10" t="s">
        <v>75</v>
      </c>
      <c r="C33" s="97">
        <v>170.0</v>
      </c>
      <c r="D33" s="97">
        <v>201.0</v>
      </c>
      <c r="E33" s="97">
        <v>212.0</v>
      </c>
      <c r="F33" s="97">
        <v>291.0</v>
      </c>
      <c r="G33" s="97">
        <v>463.0</v>
      </c>
      <c r="H33" s="97">
        <v>455.0</v>
      </c>
      <c r="I33" s="97">
        <v>281.0</v>
      </c>
      <c r="J33" s="97">
        <v>249.0</v>
      </c>
      <c r="K33" s="3" t="s">
        <v>166</v>
      </c>
      <c r="N33" s="35">
        <f t="shared" si="2"/>
        <v>218.5</v>
      </c>
      <c r="O33" s="35">
        <f t="shared" si="3"/>
        <v>362</v>
      </c>
    </row>
    <row r="34">
      <c r="A34" s="22" t="s">
        <v>76</v>
      </c>
      <c r="B34" s="10" t="s">
        <v>77</v>
      </c>
      <c r="C34" s="97">
        <v>1038.0</v>
      </c>
      <c r="D34" s="97">
        <v>1394.0</v>
      </c>
      <c r="E34" s="97">
        <v>1785.0</v>
      </c>
      <c r="F34" s="97">
        <v>1910.0</v>
      </c>
      <c r="G34" s="97">
        <v>1638.0</v>
      </c>
      <c r="H34" s="97">
        <v>1299.0</v>
      </c>
      <c r="I34" s="97">
        <v>1299.0</v>
      </c>
      <c r="J34" s="97">
        <v>1116.0</v>
      </c>
      <c r="K34" s="3" t="s">
        <v>54</v>
      </c>
      <c r="N34" s="35">
        <f t="shared" si="2"/>
        <v>1531.75</v>
      </c>
      <c r="O34" s="35">
        <f t="shared" si="3"/>
        <v>1338</v>
      </c>
    </row>
    <row r="35">
      <c r="A35" s="22" t="s">
        <v>74</v>
      </c>
      <c r="B35" s="10" t="s">
        <v>248</v>
      </c>
      <c r="C35" s="123">
        <f t="shared" ref="C35:J35" si="4">C33/35.3</f>
        <v>4.815864023</v>
      </c>
      <c r="D35" s="123">
        <f t="shared" si="4"/>
        <v>5.694050992</v>
      </c>
      <c r="E35" s="123">
        <f t="shared" si="4"/>
        <v>6.005665722</v>
      </c>
      <c r="F35" s="123">
        <f t="shared" si="4"/>
        <v>8.243626062</v>
      </c>
      <c r="G35" s="123">
        <f t="shared" si="4"/>
        <v>13.11614731</v>
      </c>
      <c r="H35" s="123">
        <f t="shared" si="4"/>
        <v>12.88951841</v>
      </c>
      <c r="I35" s="123">
        <f t="shared" si="4"/>
        <v>7.960339943</v>
      </c>
      <c r="J35" s="123">
        <f t="shared" si="4"/>
        <v>7.053824363</v>
      </c>
      <c r="K35" s="3" t="s">
        <v>166</v>
      </c>
      <c r="L35" s="124"/>
      <c r="M35" s="124"/>
    </row>
    <row r="36">
      <c r="A36" s="3" t="s">
        <v>249</v>
      </c>
      <c r="B36" s="10" t="s">
        <v>248</v>
      </c>
      <c r="C36" s="11">
        <v>6.8</v>
      </c>
      <c r="D36" s="11">
        <v>8.7</v>
      </c>
      <c r="E36" s="11">
        <v>16.9</v>
      </c>
      <c r="F36" s="11">
        <v>33.3</v>
      </c>
      <c r="G36" s="11">
        <v>32.0</v>
      </c>
      <c r="H36" s="11">
        <v>13.0</v>
      </c>
      <c r="I36" s="11">
        <v>10.0</v>
      </c>
      <c r="J36" s="11">
        <v>11.0</v>
      </c>
      <c r="K36" s="125" t="s">
        <v>250</v>
      </c>
    </row>
    <row r="37">
      <c r="A37" s="3"/>
      <c r="B37" s="10"/>
      <c r="C37" s="126"/>
      <c r="D37" s="126"/>
      <c r="E37" s="126"/>
      <c r="F37" s="11">
        <v>33.3</v>
      </c>
      <c r="G37" s="11">
        <v>32.7</v>
      </c>
      <c r="H37" s="11">
        <v>14.6</v>
      </c>
      <c r="I37" s="11">
        <v>13.0</v>
      </c>
      <c r="J37" s="11">
        <v>14.4</v>
      </c>
      <c r="K37" s="127" t="s">
        <v>251</v>
      </c>
    </row>
    <row r="38">
      <c r="A38" s="3" t="s">
        <v>252</v>
      </c>
      <c r="B38" s="10" t="s">
        <v>248</v>
      </c>
      <c r="C38" s="128">
        <f t="shared" ref="C38:J38" si="5">14%*C32</f>
        <v>8.54</v>
      </c>
      <c r="D38" s="128">
        <f t="shared" si="5"/>
        <v>9.66</v>
      </c>
      <c r="E38" s="128">
        <f t="shared" si="5"/>
        <v>10.22</v>
      </c>
      <c r="F38" s="128">
        <f t="shared" si="5"/>
        <v>11.48</v>
      </c>
      <c r="G38" s="128">
        <f t="shared" si="5"/>
        <v>11.48</v>
      </c>
      <c r="H38" s="128">
        <f t="shared" si="5"/>
        <v>10.5</v>
      </c>
      <c r="I38" s="128">
        <f t="shared" si="5"/>
        <v>9.38</v>
      </c>
      <c r="J38" s="128">
        <f t="shared" si="5"/>
        <v>8.4</v>
      </c>
      <c r="K38" s="127" t="s">
        <v>253</v>
      </c>
    </row>
    <row r="39">
      <c r="A39" s="3" t="s">
        <v>254</v>
      </c>
      <c r="B39" s="10" t="s">
        <v>248</v>
      </c>
      <c r="C39" s="128">
        <f>0.8*C36 + 0.2*C38</f>
        <v>7.148</v>
      </c>
      <c r="D39" s="128">
        <f t="shared" ref="D39:J39" si="6">0.8*D36+0.2*D38</f>
        <v>8.892</v>
      </c>
      <c r="E39" s="128">
        <f t="shared" si="6"/>
        <v>15.564</v>
      </c>
      <c r="F39" s="128">
        <f t="shared" si="6"/>
        <v>28.936</v>
      </c>
      <c r="G39" s="128">
        <f t="shared" si="6"/>
        <v>27.896</v>
      </c>
      <c r="H39" s="128">
        <f t="shared" si="6"/>
        <v>12.5</v>
      </c>
      <c r="I39" s="128">
        <f t="shared" si="6"/>
        <v>9.876</v>
      </c>
      <c r="J39" s="128">
        <f t="shared" si="6"/>
        <v>10.48</v>
      </c>
      <c r="K39" s="127" t="s">
        <v>255</v>
      </c>
      <c r="L39" s="22"/>
    </row>
    <row r="40">
      <c r="A40" s="129" t="s">
        <v>256</v>
      </c>
      <c r="B40" s="130"/>
      <c r="C40" s="131">
        <f t="shared" ref="C40:J40" si="7">C39-C35</f>
        <v>2.332135977</v>
      </c>
      <c r="D40" s="131">
        <f t="shared" si="7"/>
        <v>3.197949008</v>
      </c>
      <c r="E40" s="131">
        <f t="shared" si="7"/>
        <v>9.558334278</v>
      </c>
      <c r="F40" s="131">
        <f t="shared" si="7"/>
        <v>20.69237394</v>
      </c>
      <c r="G40" s="131">
        <f t="shared" si="7"/>
        <v>14.77985269</v>
      </c>
      <c r="H40" s="131">
        <f t="shared" si="7"/>
        <v>-0.3895184136</v>
      </c>
      <c r="I40" s="131">
        <f t="shared" si="7"/>
        <v>1.915660057</v>
      </c>
      <c r="J40" s="131">
        <f t="shared" si="7"/>
        <v>3.426175637</v>
      </c>
      <c r="K40" s="129" t="s">
        <v>257</v>
      </c>
      <c r="L40" s="130"/>
      <c r="M40" s="130"/>
      <c r="N40" s="130"/>
      <c r="O40" s="130"/>
      <c r="P40" s="130"/>
      <c r="Q40" s="130"/>
      <c r="R40" s="130"/>
      <c r="S40" s="130"/>
      <c r="T40" s="130"/>
      <c r="U40" s="130"/>
      <c r="V40" s="130"/>
      <c r="W40" s="130"/>
      <c r="X40" s="130"/>
      <c r="Y40" s="130"/>
      <c r="Z40" s="130"/>
      <c r="AA40" s="130"/>
      <c r="AB40" s="130"/>
      <c r="AC40" s="130"/>
      <c r="AD40" s="130"/>
      <c r="AE40" s="130"/>
    </row>
    <row r="41">
      <c r="A41" s="132"/>
      <c r="B41" s="132"/>
      <c r="C41" s="133"/>
      <c r="D41" s="133"/>
      <c r="E41" s="133"/>
      <c r="F41" s="133"/>
      <c r="G41" s="133"/>
      <c r="H41" s="133"/>
      <c r="I41" s="133"/>
      <c r="J41" s="133"/>
      <c r="K41" s="134"/>
      <c r="L41" s="134"/>
      <c r="M41" s="134"/>
      <c r="N41" s="134"/>
      <c r="O41" s="134"/>
      <c r="P41" s="134"/>
      <c r="Q41" s="134"/>
      <c r="R41" s="134"/>
      <c r="S41" s="134"/>
      <c r="T41" s="134"/>
      <c r="U41" s="134"/>
      <c r="V41" s="134"/>
      <c r="W41" s="134"/>
      <c r="X41" s="134"/>
      <c r="Y41" s="134"/>
      <c r="Z41" s="134"/>
      <c r="AA41" s="134"/>
      <c r="AB41" s="134"/>
      <c r="AC41" s="134"/>
      <c r="AD41" s="134"/>
      <c r="AE41" s="134"/>
    </row>
    <row r="42">
      <c r="A42" s="3" t="s">
        <v>78</v>
      </c>
      <c r="B42" s="12" t="s">
        <v>79</v>
      </c>
      <c r="C42" s="97">
        <v>99.3</v>
      </c>
      <c r="D42" s="97">
        <v>110.3</v>
      </c>
      <c r="E42" s="97">
        <v>105.4</v>
      </c>
      <c r="F42" s="97">
        <v>101.4</v>
      </c>
      <c r="G42" s="97">
        <v>96.1</v>
      </c>
      <c r="H42" s="97">
        <v>99.5</v>
      </c>
      <c r="I42" s="97">
        <v>102.9</v>
      </c>
      <c r="J42" s="97">
        <v>103.7</v>
      </c>
      <c r="N42" s="35">
        <f t="shared" ref="N42:N44" si="8">AVERAGE(C42:F42)</f>
        <v>104.1</v>
      </c>
      <c r="O42" s="35">
        <f t="shared" ref="O42:O44" si="9">AVERAGE(G42:J42)</f>
        <v>100.55</v>
      </c>
    </row>
    <row r="43">
      <c r="A43" s="3" t="s">
        <v>80</v>
      </c>
      <c r="B43" s="3" t="s">
        <v>79</v>
      </c>
      <c r="C43" s="97">
        <v>97.2</v>
      </c>
      <c r="D43" s="97">
        <v>127.0</v>
      </c>
      <c r="E43" s="97">
        <v>115.0</v>
      </c>
      <c r="F43" s="97">
        <v>105.0</v>
      </c>
      <c r="G43" s="97">
        <v>102.0</v>
      </c>
      <c r="H43" s="97">
        <v>102.0</v>
      </c>
      <c r="I43" s="97">
        <v>102.0</v>
      </c>
      <c r="J43" s="97">
        <v>102.0</v>
      </c>
      <c r="N43" s="35">
        <f t="shared" si="8"/>
        <v>111.05</v>
      </c>
      <c r="O43" s="35">
        <f t="shared" si="9"/>
        <v>102</v>
      </c>
    </row>
    <row r="44">
      <c r="A44" s="3" t="s">
        <v>81</v>
      </c>
      <c r="B44" s="3" t="s">
        <v>79</v>
      </c>
      <c r="C44" s="97">
        <v>105.5</v>
      </c>
      <c r="D44" s="97">
        <v>106.0</v>
      </c>
      <c r="E44" s="97">
        <v>106.6</v>
      </c>
      <c r="F44" s="97">
        <v>106.4</v>
      </c>
      <c r="G44" s="97">
        <v>105.6</v>
      </c>
      <c r="H44" s="97">
        <v>104.8</v>
      </c>
      <c r="I44" s="97">
        <v>104.2</v>
      </c>
      <c r="J44" s="97">
        <v>104.1</v>
      </c>
      <c r="K44" s="3" t="s">
        <v>258</v>
      </c>
      <c r="N44" s="35">
        <f t="shared" si="8"/>
        <v>106.125</v>
      </c>
      <c r="O44" s="35">
        <f t="shared" si="9"/>
        <v>104.675</v>
      </c>
    </row>
    <row r="45">
      <c r="A45" s="3" t="s">
        <v>259</v>
      </c>
      <c r="B45" s="3" t="s">
        <v>260</v>
      </c>
      <c r="C45" s="97">
        <v>23.0</v>
      </c>
      <c r="D45" s="97">
        <v>18.0</v>
      </c>
      <c r="E45" s="97">
        <v>34.0</v>
      </c>
      <c r="F45" s="97">
        <v>47.0</v>
      </c>
      <c r="G45" s="97">
        <v>48.0</v>
      </c>
      <c r="H45" s="97">
        <v>38.0</v>
      </c>
      <c r="I45" s="97">
        <v>27.0</v>
      </c>
      <c r="J45" s="97">
        <v>32.0</v>
      </c>
    </row>
    <row r="46">
      <c r="C46" s="30"/>
      <c r="D46" s="30"/>
      <c r="E46" s="30"/>
      <c r="F46" s="30"/>
      <c r="G46" s="30"/>
      <c r="H46" s="30"/>
      <c r="I46" s="30"/>
      <c r="J46" s="30"/>
    </row>
    <row r="48">
      <c r="A48" s="3" t="s">
        <v>137</v>
      </c>
      <c r="B48" s="11"/>
      <c r="C48" s="30" t="s">
        <v>261</v>
      </c>
      <c r="D48" s="30" t="s">
        <v>262</v>
      </c>
      <c r="E48" s="30" t="s">
        <v>263</v>
      </c>
      <c r="F48" s="30" t="s">
        <v>264</v>
      </c>
      <c r="G48" s="30" t="s">
        <v>265</v>
      </c>
      <c r="H48" s="30" t="s">
        <v>266</v>
      </c>
      <c r="I48" s="30" t="s">
        <v>267</v>
      </c>
      <c r="J48" s="30" t="s">
        <v>268</v>
      </c>
    </row>
    <row r="52">
      <c r="C52" s="35">
        <f t="shared" ref="C52:I52" si="10">VALUE(MID(C3,1,2))</f>
        <v>72</v>
      </c>
      <c r="D52" s="35">
        <f t="shared" si="10"/>
        <v>72</v>
      </c>
      <c r="E52" s="35">
        <f t="shared" si="10"/>
        <v>71</v>
      </c>
      <c r="F52" s="35">
        <f t="shared" si="10"/>
        <v>70</v>
      </c>
      <c r="G52" s="35">
        <f t="shared" si="10"/>
        <v>71</v>
      </c>
      <c r="H52" s="35">
        <f t="shared" si="10"/>
        <v>72</v>
      </c>
      <c r="I52" s="35">
        <f t="shared" si="10"/>
        <v>72</v>
      </c>
    </row>
    <row r="53">
      <c r="C53" s="35">
        <f t="shared" ref="C53:I53" si="11">VALUE(MID(C4,1,2))</f>
        <v>87</v>
      </c>
      <c r="D53" s="35">
        <f t="shared" si="11"/>
        <v>87</v>
      </c>
      <c r="E53" s="35">
        <f t="shared" si="11"/>
        <v>85</v>
      </c>
      <c r="F53" s="35">
        <f t="shared" si="11"/>
        <v>80</v>
      </c>
      <c r="G53" s="35">
        <f t="shared" si="11"/>
        <v>81</v>
      </c>
      <c r="H53" s="35">
        <f t="shared" si="11"/>
        <v>82</v>
      </c>
      <c r="I53" s="35">
        <f t="shared" si="11"/>
        <v>82</v>
      </c>
    </row>
    <row r="54">
      <c r="C54" s="35">
        <f t="shared" ref="C54:I54" si="12">VALUE(MID(C3,4,2))</f>
        <v>77</v>
      </c>
      <c r="D54" s="35">
        <f t="shared" si="12"/>
        <v>77</v>
      </c>
      <c r="E54" s="35">
        <f t="shared" si="12"/>
        <v>76</v>
      </c>
      <c r="F54" s="35">
        <f t="shared" si="12"/>
        <v>75</v>
      </c>
      <c r="G54" s="35">
        <f t="shared" si="12"/>
        <v>76</v>
      </c>
      <c r="H54" s="35">
        <f t="shared" si="12"/>
        <v>77</v>
      </c>
      <c r="I54" s="35">
        <f t="shared" si="12"/>
        <v>77</v>
      </c>
    </row>
    <row r="55">
      <c r="C55" s="35">
        <f t="shared" ref="C55:I55" si="13">VALUE(MID(C4,4,2))</f>
        <v>92</v>
      </c>
      <c r="D55" s="35">
        <f t="shared" si="13"/>
        <v>92</v>
      </c>
      <c r="E55" s="35">
        <f t="shared" si="13"/>
        <v>90</v>
      </c>
      <c r="F55" s="35">
        <f t="shared" si="13"/>
        <v>85</v>
      </c>
      <c r="G55" s="35">
        <f t="shared" si="13"/>
        <v>86</v>
      </c>
      <c r="H55" s="35">
        <f t="shared" si="13"/>
        <v>87</v>
      </c>
      <c r="I55" s="35">
        <f t="shared" si="13"/>
        <v>87</v>
      </c>
    </row>
    <row r="56">
      <c r="C56" s="35">
        <f t="shared" ref="C56:I56" si="14">AVERAGE(C52,C54)</f>
        <v>74.5</v>
      </c>
      <c r="D56" s="35">
        <f t="shared" si="14"/>
        <v>74.5</v>
      </c>
      <c r="E56" s="35">
        <f t="shared" si="14"/>
        <v>73.5</v>
      </c>
      <c r="F56" s="35">
        <f t="shared" si="14"/>
        <v>72.5</v>
      </c>
      <c r="G56" s="35">
        <f t="shared" si="14"/>
        <v>73.5</v>
      </c>
      <c r="H56" s="35">
        <f t="shared" si="14"/>
        <v>74.5</v>
      </c>
      <c r="I56" s="35">
        <f t="shared" si="14"/>
        <v>74.5</v>
      </c>
    </row>
    <row r="57">
      <c r="C57" s="35">
        <f t="shared" ref="C57:I57" si="15">AVERAGE(C53,C55)</f>
        <v>89.5</v>
      </c>
      <c r="D57" s="35">
        <f t="shared" si="15"/>
        <v>89.5</v>
      </c>
      <c r="E57" s="35">
        <f t="shared" si="15"/>
        <v>87.5</v>
      </c>
      <c r="F57" s="35">
        <f t="shared" si="15"/>
        <v>82.5</v>
      </c>
      <c r="G57" s="35">
        <f t="shared" si="15"/>
        <v>83.5</v>
      </c>
      <c r="H57" s="35">
        <f t="shared" si="15"/>
        <v>84.5</v>
      </c>
      <c r="I57" s="35">
        <f t="shared" si="15"/>
        <v>84.5</v>
      </c>
    </row>
    <row r="58">
      <c r="A58" s="3" t="s">
        <v>151</v>
      </c>
      <c r="C58" s="59">
        <f t="shared" ref="C58:I58" si="16">C57/C56</f>
        <v>1.201342282</v>
      </c>
      <c r="D58" s="59">
        <f t="shared" si="16"/>
        <v>1.201342282</v>
      </c>
      <c r="E58" s="59">
        <f t="shared" si="16"/>
        <v>1.19047619</v>
      </c>
      <c r="F58" s="59">
        <f t="shared" si="16"/>
        <v>1.137931034</v>
      </c>
      <c r="G58" s="59">
        <f t="shared" si="16"/>
        <v>1.136054422</v>
      </c>
      <c r="H58" s="59">
        <f t="shared" si="16"/>
        <v>1.134228188</v>
      </c>
      <c r="I58" s="59">
        <f t="shared" si="16"/>
        <v>1.134228188</v>
      </c>
    </row>
    <row r="62">
      <c r="A62" s="66"/>
      <c r="B62" s="66"/>
      <c r="C62" s="66"/>
      <c r="D62" s="66"/>
      <c r="E62" s="66"/>
      <c r="F62" s="66"/>
      <c r="G62" s="66"/>
      <c r="H62" s="66"/>
      <c r="I62" s="66"/>
      <c r="J62" s="66"/>
      <c r="K62" s="66"/>
      <c r="L62" s="66"/>
      <c r="M62" s="66"/>
      <c r="N62" s="66"/>
      <c r="O62" s="66"/>
    </row>
    <row r="63">
      <c r="A63" s="66"/>
      <c r="B63" s="18" t="s">
        <v>167</v>
      </c>
      <c r="C63" s="18" t="s">
        <v>168</v>
      </c>
      <c r="D63" s="67" t="s">
        <v>169</v>
      </c>
      <c r="E63" s="18" t="s">
        <v>170</v>
      </c>
      <c r="F63" s="18" t="s">
        <v>171</v>
      </c>
      <c r="G63" s="67" t="s">
        <v>172</v>
      </c>
      <c r="H63" s="18" t="s">
        <v>173</v>
      </c>
      <c r="I63" s="18" t="s">
        <v>174</v>
      </c>
      <c r="J63" s="67" t="s">
        <v>175</v>
      </c>
      <c r="K63" s="18" t="s">
        <v>176</v>
      </c>
      <c r="L63" s="18" t="s">
        <v>177</v>
      </c>
      <c r="M63" s="67" t="s">
        <v>178</v>
      </c>
      <c r="N63" s="66"/>
      <c r="O63" s="66"/>
    </row>
    <row r="64">
      <c r="A64" s="68">
        <v>2021.0</v>
      </c>
      <c r="B64" s="69">
        <v>0.67</v>
      </c>
      <c r="C64" s="69">
        <v>0.78</v>
      </c>
      <c r="D64" s="69">
        <v>0.66</v>
      </c>
      <c r="E64" s="69">
        <v>0.58</v>
      </c>
      <c r="F64" s="69">
        <v>0.74</v>
      </c>
      <c r="G64" s="69">
        <v>0.69</v>
      </c>
      <c r="H64" s="98">
        <v>0.31</v>
      </c>
      <c r="I64" s="98">
        <v>0.17</v>
      </c>
      <c r="J64" s="98">
        <v>0.6</v>
      </c>
      <c r="K64" s="90">
        <v>0.7</v>
      </c>
      <c r="L64" s="71">
        <v>0.54</v>
      </c>
      <c r="M64" s="72">
        <v>0.6</v>
      </c>
      <c r="N64" s="73"/>
      <c r="O64" s="74"/>
    </row>
    <row r="65">
      <c r="A65" s="75" t="s">
        <v>179</v>
      </c>
      <c r="B65" s="91">
        <v>5.19</v>
      </c>
      <c r="C65" s="76">
        <v>5.67</v>
      </c>
      <c r="D65" s="76">
        <v>5.79</v>
      </c>
      <c r="E65" s="76">
        <v>5.53</v>
      </c>
      <c r="F65" s="76">
        <v>6.02</v>
      </c>
      <c r="G65" s="76">
        <v>6.5</v>
      </c>
      <c r="H65" s="77">
        <v>6.46</v>
      </c>
      <c r="I65" s="77">
        <v>6.68</v>
      </c>
      <c r="J65" s="135">
        <v>7.4</v>
      </c>
      <c r="K65" s="135">
        <v>7.7</v>
      </c>
      <c r="L65" s="77">
        <v>7.52</v>
      </c>
      <c r="M65" s="78">
        <v>7.28</v>
      </c>
      <c r="N65" s="79"/>
      <c r="O65" s="80">
        <v>2021.0</v>
      </c>
    </row>
    <row r="66">
      <c r="A66" s="66"/>
      <c r="B66" s="66"/>
      <c r="C66" s="66"/>
      <c r="D66" s="66"/>
      <c r="E66" s="66"/>
      <c r="F66" s="66"/>
      <c r="G66" s="66"/>
      <c r="H66" s="66"/>
      <c r="I66" s="66"/>
      <c r="J66" s="66"/>
      <c r="K66" s="66"/>
      <c r="L66" s="66"/>
      <c r="M66" s="66"/>
      <c r="N66" s="81"/>
    </row>
    <row r="67">
      <c r="A67" s="18" t="s">
        <v>181</v>
      </c>
      <c r="B67" s="18">
        <v>0.6</v>
      </c>
      <c r="C67" s="18">
        <v>0.4</v>
      </c>
      <c r="D67" s="18">
        <v>0.5</v>
      </c>
      <c r="E67" s="18">
        <v>0.4</v>
      </c>
      <c r="F67" s="18">
        <v>0.4</v>
      </c>
      <c r="G67" s="18">
        <v>0.4</v>
      </c>
      <c r="H67" s="18">
        <v>0.5</v>
      </c>
      <c r="I67" s="18">
        <v>0.0</v>
      </c>
      <c r="J67" s="18">
        <v>0.2</v>
      </c>
      <c r="K67" s="18">
        <v>0.4</v>
      </c>
      <c r="L67" s="18">
        <v>0.5</v>
      </c>
      <c r="M67" s="18">
        <v>0.5</v>
      </c>
      <c r="N67" s="66"/>
      <c r="O67" s="66"/>
    </row>
    <row r="68">
      <c r="A68" s="18" t="s">
        <v>182</v>
      </c>
      <c r="B68" s="18">
        <v>0.5</v>
      </c>
      <c r="C68" s="18">
        <v>0.3</v>
      </c>
      <c r="D68" s="18">
        <v>0.3</v>
      </c>
      <c r="E68" s="18">
        <v>0.4</v>
      </c>
      <c r="F68" s="18">
        <v>0.4</v>
      </c>
      <c r="G68" s="18">
        <v>0.4</v>
      </c>
      <c r="H68" s="18">
        <v>0.2</v>
      </c>
      <c r="I68" s="82">
        <v>-0.1</v>
      </c>
      <c r="J68" s="82">
        <v>-0.1</v>
      </c>
      <c r="K68" s="18">
        <v>0.3</v>
      </c>
      <c r="L68" s="18">
        <v>0.4</v>
      </c>
      <c r="M68" s="18">
        <v>0.6</v>
      </c>
      <c r="N68" s="66"/>
      <c r="O68" s="66"/>
    </row>
    <row r="69">
      <c r="A69" s="66"/>
      <c r="B69" s="18" t="s">
        <v>183</v>
      </c>
      <c r="C69" s="18" t="s">
        <v>184</v>
      </c>
      <c r="D69" s="18" t="s">
        <v>169</v>
      </c>
      <c r="E69" s="18" t="s">
        <v>185</v>
      </c>
      <c r="F69" s="18" t="s">
        <v>186</v>
      </c>
      <c r="G69" s="18" t="s">
        <v>172</v>
      </c>
      <c r="H69" s="18" t="s">
        <v>187</v>
      </c>
      <c r="I69" s="18" t="s">
        <v>188</v>
      </c>
      <c r="J69" s="18" t="s">
        <v>175</v>
      </c>
      <c r="K69" s="18" t="s">
        <v>189</v>
      </c>
      <c r="L69" s="18" t="s">
        <v>190</v>
      </c>
      <c r="M69" s="18" t="s">
        <v>178</v>
      </c>
      <c r="N69" s="66"/>
      <c r="O69" s="66"/>
    </row>
    <row r="70">
      <c r="A70" s="66"/>
      <c r="B70" s="66"/>
      <c r="C70" s="66"/>
      <c r="D70" s="66"/>
      <c r="E70" s="66"/>
      <c r="F70" s="66"/>
      <c r="G70" s="66"/>
      <c r="H70" s="66"/>
      <c r="I70" s="66"/>
      <c r="J70" s="66"/>
      <c r="K70" s="66"/>
      <c r="L70" s="66"/>
      <c r="M70" s="66"/>
      <c r="N70" s="66"/>
      <c r="O70" s="66"/>
    </row>
    <row r="71">
      <c r="A71" s="66"/>
      <c r="B71" s="66"/>
      <c r="C71" s="66"/>
      <c r="D71" s="66"/>
      <c r="E71" s="66"/>
      <c r="F71" s="66"/>
      <c r="G71" s="66"/>
      <c r="H71" s="66"/>
      <c r="I71" s="66"/>
      <c r="J71" s="66"/>
      <c r="K71" s="66"/>
      <c r="L71" s="66"/>
      <c r="M71" s="66"/>
      <c r="N71" s="66"/>
      <c r="O71" s="66"/>
    </row>
    <row r="72">
      <c r="A72" s="66"/>
      <c r="B72" s="18" t="s">
        <v>167</v>
      </c>
      <c r="C72" s="18" t="s">
        <v>168</v>
      </c>
      <c r="D72" s="83" t="s">
        <v>169</v>
      </c>
      <c r="E72" s="18" t="s">
        <v>170</v>
      </c>
      <c r="F72" s="18" t="s">
        <v>171</v>
      </c>
      <c r="G72" s="83" t="s">
        <v>172</v>
      </c>
      <c r="H72" s="18" t="s">
        <v>173</v>
      </c>
      <c r="I72" s="18" t="s">
        <v>174</v>
      </c>
      <c r="J72" s="83" t="s">
        <v>175</v>
      </c>
      <c r="K72" s="18" t="s">
        <v>176</v>
      </c>
      <c r="L72" s="18" t="s">
        <v>177</v>
      </c>
      <c r="M72" s="83" t="s">
        <v>178</v>
      </c>
      <c r="N72" s="66"/>
      <c r="O72" s="66"/>
    </row>
    <row r="73">
      <c r="A73" s="68">
        <v>2022.0</v>
      </c>
      <c r="B73" s="70">
        <v>0.5</v>
      </c>
      <c r="C73" s="70">
        <v>0.3</v>
      </c>
      <c r="D73" s="70">
        <v>0.3</v>
      </c>
      <c r="E73" s="70">
        <v>0.4</v>
      </c>
      <c r="F73" s="70">
        <v>0.4</v>
      </c>
      <c r="G73" s="70">
        <v>0.5</v>
      </c>
      <c r="H73" s="71">
        <v>0.2</v>
      </c>
      <c r="I73" s="84">
        <v>-0.1</v>
      </c>
      <c r="J73" s="84">
        <v>-0.1</v>
      </c>
      <c r="K73" s="71">
        <v>0.4</v>
      </c>
      <c r="L73" s="71">
        <v>0.4</v>
      </c>
      <c r="M73" s="72">
        <v>0.5</v>
      </c>
      <c r="N73" s="66"/>
      <c r="O73" s="66"/>
    </row>
    <row r="74">
      <c r="A74" s="75" t="s">
        <v>179</v>
      </c>
      <c r="B74" s="91">
        <v>7.1</v>
      </c>
      <c r="C74" s="76">
        <v>6.58</v>
      </c>
      <c r="D74" s="76">
        <v>6.2</v>
      </c>
      <c r="E74" s="76">
        <v>6.01</v>
      </c>
      <c r="F74" s="76">
        <v>5.65</v>
      </c>
      <c r="G74" s="76">
        <v>5.45</v>
      </c>
      <c r="H74" s="77">
        <v>5.33</v>
      </c>
      <c r="I74" s="77">
        <v>5.05</v>
      </c>
      <c r="J74" s="77">
        <v>4.32</v>
      </c>
      <c r="K74" s="77">
        <v>4.01</v>
      </c>
      <c r="L74" s="77">
        <v>3.86</v>
      </c>
      <c r="M74" s="78">
        <v>3.76</v>
      </c>
      <c r="N74" s="79">
        <v>3.8</v>
      </c>
      <c r="O74" s="80">
        <v>2022.0</v>
      </c>
    </row>
  </sheetData>
  <mergeCells count="1">
    <mergeCell ref="N66:O6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t="s">
        <v>269</v>
      </c>
      <c r="B1" s="137" t="s">
        <v>270</v>
      </c>
      <c r="C1" s="136" t="s">
        <v>271</v>
      </c>
      <c r="D1" s="136" t="s">
        <v>272</v>
      </c>
      <c r="E1" s="137" t="s">
        <v>273</v>
      </c>
      <c r="F1" s="137" t="s">
        <v>274</v>
      </c>
      <c r="G1" s="137" t="s">
        <v>275</v>
      </c>
      <c r="H1" s="137" t="s">
        <v>276</v>
      </c>
      <c r="J1" s="138" t="s">
        <v>277</v>
      </c>
      <c r="K1" s="138" t="s">
        <v>278</v>
      </c>
    </row>
    <row r="2">
      <c r="A2" s="139">
        <v>2021.0</v>
      </c>
      <c r="B2" s="140" t="s">
        <v>167</v>
      </c>
      <c r="C2" s="141">
        <v>0.18</v>
      </c>
      <c r="D2" s="142">
        <v>-0.01</v>
      </c>
      <c r="E2" s="142">
        <v>0.07</v>
      </c>
      <c r="F2" s="142">
        <v>0.11</v>
      </c>
      <c r="G2" s="142">
        <v>0.07</v>
      </c>
      <c r="H2" s="143">
        <v>0.03</v>
      </c>
      <c r="I2" s="144">
        <v>44217.0</v>
      </c>
      <c r="J2" s="21">
        <v>0.007</v>
      </c>
      <c r="K2" s="21">
        <v>0.0519</v>
      </c>
    </row>
    <row r="3">
      <c r="A3" s="139">
        <v>2021.0</v>
      </c>
      <c r="B3" s="140" t="s">
        <v>168</v>
      </c>
      <c r="C3" s="141">
        <v>0.19</v>
      </c>
      <c r="D3" s="142">
        <v>-0.01</v>
      </c>
      <c r="E3" s="142">
        <v>0.08</v>
      </c>
      <c r="F3" s="142">
        <v>0.16</v>
      </c>
      <c r="G3" s="142">
        <v>0.18</v>
      </c>
      <c r="H3" s="143">
        <v>0.04</v>
      </c>
      <c r="I3" s="145" t="s">
        <v>279</v>
      </c>
      <c r="J3" s="21">
        <v>0.008</v>
      </c>
      <c r="K3" s="21">
        <v>0.0567</v>
      </c>
    </row>
    <row r="4">
      <c r="A4" s="139">
        <v>2021.0</v>
      </c>
      <c r="B4" s="140" t="s">
        <v>280</v>
      </c>
      <c r="C4" s="141">
        <v>0.16</v>
      </c>
      <c r="D4" s="142">
        <v>0.0</v>
      </c>
      <c r="E4" s="142">
        <v>0.08</v>
      </c>
      <c r="F4" s="142">
        <v>0.19</v>
      </c>
      <c r="G4" s="142">
        <v>0.28</v>
      </c>
      <c r="H4" s="143">
        <v>0.04</v>
      </c>
      <c r="I4" s="144">
        <v>44276.0</v>
      </c>
      <c r="J4" s="21">
        <v>0.007</v>
      </c>
      <c r="K4" s="21">
        <v>0.058</v>
      </c>
    </row>
    <row r="5">
      <c r="A5" s="139">
        <v>2021.0</v>
      </c>
      <c r="B5" s="140" t="s">
        <v>170</v>
      </c>
      <c r="C5" s="141">
        <v>0.13</v>
      </c>
      <c r="D5" s="142">
        <v>0.0</v>
      </c>
      <c r="E5" s="142">
        <v>0.09</v>
      </c>
      <c r="F5" s="142">
        <v>0.22</v>
      </c>
      <c r="G5" s="142">
        <v>0.36</v>
      </c>
      <c r="H5" s="143">
        <v>0.04</v>
      </c>
      <c r="I5" s="144">
        <v>44307.0</v>
      </c>
      <c r="J5" s="21">
        <v>0.006</v>
      </c>
      <c r="K5" s="21">
        <v>0.055</v>
      </c>
    </row>
    <row r="6">
      <c r="A6" s="139">
        <v>2021.0</v>
      </c>
      <c r="B6" s="140" t="s">
        <v>171</v>
      </c>
      <c r="C6" s="141">
        <v>0.1</v>
      </c>
      <c r="D6" s="142">
        <v>0.01</v>
      </c>
      <c r="E6" s="142">
        <v>0.1</v>
      </c>
      <c r="F6" s="142">
        <v>0.24</v>
      </c>
      <c r="G6" s="142">
        <v>0.52</v>
      </c>
      <c r="H6" s="143">
        <v>0.04</v>
      </c>
      <c r="I6" s="145" t="s">
        <v>281</v>
      </c>
      <c r="J6" s="21">
        <v>0.007</v>
      </c>
      <c r="K6" s="21">
        <v>0.06</v>
      </c>
    </row>
    <row r="7">
      <c r="A7" s="139">
        <v>2021.0</v>
      </c>
      <c r="B7" s="140" t="s">
        <v>282</v>
      </c>
      <c r="C7" s="141">
        <v>0.08</v>
      </c>
      <c r="D7" s="142">
        <v>0.02</v>
      </c>
      <c r="E7" s="142">
        <v>0.1</v>
      </c>
      <c r="F7" s="142">
        <v>0.27</v>
      </c>
      <c r="G7" s="142">
        <v>0.71</v>
      </c>
      <c r="H7" s="143">
        <v>0.04</v>
      </c>
      <c r="I7" s="144">
        <v>44368.0</v>
      </c>
      <c r="J7" s="21">
        <v>0.007</v>
      </c>
      <c r="K7" s="21">
        <v>0.065</v>
      </c>
    </row>
    <row r="8">
      <c r="A8" s="139">
        <v>2021.0</v>
      </c>
      <c r="B8" s="140" t="s">
        <v>173</v>
      </c>
      <c r="C8" s="141">
        <v>0.05</v>
      </c>
      <c r="D8" s="142">
        <v>0.03</v>
      </c>
      <c r="E8" s="142">
        <v>0.11</v>
      </c>
      <c r="F8" s="142">
        <v>0.28</v>
      </c>
      <c r="G8" s="142">
        <v>0.92</v>
      </c>
      <c r="H8" s="143">
        <v>0.05</v>
      </c>
      <c r="I8" s="144">
        <v>44398.0</v>
      </c>
      <c r="J8" s="21">
        <v>0.003</v>
      </c>
      <c r="K8" s="21">
        <v>0.065</v>
      </c>
    </row>
    <row r="9">
      <c r="A9" s="139">
        <v>2021.0</v>
      </c>
      <c r="B9" s="140" t="s">
        <v>174</v>
      </c>
      <c r="C9" s="141">
        <v>0.02</v>
      </c>
      <c r="D9" s="142">
        <v>0.04</v>
      </c>
      <c r="E9" s="142">
        <v>0.11</v>
      </c>
      <c r="F9" s="142">
        <v>0.28</v>
      </c>
      <c r="G9" s="142">
        <v>1.06</v>
      </c>
      <c r="H9" s="143">
        <v>0.04</v>
      </c>
      <c r="I9" s="144">
        <v>44429.0</v>
      </c>
      <c r="J9" s="21">
        <v>0.002</v>
      </c>
      <c r="K9" s="21">
        <v>0.067</v>
      </c>
    </row>
    <row r="10">
      <c r="A10" s="139">
        <v>2021.0</v>
      </c>
      <c r="B10" s="140" t="s">
        <v>283</v>
      </c>
      <c r="C10" s="141">
        <v>0.01</v>
      </c>
      <c r="D10" s="142">
        <v>0.05</v>
      </c>
      <c r="E10" s="142">
        <v>0.12</v>
      </c>
      <c r="F10" s="142">
        <v>0.28</v>
      </c>
      <c r="G10" s="142">
        <v>1.16</v>
      </c>
      <c r="H10" s="143">
        <v>0.04</v>
      </c>
      <c r="I10" s="145" t="s">
        <v>284</v>
      </c>
      <c r="J10" s="21">
        <v>0.006</v>
      </c>
      <c r="K10" s="21">
        <v>0.074</v>
      </c>
    </row>
    <row r="11">
      <c r="A11" s="139">
        <v>2021.0</v>
      </c>
      <c r="B11" s="140" t="s">
        <v>176</v>
      </c>
      <c r="C11" s="141">
        <v>0.0</v>
      </c>
      <c r="D11" s="142">
        <v>0.06</v>
      </c>
      <c r="E11" s="146">
        <v>0.11</v>
      </c>
      <c r="F11" s="142">
        <v>0.28</v>
      </c>
      <c r="G11" s="142">
        <v>1.2</v>
      </c>
      <c r="H11" s="143">
        <v>0.04</v>
      </c>
      <c r="I11" s="144">
        <v>44490.0</v>
      </c>
      <c r="J11" s="21">
        <v>0.011</v>
      </c>
      <c r="K11" s="21">
        <v>0.0814</v>
      </c>
    </row>
    <row r="12">
      <c r="A12" s="139">
        <v>2021.0</v>
      </c>
      <c r="B12" s="140" t="s">
        <v>177</v>
      </c>
      <c r="C12" s="147">
        <v>-0.01</v>
      </c>
      <c r="D12" s="146">
        <v>0.08</v>
      </c>
      <c r="E12" s="146">
        <v>0.11</v>
      </c>
      <c r="F12" s="146">
        <v>0.26</v>
      </c>
      <c r="G12" s="146">
        <v>1.14</v>
      </c>
      <c r="H12" s="148">
        <v>0.05</v>
      </c>
      <c r="I12" s="145" t="s">
        <v>285</v>
      </c>
      <c r="J12" s="21">
        <v>0.0096</v>
      </c>
      <c r="K12" s="21">
        <v>0.084</v>
      </c>
      <c r="L12" s="4" t="s">
        <v>286</v>
      </c>
      <c r="M12" s="3" t="s">
        <v>287</v>
      </c>
    </row>
    <row r="13">
      <c r="A13" s="149">
        <v>2021.0</v>
      </c>
      <c r="B13" s="150" t="s">
        <v>288</v>
      </c>
      <c r="C13" s="151">
        <v>-0.03</v>
      </c>
      <c r="D13" s="152">
        <v>0.09</v>
      </c>
      <c r="E13" s="152">
        <v>0.1</v>
      </c>
      <c r="F13" s="152">
        <v>0.23</v>
      </c>
      <c r="G13" s="152">
        <v>0.97</v>
      </c>
      <c r="H13" s="153">
        <v>0.05</v>
      </c>
      <c r="I13" s="154">
        <v>44551.0</v>
      </c>
      <c r="J13" s="155">
        <v>0.0065</v>
      </c>
      <c r="K13" s="155">
        <v>0.0821</v>
      </c>
      <c r="L13" s="156">
        <v>0.085</v>
      </c>
      <c r="M13" s="157">
        <f t="shared" ref="M13:M25" si="1">L13-K13</f>
        <v>0.0029</v>
      </c>
    </row>
    <row r="14">
      <c r="A14" s="139">
        <v>2022.0</v>
      </c>
      <c r="B14" s="140" t="s">
        <v>167</v>
      </c>
      <c r="C14" s="147">
        <v>-0.04</v>
      </c>
      <c r="D14" s="146">
        <v>0.1</v>
      </c>
      <c r="E14" s="146">
        <v>0.11</v>
      </c>
      <c r="F14" s="146">
        <v>0.19</v>
      </c>
      <c r="G14" s="146">
        <v>0.72</v>
      </c>
      <c r="H14" s="148">
        <v>0.05</v>
      </c>
      <c r="I14" s="144">
        <v>44218.0</v>
      </c>
      <c r="J14" s="158">
        <v>0.005</v>
      </c>
      <c r="K14" s="158">
        <v>0.081</v>
      </c>
      <c r="L14" s="156">
        <v>0.085</v>
      </c>
      <c r="M14" s="157">
        <f t="shared" si="1"/>
        <v>0.004</v>
      </c>
    </row>
    <row r="15">
      <c r="A15" s="139">
        <v>2022.0</v>
      </c>
      <c r="B15" s="140" t="s">
        <v>168</v>
      </c>
      <c r="C15" s="147">
        <v>-0.04</v>
      </c>
      <c r="D15" s="146">
        <v>0.1</v>
      </c>
      <c r="E15" s="146">
        <v>0.11</v>
      </c>
      <c r="F15" s="146">
        <v>0.16</v>
      </c>
      <c r="G15" s="146">
        <v>0.47</v>
      </c>
      <c r="H15" s="148">
        <v>0.05</v>
      </c>
      <c r="I15" s="145" t="s">
        <v>289</v>
      </c>
      <c r="J15" s="158">
        <v>0.003</v>
      </c>
      <c r="K15" s="158">
        <v>0.075</v>
      </c>
      <c r="L15" s="156">
        <v>0.085</v>
      </c>
      <c r="M15" s="157">
        <f t="shared" si="1"/>
        <v>0.01</v>
      </c>
    </row>
    <row r="16">
      <c r="A16" s="139">
        <v>2022.0</v>
      </c>
      <c r="B16" s="140" t="s">
        <v>280</v>
      </c>
      <c r="C16" s="147">
        <v>-0.04</v>
      </c>
      <c r="D16" s="146">
        <v>0.1</v>
      </c>
      <c r="E16" s="146">
        <v>0.11</v>
      </c>
      <c r="F16" s="146">
        <v>0.13</v>
      </c>
      <c r="G16" s="146">
        <v>0.25</v>
      </c>
      <c r="H16" s="148">
        <v>0.05</v>
      </c>
      <c r="I16" s="144">
        <v>44277.0</v>
      </c>
      <c r="J16" s="158">
        <v>0.002</v>
      </c>
      <c r="K16" s="158">
        <v>0.07</v>
      </c>
      <c r="L16" s="156">
        <v>0.085</v>
      </c>
      <c r="M16" s="157">
        <f t="shared" si="1"/>
        <v>0.015</v>
      </c>
    </row>
    <row r="17">
      <c r="A17" s="139">
        <v>2022.0</v>
      </c>
      <c r="B17" s="140" t="s">
        <v>170</v>
      </c>
      <c r="C17" s="147">
        <v>-0.03</v>
      </c>
      <c r="D17" s="146">
        <v>0.1</v>
      </c>
      <c r="E17" s="146">
        <v>0.11</v>
      </c>
      <c r="F17" s="146">
        <v>0.1</v>
      </c>
      <c r="G17" s="146">
        <v>0.09</v>
      </c>
      <c r="H17" s="148">
        <v>0.05</v>
      </c>
      <c r="I17" s="144">
        <v>44308.0</v>
      </c>
      <c r="J17" s="158">
        <v>0.003</v>
      </c>
      <c r="K17" s="158">
        <v>0.068</v>
      </c>
      <c r="L17" s="156">
        <v>0.085</v>
      </c>
      <c r="M17" s="157">
        <f t="shared" si="1"/>
        <v>0.017</v>
      </c>
    </row>
    <row r="18">
      <c r="A18" s="139">
        <v>2022.0</v>
      </c>
      <c r="B18" s="140" t="s">
        <v>171</v>
      </c>
      <c r="C18" s="147">
        <v>-0.02</v>
      </c>
      <c r="D18" s="146">
        <v>0.09</v>
      </c>
      <c r="E18" s="146">
        <v>0.1</v>
      </c>
      <c r="F18" s="146">
        <v>0.08</v>
      </c>
      <c r="G18" s="146">
        <v>-0.07</v>
      </c>
      <c r="H18" s="148">
        <v>0.05</v>
      </c>
      <c r="I18" s="145" t="s">
        <v>290</v>
      </c>
      <c r="J18" s="158">
        <v>0.004</v>
      </c>
      <c r="K18" s="158">
        <v>0.064</v>
      </c>
      <c r="L18" s="156">
        <v>0.085</v>
      </c>
      <c r="M18" s="157">
        <f t="shared" si="1"/>
        <v>0.021</v>
      </c>
    </row>
    <row r="19">
      <c r="A19" s="139">
        <v>2022.0</v>
      </c>
      <c r="B19" s="140" t="s">
        <v>282</v>
      </c>
      <c r="C19" s="147">
        <v>0.0</v>
      </c>
      <c r="D19" s="146">
        <v>0.08</v>
      </c>
      <c r="E19" s="146">
        <v>0.1</v>
      </c>
      <c r="F19" s="146">
        <v>0.06</v>
      </c>
      <c r="G19" s="146">
        <v>-0.22</v>
      </c>
      <c r="H19" s="148">
        <v>0.05</v>
      </c>
      <c r="I19" s="144">
        <v>44369.0</v>
      </c>
      <c r="J19" s="158">
        <v>0.004</v>
      </c>
      <c r="K19" s="158">
        <v>0.061</v>
      </c>
      <c r="L19" s="156">
        <v>0.0825</v>
      </c>
      <c r="M19" s="157">
        <f t="shared" si="1"/>
        <v>0.0215</v>
      </c>
    </row>
    <row r="20">
      <c r="A20" s="139">
        <v>2022.0</v>
      </c>
      <c r="B20" s="140" t="s">
        <v>173</v>
      </c>
      <c r="C20" s="147">
        <v>0.01</v>
      </c>
      <c r="D20" s="146">
        <v>0.07</v>
      </c>
      <c r="E20" s="146">
        <v>0.1</v>
      </c>
      <c r="F20" s="146">
        <v>0.04</v>
      </c>
      <c r="G20" s="146">
        <v>-0.33</v>
      </c>
      <c r="H20" s="148">
        <v>0.05</v>
      </c>
      <c r="I20" s="144">
        <v>44399.0</v>
      </c>
      <c r="J20" s="158">
        <v>0.004</v>
      </c>
      <c r="K20" s="158">
        <v>0.062</v>
      </c>
      <c r="L20" s="156">
        <v>0.0825</v>
      </c>
      <c r="M20" s="157">
        <f t="shared" si="1"/>
        <v>0.0205</v>
      </c>
    </row>
    <row r="21">
      <c r="A21" s="139">
        <v>2022.0</v>
      </c>
      <c r="B21" s="140" t="s">
        <v>174</v>
      </c>
      <c r="C21" s="147">
        <v>0.03</v>
      </c>
      <c r="D21" s="146">
        <v>0.06</v>
      </c>
      <c r="E21" s="146">
        <v>0.09</v>
      </c>
      <c r="F21" s="146">
        <v>0.03</v>
      </c>
      <c r="G21" s="146">
        <v>-0.4</v>
      </c>
      <c r="H21" s="148">
        <v>0.05</v>
      </c>
      <c r="I21" s="144">
        <v>44430.0</v>
      </c>
      <c r="J21" s="158">
        <v>0.001</v>
      </c>
      <c r="K21" s="158">
        <v>0.061</v>
      </c>
      <c r="L21" s="156">
        <v>0.0825</v>
      </c>
      <c r="M21" s="157">
        <f t="shared" si="1"/>
        <v>0.0215</v>
      </c>
    </row>
    <row r="22">
      <c r="A22" s="139">
        <v>2022.0</v>
      </c>
      <c r="B22" s="140" t="s">
        <v>283</v>
      </c>
      <c r="C22" s="147">
        <v>0.05</v>
      </c>
      <c r="D22" s="146">
        <v>0.04</v>
      </c>
      <c r="E22" s="146">
        <v>0.09</v>
      </c>
      <c r="F22" s="146">
        <v>0.02</v>
      </c>
      <c r="G22" s="146">
        <v>-0.45</v>
      </c>
      <c r="H22" s="148">
        <v>0.05</v>
      </c>
      <c r="I22" s="145" t="s">
        <v>291</v>
      </c>
      <c r="J22" s="158">
        <v>0.001</v>
      </c>
      <c r="K22" s="158">
        <v>0.056</v>
      </c>
      <c r="L22" s="156">
        <v>0.0775</v>
      </c>
      <c r="M22" s="157">
        <f t="shared" si="1"/>
        <v>0.0215</v>
      </c>
    </row>
    <row r="23">
      <c r="A23" s="139">
        <v>2022.0</v>
      </c>
      <c r="B23" s="140" t="s">
        <v>176</v>
      </c>
      <c r="C23" s="147">
        <v>0.06</v>
      </c>
      <c r="D23" s="146">
        <v>0.03</v>
      </c>
      <c r="E23" s="146">
        <v>0.09</v>
      </c>
      <c r="F23" s="146">
        <v>0.0</v>
      </c>
      <c r="G23" s="146">
        <v>-0.49</v>
      </c>
      <c r="H23" s="148">
        <v>0.05</v>
      </c>
      <c r="I23" s="144">
        <v>44491.0</v>
      </c>
      <c r="J23" s="158">
        <v>0.006</v>
      </c>
      <c r="K23" s="158">
        <v>0.051</v>
      </c>
      <c r="L23" s="156">
        <v>0.0725</v>
      </c>
      <c r="M23" s="157">
        <f t="shared" si="1"/>
        <v>0.0215</v>
      </c>
    </row>
    <row r="24">
      <c r="A24" s="139">
        <v>2022.0</v>
      </c>
      <c r="B24" s="140" t="s">
        <v>177</v>
      </c>
      <c r="C24" s="147">
        <v>0.06</v>
      </c>
      <c r="D24" s="146">
        <v>0.02</v>
      </c>
      <c r="E24" s="146">
        <v>0.09</v>
      </c>
      <c r="F24" s="146">
        <v>0.0</v>
      </c>
      <c r="G24" s="146">
        <v>-0.49</v>
      </c>
      <c r="H24" s="148">
        <v>0.05</v>
      </c>
      <c r="I24" s="145" t="s">
        <v>292</v>
      </c>
      <c r="J24" s="158">
        <v>0.007</v>
      </c>
      <c r="K24" s="158">
        <v>0.049</v>
      </c>
      <c r="L24" s="156">
        <f>L23</f>
        <v>0.0725</v>
      </c>
      <c r="M24" s="157">
        <f t="shared" si="1"/>
        <v>0.0235</v>
      </c>
    </row>
    <row r="25">
      <c r="A25" s="159">
        <v>2022.0</v>
      </c>
      <c r="B25" s="160" t="s">
        <v>288</v>
      </c>
      <c r="C25" s="161">
        <v>0.06</v>
      </c>
      <c r="D25" s="162">
        <v>0.02</v>
      </c>
      <c r="E25" s="162">
        <v>0.09</v>
      </c>
      <c r="F25" s="162">
        <v>-0.01</v>
      </c>
      <c r="G25" s="162">
        <v>-0.47</v>
      </c>
      <c r="H25" s="163">
        <v>0.05</v>
      </c>
      <c r="I25" s="154">
        <v>44552.0</v>
      </c>
      <c r="J25" s="155">
        <v>0.007</v>
      </c>
      <c r="K25" s="155">
        <v>0.049</v>
      </c>
      <c r="L25" s="156">
        <v>0.07</v>
      </c>
      <c r="M25" s="157">
        <f t="shared" si="1"/>
        <v>0.021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5"/>
    <col customWidth="1" min="8" max="10" width="12.5"/>
    <col customWidth="1" min="11" max="11" width="23.88"/>
  </cols>
  <sheetData>
    <row r="1">
      <c r="A1" s="92">
        <v>44526.0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3"/>
      <c r="B2" s="4"/>
      <c r="C2" s="4"/>
      <c r="D2" s="4"/>
      <c r="E2" s="54"/>
      <c r="F2" s="54"/>
      <c r="G2" s="54"/>
      <c r="H2" s="54"/>
      <c r="J2" s="5"/>
      <c r="L2" s="3"/>
      <c r="N2" s="7"/>
      <c r="O2" s="52"/>
      <c r="P2" s="3"/>
      <c r="Q2" s="52"/>
    </row>
    <row r="3">
      <c r="A3" s="3" t="s">
        <v>15</v>
      </c>
      <c r="B3" s="4"/>
      <c r="C3" s="4" t="s">
        <v>16</v>
      </c>
      <c r="D3" s="4" t="s">
        <v>16</v>
      </c>
      <c r="E3" s="54" t="s">
        <v>152</v>
      </c>
      <c r="F3" s="24" t="s">
        <v>293</v>
      </c>
      <c r="G3" s="24" t="s">
        <v>294</v>
      </c>
      <c r="H3" s="24" t="s">
        <v>16</v>
      </c>
      <c r="I3" s="24" t="s">
        <v>17</v>
      </c>
      <c r="J3" s="24" t="s">
        <v>17</v>
      </c>
      <c r="L3" s="3" t="s">
        <v>20</v>
      </c>
      <c r="N3" s="7" t="s">
        <v>22</v>
      </c>
      <c r="O3" s="52"/>
      <c r="P3" s="3" t="s">
        <v>23</v>
      </c>
      <c r="Q3" s="52"/>
    </row>
    <row r="4">
      <c r="A4" s="3" t="s">
        <v>24</v>
      </c>
      <c r="B4" s="4"/>
      <c r="C4" s="4" t="s">
        <v>25</v>
      </c>
      <c r="D4" s="4" t="s">
        <v>25</v>
      </c>
      <c r="E4" s="54" t="s">
        <v>153</v>
      </c>
      <c r="F4" s="24" t="s">
        <v>295</v>
      </c>
      <c r="G4" s="24" t="s">
        <v>296</v>
      </c>
      <c r="H4" s="24" t="s">
        <v>232</v>
      </c>
      <c r="I4" s="24" t="s">
        <v>297</v>
      </c>
      <c r="J4" s="24" t="s">
        <v>297</v>
      </c>
      <c r="L4" s="3" t="s">
        <v>20</v>
      </c>
      <c r="N4" s="7" t="s">
        <v>22</v>
      </c>
      <c r="O4" s="52"/>
      <c r="P4" s="3" t="s">
        <v>23</v>
      </c>
      <c r="Q4" s="52"/>
    </row>
    <row r="5">
      <c r="A5" s="3" t="s">
        <v>28</v>
      </c>
      <c r="B5" s="4"/>
      <c r="C5" s="4" t="s">
        <v>29</v>
      </c>
      <c r="D5" s="4" t="s">
        <v>139</v>
      </c>
      <c r="E5" s="54" t="s">
        <v>199</v>
      </c>
      <c r="F5" s="24" t="s">
        <v>298</v>
      </c>
      <c r="G5" s="24" t="s">
        <v>155</v>
      </c>
      <c r="H5" s="24" t="s">
        <v>141</v>
      </c>
      <c r="I5" s="24" t="s">
        <v>30</v>
      </c>
      <c r="J5" s="24" t="s">
        <v>235</v>
      </c>
      <c r="L5" s="3" t="s">
        <v>33</v>
      </c>
      <c r="M5" s="3" t="s">
        <v>21</v>
      </c>
      <c r="N5" s="3" t="s">
        <v>23</v>
      </c>
      <c r="O5" s="53"/>
      <c r="Q5" s="52"/>
    </row>
    <row r="6">
      <c r="A6" s="3" t="s">
        <v>35</v>
      </c>
      <c r="B6" s="4"/>
      <c r="C6" s="4">
        <v>5.7</v>
      </c>
      <c r="D6" s="54" t="s">
        <v>144</v>
      </c>
      <c r="E6" s="54" t="s">
        <v>201</v>
      </c>
      <c r="F6" s="24" t="s">
        <v>299</v>
      </c>
      <c r="G6" s="24" t="s">
        <v>242</v>
      </c>
      <c r="H6" s="24" t="s">
        <v>300</v>
      </c>
      <c r="I6" s="24" t="s">
        <v>301</v>
      </c>
      <c r="J6" s="24" t="s">
        <v>302</v>
      </c>
      <c r="L6" s="3" t="s">
        <v>20</v>
      </c>
      <c r="N6" s="7" t="s">
        <v>22</v>
      </c>
      <c r="O6" s="53"/>
      <c r="P6" s="3" t="s">
        <v>23</v>
      </c>
      <c r="Q6" s="52"/>
    </row>
    <row r="7">
      <c r="A7" s="3"/>
      <c r="B7" s="4"/>
      <c r="C7" s="4"/>
      <c r="D7" s="54"/>
      <c r="E7" s="111" t="s">
        <v>241</v>
      </c>
      <c r="F7" s="112" t="s">
        <v>236</v>
      </c>
      <c r="G7" s="112" t="s">
        <v>237</v>
      </c>
      <c r="H7" s="112" t="s">
        <v>238</v>
      </c>
      <c r="I7" s="112" t="s">
        <v>239</v>
      </c>
      <c r="J7" s="5"/>
      <c r="L7" s="3"/>
      <c r="N7" s="7"/>
      <c r="O7" s="52"/>
      <c r="P7" s="3"/>
      <c r="Q7" s="52"/>
    </row>
    <row r="8">
      <c r="A8" s="3" t="s">
        <v>42</v>
      </c>
      <c r="B8" s="4"/>
      <c r="C8" s="4">
        <v>4.5</v>
      </c>
      <c r="D8" s="54">
        <v>5.5</v>
      </c>
      <c r="E8" s="54" t="s">
        <v>194</v>
      </c>
      <c r="F8" s="24">
        <v>8.5</v>
      </c>
      <c r="G8" s="24">
        <v>8.5</v>
      </c>
      <c r="H8" s="24" t="s">
        <v>303</v>
      </c>
      <c r="I8" s="24" t="s">
        <v>304</v>
      </c>
      <c r="J8" s="24" t="s">
        <v>242</v>
      </c>
      <c r="L8" s="3" t="s">
        <v>20</v>
      </c>
      <c r="N8" s="7" t="s">
        <v>22</v>
      </c>
      <c r="O8" s="52"/>
      <c r="P8" s="3" t="s">
        <v>23</v>
      </c>
      <c r="Q8" s="52"/>
    </row>
    <row r="9">
      <c r="E9" s="114" t="s">
        <v>241</v>
      </c>
      <c r="F9" s="115" t="s">
        <v>242</v>
      </c>
      <c r="G9" s="115" t="s">
        <v>242</v>
      </c>
      <c r="H9" s="115" t="s">
        <v>194</v>
      </c>
      <c r="I9" s="115" t="s">
        <v>148</v>
      </c>
      <c r="O9" s="55"/>
      <c r="Q9" s="55"/>
    </row>
    <row r="10">
      <c r="A10" s="3" t="s">
        <v>47</v>
      </c>
      <c r="C10" s="4">
        <v>5.7</v>
      </c>
      <c r="D10" s="4">
        <v>6.5</v>
      </c>
      <c r="E10" s="62">
        <v>7.4</v>
      </c>
      <c r="F10" s="54">
        <v>8.1</v>
      </c>
      <c r="G10" s="54">
        <v>7.7</v>
      </c>
      <c r="H10" s="62">
        <v>7.0</v>
      </c>
      <c r="I10" s="62">
        <v>6.4</v>
      </c>
      <c r="J10" s="62">
        <v>5.0</v>
      </c>
    </row>
    <row r="11">
      <c r="A11" s="3" t="s">
        <v>162</v>
      </c>
      <c r="D11" s="111" t="s">
        <v>241</v>
      </c>
      <c r="E11" s="117">
        <v>7.0</v>
      </c>
      <c r="F11" s="112">
        <v>7.3</v>
      </c>
      <c r="G11" s="112">
        <v>6.2</v>
      </c>
      <c r="H11" s="112">
        <v>5.5</v>
      </c>
      <c r="I11" s="117">
        <v>4.3</v>
      </c>
      <c r="J11" s="112">
        <v>3.8</v>
      </c>
    </row>
    <row r="12">
      <c r="C12" s="10"/>
      <c r="D12" s="10"/>
      <c r="E12" s="10"/>
      <c r="F12" s="10"/>
      <c r="G12" s="10"/>
      <c r="H12" s="10"/>
      <c r="I12" s="10"/>
      <c r="J12" s="10"/>
    </row>
    <row r="13">
      <c r="E13" s="118">
        <v>74.5</v>
      </c>
      <c r="F13" s="118">
        <v>74.2</v>
      </c>
      <c r="G13" s="118">
        <v>76.5</v>
      </c>
      <c r="H13" s="118">
        <v>77.7</v>
      </c>
      <c r="I13" s="118">
        <v>77.7</v>
      </c>
      <c r="J13" s="118">
        <v>76.5</v>
      </c>
      <c r="K13" s="119" t="s">
        <v>305</v>
      </c>
    </row>
    <row r="14">
      <c r="A14" s="3" t="s">
        <v>48</v>
      </c>
      <c r="C14" s="164">
        <v>74.4</v>
      </c>
      <c r="D14" s="164">
        <v>74.2</v>
      </c>
      <c r="E14" s="164">
        <v>73.5</v>
      </c>
      <c r="F14" s="118">
        <v>72.5</v>
      </c>
      <c r="G14" s="118">
        <v>74.7</v>
      </c>
      <c r="H14" s="118">
        <v>77.1</v>
      </c>
      <c r="I14" s="118">
        <v>77.1</v>
      </c>
      <c r="J14" s="118">
        <v>78.7</v>
      </c>
      <c r="K14" s="119" t="s">
        <v>306</v>
      </c>
    </row>
    <row r="15">
      <c r="A15" s="3" t="s">
        <v>15</v>
      </c>
      <c r="B15" s="11"/>
      <c r="C15" s="43">
        <v>74.4</v>
      </c>
      <c r="D15" s="43">
        <v>74.2</v>
      </c>
      <c r="E15" s="43">
        <v>73.5</v>
      </c>
      <c r="F15" s="43">
        <v>72.4</v>
      </c>
      <c r="G15" s="43">
        <v>71.4</v>
      </c>
      <c r="H15" s="43">
        <v>76.4</v>
      </c>
      <c r="I15" s="43">
        <v>78.1</v>
      </c>
      <c r="J15" s="43">
        <v>75.9</v>
      </c>
      <c r="K15" s="3" t="s">
        <v>92</v>
      </c>
    </row>
    <row r="16">
      <c r="A16" s="3"/>
      <c r="B16" s="12"/>
      <c r="C16" s="12"/>
      <c r="D16" s="13"/>
      <c r="E16" s="13"/>
      <c r="F16" s="33" t="s">
        <v>307</v>
      </c>
      <c r="L16" s="13"/>
      <c r="N16" s="165">
        <f>(71.95*2+75)/3</f>
        <v>72.96666667</v>
      </c>
    </row>
    <row r="17">
      <c r="A17" s="3" t="s">
        <v>50</v>
      </c>
      <c r="B17" s="12"/>
      <c r="C17" s="12"/>
      <c r="D17" s="13"/>
      <c r="E17" s="13"/>
      <c r="F17" s="27">
        <v>8.2</v>
      </c>
      <c r="G17" s="62">
        <v>7.0</v>
      </c>
      <c r="H17" s="166">
        <v>44202.0</v>
      </c>
      <c r="I17" s="166">
        <v>44352.0</v>
      </c>
      <c r="J17" s="24">
        <v>4.9</v>
      </c>
      <c r="K17" s="3" t="s">
        <v>308</v>
      </c>
    </row>
    <row r="18">
      <c r="B18" s="12"/>
      <c r="C18" s="12"/>
      <c r="D18" s="13"/>
      <c r="E18" s="13"/>
      <c r="F18" s="27"/>
      <c r="G18" s="5"/>
      <c r="H18" s="14"/>
      <c r="I18" s="14"/>
      <c r="J18" s="4"/>
    </row>
    <row r="19">
      <c r="B19" s="12"/>
      <c r="C19" s="12"/>
      <c r="D19" s="13"/>
      <c r="E19" s="13"/>
      <c r="F19" s="94"/>
      <c r="G19" s="62"/>
      <c r="H19" s="62"/>
      <c r="I19" s="62"/>
      <c r="J19" s="4"/>
    </row>
    <row r="20" hidden="1">
      <c r="B20" s="15" t="s">
        <v>52</v>
      </c>
      <c r="C20" s="16"/>
      <c r="D20" s="16"/>
      <c r="E20" s="16"/>
      <c r="F20" s="17" t="s">
        <v>53</v>
      </c>
      <c r="G20" s="18"/>
      <c r="H20" s="18"/>
      <c r="I20" s="18"/>
      <c r="J20" s="18"/>
      <c r="K20" s="3"/>
    </row>
    <row r="21" hidden="1">
      <c r="A21" s="3"/>
      <c r="B21" s="16" t="s">
        <v>28</v>
      </c>
      <c r="C21" s="16"/>
      <c r="D21" s="16"/>
      <c r="E21" s="16"/>
      <c r="F21" s="20" t="s">
        <v>207</v>
      </c>
      <c r="G21" s="20">
        <v>0.085534</v>
      </c>
      <c r="H21" s="20">
        <v>-0.09657</v>
      </c>
      <c r="I21" s="20">
        <v>-0.074</v>
      </c>
      <c r="J21" s="18"/>
      <c r="K21" s="31" t="s">
        <v>164</v>
      </c>
    </row>
    <row r="22" hidden="1">
      <c r="A22" s="3"/>
      <c r="B22" s="16" t="s">
        <v>55</v>
      </c>
      <c r="C22" s="16"/>
      <c r="D22" s="16"/>
      <c r="E22" s="16"/>
      <c r="F22" s="20" t="s">
        <v>208</v>
      </c>
      <c r="G22" s="20">
        <v>0.0891</v>
      </c>
      <c r="H22" s="20">
        <v>0.015935</v>
      </c>
      <c r="I22" s="20">
        <v>-0.00482</v>
      </c>
      <c r="J22" s="86">
        <v>-0.022</v>
      </c>
      <c r="K22" s="3" t="s">
        <v>56</v>
      </c>
    </row>
    <row r="23" hidden="1">
      <c r="A23" s="3"/>
      <c r="B23" s="16" t="s">
        <v>57</v>
      </c>
      <c r="C23" s="16"/>
      <c r="D23" s="16"/>
      <c r="E23" s="16"/>
      <c r="F23" s="57" t="s">
        <v>209</v>
      </c>
      <c r="G23" s="20">
        <v>0.166436</v>
      </c>
      <c r="H23" s="20">
        <v>-0.21198</v>
      </c>
      <c r="I23" s="20">
        <v>-0.40366</v>
      </c>
      <c r="J23" s="88">
        <v>-0.267</v>
      </c>
      <c r="K23" s="3" t="s">
        <v>56</v>
      </c>
    </row>
    <row r="24" hidden="1">
      <c r="A24" s="3"/>
      <c r="B24" s="16" t="s">
        <v>58</v>
      </c>
      <c r="C24" s="16"/>
      <c r="D24" s="16"/>
      <c r="E24" s="16"/>
      <c r="F24" s="20" t="s">
        <v>210</v>
      </c>
      <c r="G24" s="20">
        <v>0.09644</v>
      </c>
      <c r="H24" s="20">
        <v>-0.01752</v>
      </c>
      <c r="I24" s="20">
        <v>0.090012</v>
      </c>
      <c r="J24" s="88">
        <v>-0.051</v>
      </c>
      <c r="K24" s="3" t="s">
        <v>56</v>
      </c>
    </row>
    <row r="25" hidden="1">
      <c r="A25" s="3"/>
      <c r="B25" s="16" t="s">
        <v>60</v>
      </c>
      <c r="C25" s="16"/>
      <c r="D25" s="16"/>
      <c r="E25" s="16"/>
      <c r="F25" s="20" t="s">
        <v>211</v>
      </c>
      <c r="G25" s="20">
        <v>0.136107</v>
      </c>
      <c r="H25" s="20">
        <v>0.038548</v>
      </c>
      <c r="I25" s="20">
        <v>-0.09601</v>
      </c>
      <c r="J25" s="88">
        <v>-0.099</v>
      </c>
      <c r="K25" s="3" t="s">
        <v>56</v>
      </c>
    </row>
    <row r="26" hidden="1">
      <c r="A26" s="3"/>
      <c r="B26" s="16" t="s">
        <v>62</v>
      </c>
      <c r="C26" s="16"/>
      <c r="D26" s="16"/>
      <c r="E26" s="16"/>
      <c r="F26" s="18">
        <f t="shared" ref="F26:J26" si="1">F49</f>
        <v>71.8</v>
      </c>
      <c r="G26" s="18">
        <f t="shared" si="1"/>
        <v>70.7</v>
      </c>
      <c r="H26" s="18">
        <f t="shared" si="1"/>
        <v>75.6</v>
      </c>
      <c r="I26" s="18">
        <f t="shared" si="1"/>
        <v>77</v>
      </c>
      <c r="J26" s="89">
        <f t="shared" si="1"/>
        <v>75.3</v>
      </c>
      <c r="K26" s="3" t="s">
        <v>63</v>
      </c>
    </row>
    <row r="27" hidden="1">
      <c r="A27" s="3"/>
      <c r="B27" s="16" t="s">
        <v>64</v>
      </c>
      <c r="C27" s="16"/>
      <c r="D27" s="16"/>
      <c r="E27" s="16"/>
      <c r="F27" s="95">
        <v>0.09</v>
      </c>
      <c r="G27" s="20">
        <v>0.08</v>
      </c>
      <c r="H27" s="20">
        <v>0.07</v>
      </c>
      <c r="I27" s="20">
        <v>0.07</v>
      </c>
      <c r="J27" s="86">
        <v>0.07</v>
      </c>
      <c r="K27" s="3" t="s">
        <v>65</v>
      </c>
    </row>
    <row r="28" hidden="1">
      <c r="A28" s="3"/>
      <c r="B28" s="16" t="s">
        <v>66</v>
      </c>
      <c r="C28" s="16"/>
      <c r="D28" s="16"/>
      <c r="E28" s="16"/>
      <c r="F28" s="21">
        <v>0.042</v>
      </c>
      <c r="G28" s="21">
        <v>0.042</v>
      </c>
      <c r="H28" s="21">
        <v>0.042</v>
      </c>
      <c r="I28" s="21">
        <v>0.042</v>
      </c>
      <c r="J28" s="88">
        <v>0.042</v>
      </c>
      <c r="K28" s="3" t="s">
        <v>67</v>
      </c>
    </row>
    <row r="29" hidden="1">
      <c r="A29" s="3"/>
      <c r="B29" s="16" t="s">
        <v>68</v>
      </c>
      <c r="C29" s="16"/>
      <c r="D29" s="16"/>
      <c r="E29" s="16"/>
      <c r="F29" s="21">
        <v>0.024</v>
      </c>
      <c r="G29" s="21">
        <v>0.024</v>
      </c>
      <c r="H29" s="21">
        <v>0.024</v>
      </c>
      <c r="I29" s="21">
        <v>0.024</v>
      </c>
      <c r="J29" s="88">
        <v>0.024</v>
      </c>
      <c r="K29" s="3" t="s">
        <v>67</v>
      </c>
    </row>
    <row r="31">
      <c r="A31" s="31" t="s">
        <v>245</v>
      </c>
      <c r="B31" s="3"/>
      <c r="C31" s="3"/>
      <c r="D31" s="3"/>
      <c r="F31" s="4"/>
      <c r="G31" s="4"/>
      <c r="H31" s="4"/>
      <c r="I31" s="4"/>
      <c r="J31" s="4"/>
      <c r="K31" s="3"/>
      <c r="L31" s="3"/>
      <c r="M31" s="3"/>
    </row>
    <row r="32">
      <c r="A32" s="3" t="s">
        <v>28</v>
      </c>
      <c r="B32" s="10" t="s">
        <v>69</v>
      </c>
      <c r="C32" s="167">
        <v>61.0</v>
      </c>
      <c r="D32" s="167">
        <v>69.0</v>
      </c>
      <c r="E32" s="167">
        <v>73.0</v>
      </c>
      <c r="F32" s="121">
        <v>79.0</v>
      </c>
      <c r="G32" s="121">
        <v>74.0</v>
      </c>
      <c r="H32" s="121">
        <v>69.0</v>
      </c>
      <c r="I32" s="121">
        <v>66.0</v>
      </c>
      <c r="J32" s="121">
        <v>60.0</v>
      </c>
      <c r="K32" s="122" t="s">
        <v>247</v>
      </c>
      <c r="N32" s="35">
        <f t="shared" ref="N32:N33" si="2">AVERAGE(C32:F32)</f>
        <v>70.5</v>
      </c>
      <c r="O32" s="35">
        <f t="shared" ref="O32:O33" si="3">AVERAGE(G32:J32)</f>
        <v>67.25</v>
      </c>
    </row>
    <row r="33">
      <c r="A33" s="22" t="s">
        <v>74</v>
      </c>
      <c r="B33" s="10" t="s">
        <v>75</v>
      </c>
      <c r="C33" s="97">
        <v>170.0</v>
      </c>
      <c r="D33" s="97">
        <v>201.0</v>
      </c>
      <c r="E33" s="97">
        <v>268.0</v>
      </c>
      <c r="F33" s="97">
        <v>463.0</v>
      </c>
      <c r="G33" s="97">
        <v>455.0</v>
      </c>
      <c r="H33" s="97">
        <v>281.0</v>
      </c>
      <c r="I33" s="97">
        <v>249.0</v>
      </c>
      <c r="J33" s="97">
        <v>256.0</v>
      </c>
      <c r="K33" s="3" t="s">
        <v>309</v>
      </c>
      <c r="N33" s="35">
        <f t="shared" si="2"/>
        <v>275.5</v>
      </c>
      <c r="O33" s="35">
        <f t="shared" si="3"/>
        <v>310.25</v>
      </c>
    </row>
    <row r="34">
      <c r="A34" s="22" t="s">
        <v>74</v>
      </c>
      <c r="B34" s="10" t="s">
        <v>248</v>
      </c>
      <c r="C34" s="123">
        <f t="shared" ref="C34:J34" si="4">C33/35.3</f>
        <v>4.815864023</v>
      </c>
      <c r="D34" s="123">
        <f t="shared" si="4"/>
        <v>5.694050992</v>
      </c>
      <c r="E34" s="123">
        <f t="shared" si="4"/>
        <v>7.592067989</v>
      </c>
      <c r="F34" s="123">
        <f t="shared" si="4"/>
        <v>13.11614731</v>
      </c>
      <c r="G34" s="123">
        <f t="shared" si="4"/>
        <v>12.88951841</v>
      </c>
      <c r="H34" s="123">
        <f t="shared" si="4"/>
        <v>7.960339943</v>
      </c>
      <c r="I34" s="123">
        <f t="shared" si="4"/>
        <v>7.053824363</v>
      </c>
      <c r="J34" s="123">
        <f t="shared" si="4"/>
        <v>7.252124646</v>
      </c>
      <c r="K34" s="3" t="s">
        <v>309</v>
      </c>
      <c r="L34" s="124"/>
      <c r="M34" s="124"/>
    </row>
    <row r="35">
      <c r="A35" s="3" t="s">
        <v>249</v>
      </c>
      <c r="B35" s="10" t="s">
        <v>248</v>
      </c>
      <c r="C35" s="11">
        <v>6.8</v>
      </c>
      <c r="D35" s="11">
        <v>8.7</v>
      </c>
      <c r="E35" s="11">
        <v>16.9</v>
      </c>
      <c r="F35" s="11">
        <v>30.0</v>
      </c>
      <c r="G35" s="11">
        <v>30.0</v>
      </c>
      <c r="H35" s="11">
        <v>13.0</v>
      </c>
      <c r="I35" s="11">
        <v>10.0</v>
      </c>
      <c r="J35" s="11">
        <v>11.0</v>
      </c>
      <c r="K35" s="125" t="s">
        <v>250</v>
      </c>
    </row>
    <row r="36">
      <c r="A36" s="3"/>
      <c r="B36" s="10"/>
      <c r="C36" s="126"/>
      <c r="D36" s="126"/>
      <c r="E36" s="126"/>
      <c r="F36" s="11">
        <v>30.0</v>
      </c>
      <c r="G36" s="11">
        <v>29.0</v>
      </c>
      <c r="H36" s="11">
        <v>15.0</v>
      </c>
      <c r="I36" s="11">
        <v>14.0</v>
      </c>
      <c r="J36" s="11">
        <v>15.0</v>
      </c>
      <c r="K36" s="127" t="s">
        <v>251</v>
      </c>
    </row>
    <row r="37">
      <c r="A37" s="3" t="s">
        <v>252</v>
      </c>
      <c r="B37" s="10" t="s">
        <v>248</v>
      </c>
      <c r="C37" s="128">
        <f t="shared" ref="C37:J37" si="5">14%*C32</f>
        <v>8.54</v>
      </c>
      <c r="D37" s="128">
        <f t="shared" si="5"/>
        <v>9.66</v>
      </c>
      <c r="E37" s="128">
        <f t="shared" si="5"/>
        <v>10.22</v>
      </c>
      <c r="F37" s="128">
        <f t="shared" si="5"/>
        <v>11.06</v>
      </c>
      <c r="G37" s="128">
        <f t="shared" si="5"/>
        <v>10.36</v>
      </c>
      <c r="H37" s="128">
        <f t="shared" si="5"/>
        <v>9.66</v>
      </c>
      <c r="I37" s="128">
        <f t="shared" si="5"/>
        <v>9.24</v>
      </c>
      <c r="J37" s="128">
        <f t="shared" si="5"/>
        <v>8.4</v>
      </c>
      <c r="K37" s="127" t="s">
        <v>253</v>
      </c>
    </row>
    <row r="38">
      <c r="A38" s="3" t="s">
        <v>254</v>
      </c>
      <c r="B38" s="10" t="s">
        <v>248</v>
      </c>
      <c r="C38" s="128">
        <f>0.8*C35 + 0.2*C37</f>
        <v>7.148</v>
      </c>
      <c r="D38" s="128">
        <f t="shared" ref="D38:J38" si="6">0.8*D35+0.2*D37</f>
        <v>8.892</v>
      </c>
      <c r="E38" s="128">
        <f t="shared" si="6"/>
        <v>15.564</v>
      </c>
      <c r="F38" s="128">
        <f t="shared" si="6"/>
        <v>26.212</v>
      </c>
      <c r="G38" s="128">
        <f t="shared" si="6"/>
        <v>26.072</v>
      </c>
      <c r="H38" s="128">
        <f t="shared" si="6"/>
        <v>12.332</v>
      </c>
      <c r="I38" s="128">
        <f t="shared" si="6"/>
        <v>9.848</v>
      </c>
      <c r="J38" s="128">
        <f t="shared" si="6"/>
        <v>10.48</v>
      </c>
      <c r="K38" s="127" t="s">
        <v>255</v>
      </c>
      <c r="L38" s="22"/>
    </row>
    <row r="39">
      <c r="A39" s="129" t="s">
        <v>256</v>
      </c>
      <c r="B39" s="130"/>
      <c r="C39" s="131">
        <f t="shared" ref="C39:J39" si="7">C38-C34</f>
        <v>2.332135977</v>
      </c>
      <c r="D39" s="131">
        <f t="shared" si="7"/>
        <v>3.197949008</v>
      </c>
      <c r="E39" s="131">
        <f t="shared" si="7"/>
        <v>7.971932011</v>
      </c>
      <c r="F39" s="131">
        <f t="shared" si="7"/>
        <v>13.09585269</v>
      </c>
      <c r="G39" s="131">
        <f t="shared" si="7"/>
        <v>13.18248159</v>
      </c>
      <c r="H39" s="131">
        <f t="shared" si="7"/>
        <v>4.371660057</v>
      </c>
      <c r="I39" s="131">
        <f t="shared" si="7"/>
        <v>2.794175637</v>
      </c>
      <c r="J39" s="131">
        <f t="shared" si="7"/>
        <v>3.227875354</v>
      </c>
      <c r="K39" s="129" t="s">
        <v>257</v>
      </c>
      <c r="L39" s="130"/>
      <c r="M39" s="130"/>
      <c r="N39" s="130"/>
      <c r="O39" s="130"/>
      <c r="P39" s="130"/>
      <c r="Q39" s="130"/>
      <c r="R39" s="130"/>
      <c r="S39" s="130"/>
      <c r="T39" s="130"/>
      <c r="U39" s="130"/>
      <c r="V39" s="130"/>
      <c r="W39" s="130"/>
      <c r="X39" s="130"/>
      <c r="Y39" s="130"/>
      <c r="Z39" s="130"/>
      <c r="AA39" s="130"/>
      <c r="AB39" s="130"/>
      <c r="AC39" s="130"/>
      <c r="AD39" s="130"/>
      <c r="AE39" s="130"/>
    </row>
    <row r="41">
      <c r="A41" s="22" t="s">
        <v>76</v>
      </c>
      <c r="B41" s="10" t="s">
        <v>77</v>
      </c>
      <c r="C41" s="97">
        <v>1038.0</v>
      </c>
      <c r="D41" s="97">
        <v>1394.0</v>
      </c>
      <c r="E41" s="97">
        <v>1785.0</v>
      </c>
      <c r="F41" s="97">
        <v>1833.0</v>
      </c>
      <c r="G41" s="97">
        <v>1538.0</v>
      </c>
      <c r="H41" s="97">
        <v>1299.0</v>
      </c>
      <c r="I41" s="97">
        <v>1299.0</v>
      </c>
      <c r="J41" s="97">
        <v>979.0</v>
      </c>
      <c r="K41" s="3" t="s">
        <v>54</v>
      </c>
      <c r="N41" s="35">
        <f>AVERAGE(C41:F41)</f>
        <v>1512.5</v>
      </c>
      <c r="O41" s="35">
        <f>AVERAGE(G41:J41)</f>
        <v>1278.75</v>
      </c>
    </row>
    <row r="42">
      <c r="A42" s="132"/>
      <c r="B42" s="132"/>
      <c r="C42" s="133"/>
      <c r="D42" s="133"/>
      <c r="E42" s="133"/>
      <c r="F42" s="133"/>
      <c r="G42" s="133"/>
      <c r="H42" s="133"/>
      <c r="I42" s="133"/>
      <c r="J42" s="133"/>
      <c r="K42" s="134"/>
      <c r="L42" s="134"/>
      <c r="M42" s="134"/>
      <c r="N42" s="134"/>
      <c r="O42" s="134"/>
      <c r="P42" s="134"/>
      <c r="Q42" s="134"/>
      <c r="R42" s="134"/>
      <c r="S42" s="134"/>
      <c r="T42" s="134"/>
      <c r="U42" s="134"/>
      <c r="V42" s="134"/>
      <c r="W42" s="134"/>
      <c r="X42" s="134"/>
      <c r="Y42" s="134"/>
      <c r="Z42" s="134"/>
      <c r="AA42" s="134"/>
      <c r="AB42" s="134"/>
      <c r="AC42" s="134"/>
      <c r="AD42" s="134"/>
      <c r="AE42" s="134"/>
    </row>
    <row r="43">
      <c r="A43" s="3" t="s">
        <v>78</v>
      </c>
      <c r="B43" s="12" t="s">
        <v>79</v>
      </c>
      <c r="C43" s="167">
        <v>99.3</v>
      </c>
      <c r="D43" s="167">
        <v>110.3</v>
      </c>
      <c r="E43" s="97">
        <v>104.4</v>
      </c>
      <c r="F43" s="97">
        <v>102.7</v>
      </c>
      <c r="G43" s="97">
        <v>100.4</v>
      </c>
      <c r="H43" s="97">
        <v>103.5</v>
      </c>
      <c r="I43" s="97">
        <v>100.4</v>
      </c>
      <c r="J43" s="97">
        <v>103.5</v>
      </c>
      <c r="N43" s="35">
        <f t="shared" ref="N43:N45" si="8">AVERAGE(C43:F43)</f>
        <v>104.175</v>
      </c>
      <c r="O43" s="35">
        <f t="shared" ref="O43:O45" si="9">AVERAGE(G43:J43)</f>
        <v>101.95</v>
      </c>
    </row>
    <row r="44">
      <c r="A44" s="3" t="s">
        <v>80</v>
      </c>
      <c r="B44" s="3" t="s">
        <v>79</v>
      </c>
      <c r="C44" s="167">
        <v>97.2</v>
      </c>
      <c r="D44" s="167">
        <v>127.0</v>
      </c>
      <c r="E44" s="97">
        <v>109.0</v>
      </c>
      <c r="F44" s="97">
        <v>105.0</v>
      </c>
      <c r="G44" s="97">
        <v>102.0</v>
      </c>
      <c r="H44" s="97">
        <v>102.0</v>
      </c>
      <c r="I44" s="97">
        <v>102.0</v>
      </c>
      <c r="J44" s="97">
        <v>102.0</v>
      </c>
      <c r="N44" s="35">
        <f t="shared" si="8"/>
        <v>109.55</v>
      </c>
      <c r="O44" s="35">
        <f t="shared" si="9"/>
        <v>102</v>
      </c>
    </row>
    <row r="45">
      <c r="A45" s="3" t="s">
        <v>81</v>
      </c>
      <c r="B45" s="3" t="s">
        <v>79</v>
      </c>
      <c r="C45" s="97">
        <v>105.5</v>
      </c>
      <c r="D45" s="97">
        <v>106.0</v>
      </c>
      <c r="E45" s="97">
        <v>106.9</v>
      </c>
      <c r="F45" s="97">
        <v>108.0</v>
      </c>
      <c r="G45" s="97">
        <v>107.2</v>
      </c>
      <c r="H45" s="97">
        <v>106.4</v>
      </c>
      <c r="I45" s="97">
        <v>105.6</v>
      </c>
      <c r="J45" s="97">
        <v>104.4</v>
      </c>
      <c r="K45" s="3" t="s">
        <v>310</v>
      </c>
      <c r="N45" s="35">
        <f t="shared" si="8"/>
        <v>106.6</v>
      </c>
      <c r="O45" s="35">
        <f t="shared" si="9"/>
        <v>105.9</v>
      </c>
    </row>
    <row r="46">
      <c r="A46" s="3" t="s">
        <v>259</v>
      </c>
      <c r="B46" s="3" t="s">
        <v>260</v>
      </c>
      <c r="C46" s="168">
        <v>23.0</v>
      </c>
      <c r="D46" s="168">
        <v>18.0</v>
      </c>
      <c r="E46" s="168">
        <v>41.0</v>
      </c>
      <c r="F46" s="168">
        <v>50.0</v>
      </c>
      <c r="G46" s="168">
        <v>59.0</v>
      </c>
      <c r="H46" s="168">
        <v>29.0</v>
      </c>
      <c r="I46" s="168">
        <v>32.0</v>
      </c>
      <c r="J46" s="168">
        <v>33.0</v>
      </c>
    </row>
    <row r="49">
      <c r="A49" s="3" t="s">
        <v>137</v>
      </c>
      <c r="B49" s="11"/>
      <c r="C49" s="33">
        <v>74.4</v>
      </c>
      <c r="D49" s="33">
        <v>73.6</v>
      </c>
      <c r="E49" s="33">
        <v>72.8</v>
      </c>
      <c r="F49" s="33">
        <v>71.8</v>
      </c>
      <c r="G49" s="33">
        <v>70.7</v>
      </c>
      <c r="H49" s="33">
        <v>75.6</v>
      </c>
      <c r="I49" s="33">
        <v>77.0</v>
      </c>
      <c r="J49" s="33">
        <v>75.3</v>
      </c>
      <c r="K49" s="169" t="s">
        <v>311</v>
      </c>
    </row>
    <row r="53">
      <c r="C53" s="35">
        <f t="shared" ref="C53:J53" si="10">VALUE(MID(C3,1,2))</f>
        <v>72</v>
      </c>
      <c r="D53" s="35">
        <f t="shared" si="10"/>
        <v>72</v>
      </c>
      <c r="E53" s="35">
        <f t="shared" si="10"/>
        <v>71</v>
      </c>
      <c r="F53" s="35">
        <f t="shared" si="10"/>
        <v>71</v>
      </c>
      <c r="G53" s="35">
        <f t="shared" si="10"/>
        <v>69</v>
      </c>
      <c r="H53" s="35">
        <f t="shared" si="10"/>
        <v>72</v>
      </c>
      <c r="I53" s="35">
        <f t="shared" si="10"/>
        <v>73</v>
      </c>
      <c r="J53" s="35">
        <f t="shared" si="10"/>
        <v>73</v>
      </c>
    </row>
    <row r="54">
      <c r="C54" s="35">
        <f t="shared" ref="C54:J54" si="11">VALUE(MID(C4,1,2))</f>
        <v>87</v>
      </c>
      <c r="D54" s="35">
        <f t="shared" si="11"/>
        <v>87</v>
      </c>
      <c r="E54" s="35">
        <f t="shared" si="11"/>
        <v>85</v>
      </c>
      <c r="F54" s="35">
        <f t="shared" si="11"/>
        <v>81</v>
      </c>
      <c r="G54" s="35">
        <f t="shared" si="11"/>
        <v>79</v>
      </c>
      <c r="H54" s="35">
        <f t="shared" si="11"/>
        <v>82</v>
      </c>
      <c r="I54" s="35">
        <f t="shared" si="11"/>
        <v>83</v>
      </c>
      <c r="J54" s="35">
        <f t="shared" si="11"/>
        <v>83</v>
      </c>
    </row>
    <row r="55">
      <c r="C55" s="35">
        <f t="shared" ref="C55:J55" si="12">VALUE(MID(C3,4,2))</f>
        <v>77</v>
      </c>
      <c r="D55" s="35">
        <f t="shared" si="12"/>
        <v>77</v>
      </c>
      <c r="E55" s="35">
        <f t="shared" si="12"/>
        <v>76</v>
      </c>
      <c r="F55" s="35">
        <f t="shared" si="12"/>
        <v>75</v>
      </c>
      <c r="G55" s="35">
        <f t="shared" si="12"/>
        <v>74</v>
      </c>
      <c r="H55" s="35">
        <f t="shared" si="12"/>
        <v>77</v>
      </c>
      <c r="I55" s="35">
        <f t="shared" si="12"/>
        <v>78</v>
      </c>
      <c r="J55" s="35">
        <f t="shared" si="12"/>
        <v>78</v>
      </c>
    </row>
    <row r="56">
      <c r="C56" s="35">
        <f t="shared" ref="C56:J56" si="13">VALUE(MID(C4,4,2))</f>
        <v>92</v>
      </c>
      <c r="D56" s="35">
        <f t="shared" si="13"/>
        <v>92</v>
      </c>
      <c r="E56" s="35">
        <f t="shared" si="13"/>
        <v>90</v>
      </c>
      <c r="F56" s="35">
        <f t="shared" si="13"/>
        <v>85</v>
      </c>
      <c r="G56" s="35">
        <f t="shared" si="13"/>
        <v>84</v>
      </c>
      <c r="H56" s="35">
        <f t="shared" si="13"/>
        <v>87</v>
      </c>
      <c r="I56" s="35">
        <f t="shared" si="13"/>
        <v>88</v>
      </c>
      <c r="J56" s="35">
        <f t="shared" si="13"/>
        <v>88</v>
      </c>
    </row>
    <row r="57">
      <c r="C57" s="35">
        <f t="shared" ref="C57:J57" si="14">AVERAGE(C53,C55)</f>
        <v>74.5</v>
      </c>
      <c r="D57" s="35">
        <f t="shared" si="14"/>
        <v>74.5</v>
      </c>
      <c r="E57" s="35">
        <f t="shared" si="14"/>
        <v>73.5</v>
      </c>
      <c r="F57" s="35">
        <f t="shared" si="14"/>
        <v>73</v>
      </c>
      <c r="G57" s="35">
        <f t="shared" si="14"/>
        <v>71.5</v>
      </c>
      <c r="H57" s="35">
        <f t="shared" si="14"/>
        <v>74.5</v>
      </c>
      <c r="I57" s="35">
        <f t="shared" si="14"/>
        <v>75.5</v>
      </c>
      <c r="J57" s="35">
        <f t="shared" si="14"/>
        <v>75.5</v>
      </c>
    </row>
    <row r="58">
      <c r="C58" s="35">
        <f t="shared" ref="C58:J58" si="15">AVERAGE(C54,C56)</f>
        <v>89.5</v>
      </c>
      <c r="D58" s="35">
        <f t="shared" si="15"/>
        <v>89.5</v>
      </c>
      <c r="E58" s="35">
        <f t="shared" si="15"/>
        <v>87.5</v>
      </c>
      <c r="F58" s="35">
        <f t="shared" si="15"/>
        <v>83</v>
      </c>
      <c r="G58" s="35">
        <f t="shared" si="15"/>
        <v>81.5</v>
      </c>
      <c r="H58" s="35">
        <f t="shared" si="15"/>
        <v>84.5</v>
      </c>
      <c r="I58" s="35">
        <f t="shared" si="15"/>
        <v>85.5</v>
      </c>
      <c r="J58" s="35">
        <f t="shared" si="15"/>
        <v>85.5</v>
      </c>
    </row>
    <row r="59">
      <c r="A59" s="3" t="s">
        <v>151</v>
      </c>
      <c r="C59" s="59">
        <f t="shared" ref="C59:J59" si="16">C58/C57</f>
        <v>1.201342282</v>
      </c>
      <c r="D59" s="59">
        <f t="shared" si="16"/>
        <v>1.201342282</v>
      </c>
      <c r="E59" s="59">
        <f t="shared" si="16"/>
        <v>1.19047619</v>
      </c>
      <c r="F59" s="59">
        <f t="shared" si="16"/>
        <v>1.136986301</v>
      </c>
      <c r="G59" s="59">
        <f t="shared" si="16"/>
        <v>1.13986014</v>
      </c>
      <c r="H59" s="59">
        <f t="shared" si="16"/>
        <v>1.134228188</v>
      </c>
      <c r="I59" s="59">
        <f t="shared" si="16"/>
        <v>1.132450331</v>
      </c>
      <c r="J59" s="59">
        <f t="shared" si="16"/>
        <v>1.132450331</v>
      </c>
    </row>
    <row r="63">
      <c r="A63" s="66"/>
      <c r="B63" s="66"/>
      <c r="C63" s="66"/>
      <c r="D63" s="66"/>
      <c r="E63" s="66"/>
      <c r="F63" s="66"/>
      <c r="G63" s="66"/>
      <c r="H63" s="66"/>
      <c r="I63" s="66"/>
      <c r="J63" s="66"/>
      <c r="K63" s="66"/>
      <c r="L63" s="66"/>
      <c r="M63" s="66"/>
      <c r="N63" s="66"/>
      <c r="O63" s="66"/>
    </row>
    <row r="64">
      <c r="A64" s="66"/>
      <c r="B64" s="18" t="s">
        <v>167</v>
      </c>
      <c r="C64" s="18" t="s">
        <v>168</v>
      </c>
      <c r="D64" s="67" t="s">
        <v>169</v>
      </c>
      <c r="E64" s="18" t="s">
        <v>170</v>
      </c>
      <c r="F64" s="18" t="s">
        <v>171</v>
      </c>
      <c r="G64" s="67" t="s">
        <v>172</v>
      </c>
      <c r="H64" s="18" t="s">
        <v>173</v>
      </c>
      <c r="I64" s="18" t="s">
        <v>174</v>
      </c>
      <c r="J64" s="67" t="s">
        <v>175</v>
      </c>
      <c r="K64" s="18" t="s">
        <v>176</v>
      </c>
      <c r="L64" s="18" t="s">
        <v>177</v>
      </c>
      <c r="M64" s="67" t="s">
        <v>178</v>
      </c>
      <c r="N64" s="66"/>
      <c r="O64" s="66"/>
    </row>
    <row r="65">
      <c r="A65" s="68">
        <v>2021.0</v>
      </c>
      <c r="B65" s="69">
        <v>0.67</v>
      </c>
      <c r="C65" s="69">
        <v>0.78</v>
      </c>
      <c r="D65" s="69">
        <v>0.66</v>
      </c>
      <c r="E65" s="69">
        <v>0.58</v>
      </c>
      <c r="F65" s="69">
        <v>0.74</v>
      </c>
      <c r="G65" s="69">
        <v>0.69</v>
      </c>
      <c r="H65" s="98">
        <v>0.31</v>
      </c>
      <c r="I65" s="98">
        <v>0.17</v>
      </c>
      <c r="J65" s="98">
        <v>0.6</v>
      </c>
      <c r="K65" s="170">
        <v>1.11</v>
      </c>
      <c r="L65" s="71">
        <v>0.7</v>
      </c>
      <c r="M65" s="72">
        <v>0.8</v>
      </c>
      <c r="N65" s="73"/>
      <c r="O65" s="74"/>
    </row>
    <row r="66">
      <c r="A66" s="75" t="s">
        <v>179</v>
      </c>
      <c r="B66" s="91">
        <v>5.19</v>
      </c>
      <c r="C66" s="76">
        <v>5.67</v>
      </c>
      <c r="D66" s="76">
        <v>5.79</v>
      </c>
      <c r="E66" s="76">
        <v>5.53</v>
      </c>
      <c r="F66" s="76">
        <v>6.02</v>
      </c>
      <c r="G66" s="76">
        <v>6.5</v>
      </c>
      <c r="H66" s="77">
        <v>6.46</v>
      </c>
      <c r="I66" s="77">
        <v>6.68</v>
      </c>
      <c r="J66" s="135">
        <v>7.4</v>
      </c>
      <c r="K66" s="135">
        <v>8.13</v>
      </c>
      <c r="L66" s="77">
        <v>8.13</v>
      </c>
      <c r="M66" s="171">
        <v>8.1</v>
      </c>
      <c r="N66" s="79"/>
      <c r="O66" s="80">
        <v>2021.0</v>
      </c>
    </row>
    <row r="67">
      <c r="A67" s="66"/>
      <c r="B67" s="66"/>
      <c r="C67" s="66"/>
      <c r="D67" s="66"/>
      <c r="E67" s="66"/>
      <c r="F67" s="66"/>
      <c r="G67" s="66"/>
      <c r="H67" s="66"/>
      <c r="I67" s="66"/>
      <c r="J67" s="66"/>
      <c r="K67" s="66"/>
      <c r="L67" s="66"/>
      <c r="M67" s="66"/>
      <c r="N67" s="81"/>
    </row>
    <row r="68">
      <c r="A68" s="18" t="s">
        <v>181</v>
      </c>
      <c r="B68" s="18">
        <v>0.6</v>
      </c>
      <c r="C68" s="18">
        <v>0.4</v>
      </c>
      <c r="D68" s="18">
        <v>0.5</v>
      </c>
      <c r="E68" s="18">
        <v>0.4</v>
      </c>
      <c r="F68" s="18">
        <v>0.4</v>
      </c>
      <c r="G68" s="18">
        <v>0.4</v>
      </c>
      <c r="H68" s="18">
        <v>0.5</v>
      </c>
      <c r="I68" s="18">
        <v>0.0</v>
      </c>
      <c r="J68" s="18">
        <v>0.2</v>
      </c>
      <c r="K68" s="18">
        <v>0.4</v>
      </c>
      <c r="L68" s="18">
        <v>0.5</v>
      </c>
      <c r="M68" s="18">
        <v>0.5</v>
      </c>
      <c r="N68" s="66"/>
      <c r="O68" s="66"/>
    </row>
    <row r="69">
      <c r="A69" s="18" t="s">
        <v>182</v>
      </c>
      <c r="B69" s="18">
        <v>0.5</v>
      </c>
      <c r="C69" s="18">
        <v>0.3</v>
      </c>
      <c r="D69" s="18">
        <v>0.3</v>
      </c>
      <c r="E69" s="18">
        <v>0.4</v>
      </c>
      <c r="F69" s="18">
        <v>0.4</v>
      </c>
      <c r="G69" s="18">
        <v>0.4</v>
      </c>
      <c r="H69" s="18">
        <v>0.2</v>
      </c>
      <c r="I69" s="82">
        <v>-0.1</v>
      </c>
      <c r="J69" s="82">
        <v>-0.1</v>
      </c>
      <c r="K69" s="18">
        <v>0.3</v>
      </c>
      <c r="L69" s="18">
        <v>0.4</v>
      </c>
      <c r="M69" s="18">
        <v>0.6</v>
      </c>
      <c r="N69" s="66"/>
      <c r="O69" s="66"/>
    </row>
    <row r="70">
      <c r="A70" s="66"/>
      <c r="B70" s="18" t="s">
        <v>183</v>
      </c>
      <c r="C70" s="18" t="s">
        <v>184</v>
      </c>
      <c r="D70" s="18" t="s">
        <v>169</v>
      </c>
      <c r="E70" s="18" t="s">
        <v>185</v>
      </c>
      <c r="F70" s="18" t="s">
        <v>186</v>
      </c>
      <c r="G70" s="18" t="s">
        <v>172</v>
      </c>
      <c r="H70" s="18" t="s">
        <v>187</v>
      </c>
      <c r="I70" s="18" t="s">
        <v>188</v>
      </c>
      <c r="J70" s="18" t="s">
        <v>175</v>
      </c>
      <c r="K70" s="18" t="s">
        <v>189</v>
      </c>
      <c r="L70" s="18" t="s">
        <v>190</v>
      </c>
      <c r="M70" s="18" t="s">
        <v>178</v>
      </c>
      <c r="N70" s="66"/>
      <c r="O70" s="66"/>
    </row>
    <row r="71">
      <c r="A71" s="66"/>
      <c r="B71" s="66"/>
      <c r="C71" s="66"/>
      <c r="D71" s="66"/>
      <c r="E71" s="66"/>
      <c r="F71" s="66"/>
      <c r="G71" s="66"/>
      <c r="H71" s="66"/>
      <c r="I71" s="66"/>
      <c r="J71" s="66"/>
      <c r="K71" s="66"/>
      <c r="L71" s="66"/>
      <c r="M71" s="66"/>
      <c r="N71" s="66"/>
      <c r="O71" s="66"/>
    </row>
    <row r="72">
      <c r="A72" s="66"/>
      <c r="B72" s="66"/>
      <c r="C72" s="66"/>
      <c r="D72" s="66"/>
      <c r="E72" s="66"/>
      <c r="F72" s="66"/>
      <c r="G72" s="66"/>
      <c r="H72" s="66"/>
      <c r="I72" s="66"/>
      <c r="J72" s="66"/>
      <c r="K72" s="66"/>
      <c r="L72" s="66"/>
      <c r="M72" s="66"/>
      <c r="N72" s="66"/>
      <c r="O72" s="66"/>
    </row>
    <row r="73">
      <c r="A73" s="66"/>
      <c r="B73" s="18" t="s">
        <v>167</v>
      </c>
      <c r="C73" s="18" t="s">
        <v>168</v>
      </c>
      <c r="D73" s="83" t="s">
        <v>169</v>
      </c>
      <c r="E73" s="18" t="s">
        <v>170</v>
      </c>
      <c r="F73" s="18" t="s">
        <v>171</v>
      </c>
      <c r="G73" s="83" t="s">
        <v>172</v>
      </c>
      <c r="H73" s="18" t="s">
        <v>173</v>
      </c>
      <c r="I73" s="18" t="s">
        <v>174</v>
      </c>
      <c r="J73" s="83" t="s">
        <v>175</v>
      </c>
      <c r="K73" s="18" t="s">
        <v>176</v>
      </c>
      <c r="L73" s="18" t="s">
        <v>177</v>
      </c>
      <c r="M73" s="83" t="s">
        <v>178</v>
      </c>
      <c r="N73" s="66"/>
      <c r="O73" s="66"/>
    </row>
    <row r="74">
      <c r="A74" s="68">
        <v>2022.0</v>
      </c>
      <c r="B74" s="70">
        <v>0.7</v>
      </c>
      <c r="C74" s="70">
        <v>0.5</v>
      </c>
      <c r="D74" s="70">
        <v>0.5</v>
      </c>
      <c r="E74" s="70">
        <v>0.5</v>
      </c>
      <c r="F74" s="70">
        <v>0.4</v>
      </c>
      <c r="G74" s="70">
        <v>0.5</v>
      </c>
      <c r="H74" s="71">
        <v>0.4</v>
      </c>
      <c r="I74" s="71">
        <v>0.0</v>
      </c>
      <c r="J74" s="71">
        <v>0.1</v>
      </c>
      <c r="K74" s="71">
        <v>0.4</v>
      </c>
      <c r="L74" s="71">
        <v>0.4</v>
      </c>
      <c r="M74" s="72">
        <v>0.5</v>
      </c>
      <c r="N74" s="66"/>
      <c r="O74" s="66"/>
    </row>
    <row r="75">
      <c r="A75" s="75" t="s">
        <v>179</v>
      </c>
      <c r="B75" s="91">
        <v>8.13</v>
      </c>
      <c r="C75" s="76">
        <v>7.83</v>
      </c>
      <c r="D75" s="76">
        <v>7.66</v>
      </c>
      <c r="E75" s="76">
        <v>7.57</v>
      </c>
      <c r="F75" s="76">
        <v>7.2</v>
      </c>
      <c r="G75" s="76">
        <v>7.0</v>
      </c>
      <c r="H75" s="77">
        <v>7.1</v>
      </c>
      <c r="I75" s="77">
        <v>6.92</v>
      </c>
      <c r="J75" s="77">
        <v>6.38</v>
      </c>
      <c r="K75" s="77">
        <v>5.64</v>
      </c>
      <c r="L75" s="77">
        <v>5.32</v>
      </c>
      <c r="M75" s="78">
        <v>5.01</v>
      </c>
      <c r="N75" s="79"/>
      <c r="O75" s="80">
        <v>2022.0</v>
      </c>
    </row>
    <row r="81">
      <c r="A81" s="3" t="s">
        <v>312</v>
      </c>
      <c r="C81" s="97">
        <v>74.4</v>
      </c>
      <c r="D81" s="97">
        <v>74.2</v>
      </c>
      <c r="E81" s="97">
        <v>73.5</v>
      </c>
      <c r="F81" s="97">
        <v>72.4</v>
      </c>
      <c r="G81" s="97">
        <v>72.1</v>
      </c>
      <c r="H81" s="97">
        <v>75.1</v>
      </c>
      <c r="I81" s="97">
        <v>76.7</v>
      </c>
      <c r="J81" s="97">
        <v>74.3</v>
      </c>
      <c r="K81" s="169" t="s">
        <v>313</v>
      </c>
    </row>
    <row r="82">
      <c r="A82" s="3" t="s">
        <v>314</v>
      </c>
      <c r="C82" s="97">
        <v>74.4</v>
      </c>
      <c r="D82" s="97">
        <v>74.2</v>
      </c>
      <c r="E82" s="97">
        <v>73.5</v>
      </c>
      <c r="F82" s="97">
        <v>72.4</v>
      </c>
      <c r="G82" s="97">
        <v>79.1</v>
      </c>
      <c r="H82" s="97">
        <v>82.9</v>
      </c>
      <c r="I82" s="97">
        <v>79.9</v>
      </c>
      <c r="J82" s="97">
        <v>78.7</v>
      </c>
      <c r="K82" s="169" t="s">
        <v>315</v>
      </c>
    </row>
  </sheetData>
  <mergeCells count="1">
    <mergeCell ref="N67:O6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10" width="12.5"/>
    <col customWidth="1" min="11" max="11" width="37.0"/>
  </cols>
  <sheetData>
    <row r="1">
      <c r="A1" s="92">
        <v>44589.0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3"/>
      <c r="B2" s="4"/>
      <c r="C2" s="4"/>
      <c r="D2" s="4"/>
      <c r="E2" s="54"/>
      <c r="F2" s="54"/>
      <c r="G2" s="54"/>
      <c r="H2" s="54"/>
      <c r="J2" s="5"/>
      <c r="L2" s="3"/>
      <c r="N2" s="7"/>
      <c r="O2" s="52"/>
      <c r="P2" s="3"/>
      <c r="Q2" s="52"/>
    </row>
    <row r="3">
      <c r="A3" s="3" t="s">
        <v>15</v>
      </c>
      <c r="B3" s="4"/>
      <c r="C3" s="4" t="s">
        <v>16</v>
      </c>
      <c r="D3" s="4" t="s">
        <v>16</v>
      </c>
      <c r="E3" s="54" t="s">
        <v>152</v>
      </c>
      <c r="F3" s="54" t="s">
        <v>293</v>
      </c>
      <c r="G3" s="8" t="s">
        <v>18</v>
      </c>
      <c r="H3" s="8" t="s">
        <v>18</v>
      </c>
      <c r="I3" s="8" t="s">
        <v>316</v>
      </c>
      <c r="J3" s="8" t="s">
        <v>18</v>
      </c>
      <c r="L3" s="3" t="s">
        <v>20</v>
      </c>
      <c r="N3" s="7" t="s">
        <v>22</v>
      </c>
      <c r="O3" s="52"/>
      <c r="P3" s="3" t="s">
        <v>23</v>
      </c>
      <c r="Q3" s="52"/>
    </row>
    <row r="4">
      <c r="A4" s="3" t="s">
        <v>24</v>
      </c>
      <c r="B4" s="4"/>
      <c r="C4" s="4" t="s">
        <v>25</v>
      </c>
      <c r="D4" s="4" t="s">
        <v>25</v>
      </c>
      <c r="E4" s="54" t="s">
        <v>153</v>
      </c>
      <c r="F4" s="54" t="s">
        <v>295</v>
      </c>
      <c r="G4" s="8" t="s">
        <v>153</v>
      </c>
      <c r="H4" s="8" t="s">
        <v>153</v>
      </c>
      <c r="I4" s="8" t="s">
        <v>154</v>
      </c>
      <c r="J4" s="8" t="s">
        <v>153</v>
      </c>
      <c r="L4" s="3" t="s">
        <v>20</v>
      </c>
      <c r="N4" s="7" t="s">
        <v>22</v>
      </c>
      <c r="O4" s="52"/>
      <c r="P4" s="3" t="s">
        <v>23</v>
      </c>
      <c r="Q4" s="52"/>
    </row>
    <row r="5">
      <c r="A5" s="3" t="s">
        <v>28</v>
      </c>
      <c r="B5" s="4"/>
      <c r="C5" s="4" t="s">
        <v>29</v>
      </c>
      <c r="D5" s="4" t="s">
        <v>139</v>
      </c>
      <c r="E5" s="54" t="s">
        <v>199</v>
      </c>
      <c r="F5" s="54" t="s">
        <v>298</v>
      </c>
      <c r="G5" s="8" t="s">
        <v>317</v>
      </c>
      <c r="H5" s="8" t="s">
        <v>318</v>
      </c>
      <c r="I5" s="8" t="s">
        <v>155</v>
      </c>
      <c r="J5" s="8" t="s">
        <v>30</v>
      </c>
      <c r="L5" s="3" t="s">
        <v>33</v>
      </c>
      <c r="M5" s="3" t="s">
        <v>21</v>
      </c>
      <c r="N5" s="3" t="s">
        <v>23</v>
      </c>
      <c r="O5" s="53"/>
      <c r="Q5" s="52"/>
    </row>
    <row r="6">
      <c r="A6" s="3" t="s">
        <v>35</v>
      </c>
      <c r="B6" s="4"/>
      <c r="C6" s="4">
        <v>5.7</v>
      </c>
      <c r="D6" s="54" t="s">
        <v>144</v>
      </c>
      <c r="E6" s="54" t="s">
        <v>201</v>
      </c>
      <c r="F6" s="54" t="s">
        <v>299</v>
      </c>
      <c r="G6" s="8" t="s">
        <v>319</v>
      </c>
      <c r="H6" s="8" t="s">
        <v>304</v>
      </c>
      <c r="I6" s="8" t="s">
        <v>194</v>
      </c>
      <c r="J6" s="8" t="s">
        <v>320</v>
      </c>
      <c r="L6" s="3" t="s">
        <v>20</v>
      </c>
      <c r="N6" s="7" t="s">
        <v>22</v>
      </c>
      <c r="O6" s="53"/>
      <c r="P6" s="3" t="s">
        <v>23</v>
      </c>
      <c r="Q6" s="52"/>
    </row>
    <row r="7" hidden="1">
      <c r="A7" s="3"/>
      <c r="B7" s="4"/>
      <c r="C7" s="4"/>
      <c r="D7" s="54"/>
      <c r="E7" s="111" t="s">
        <v>241</v>
      </c>
      <c r="F7" s="112" t="s">
        <v>236</v>
      </c>
      <c r="G7" s="112" t="s">
        <v>237</v>
      </c>
      <c r="H7" s="112" t="s">
        <v>238</v>
      </c>
      <c r="I7" s="112" t="s">
        <v>239</v>
      </c>
      <c r="J7" s="5"/>
      <c r="L7" s="3"/>
      <c r="N7" s="7"/>
      <c r="O7" s="52"/>
      <c r="P7" s="3"/>
      <c r="Q7" s="52"/>
    </row>
    <row r="8">
      <c r="A8" s="3" t="s">
        <v>42</v>
      </c>
      <c r="B8" s="4"/>
      <c r="C8" s="4">
        <v>4.5</v>
      </c>
      <c r="D8" s="54">
        <v>5.5</v>
      </c>
      <c r="E8" s="54" t="s">
        <v>194</v>
      </c>
      <c r="F8" s="54">
        <v>8.5</v>
      </c>
      <c r="G8" s="8" t="s">
        <v>321</v>
      </c>
      <c r="H8" s="8" t="s">
        <v>321</v>
      </c>
      <c r="I8" s="8" t="s">
        <v>322</v>
      </c>
      <c r="J8" s="8" t="s">
        <v>303</v>
      </c>
      <c r="K8" s="172" t="s">
        <v>323</v>
      </c>
      <c r="L8" s="3" t="s">
        <v>20</v>
      </c>
      <c r="N8" s="7" t="s">
        <v>22</v>
      </c>
      <c r="O8" s="52" t="s">
        <v>324</v>
      </c>
      <c r="P8" s="3" t="s">
        <v>23</v>
      </c>
      <c r="Q8" s="52"/>
    </row>
    <row r="9">
      <c r="E9" s="114" t="s">
        <v>241</v>
      </c>
      <c r="F9" s="115" t="s">
        <v>242</v>
      </c>
      <c r="G9" s="115" t="s">
        <v>242</v>
      </c>
      <c r="H9" s="115" t="s">
        <v>194</v>
      </c>
      <c r="I9" s="115" t="s">
        <v>148</v>
      </c>
      <c r="O9" s="55"/>
      <c r="Q9" s="55"/>
    </row>
    <row r="10">
      <c r="A10" s="3" t="s">
        <v>47</v>
      </c>
      <c r="C10" s="4">
        <v>5.7</v>
      </c>
      <c r="D10" s="4">
        <v>6.5</v>
      </c>
      <c r="E10" s="62">
        <v>7.4</v>
      </c>
      <c r="F10" s="54">
        <v>8.1</v>
      </c>
      <c r="G10" s="54"/>
      <c r="H10" s="62"/>
      <c r="I10" s="62"/>
      <c r="J10" s="62"/>
    </row>
    <row r="11">
      <c r="A11" s="3" t="s">
        <v>162</v>
      </c>
      <c r="D11" s="111" t="s">
        <v>241</v>
      </c>
      <c r="E11" s="117">
        <v>7.0</v>
      </c>
      <c r="F11" s="112">
        <v>7.3</v>
      </c>
      <c r="G11" s="112"/>
      <c r="H11" s="112"/>
      <c r="I11" s="117"/>
      <c r="J11" s="112"/>
    </row>
    <row r="12">
      <c r="C12" s="10"/>
      <c r="D12" s="10"/>
      <c r="E12" s="10"/>
      <c r="F12" s="10"/>
      <c r="G12" s="10"/>
      <c r="H12" s="10"/>
      <c r="I12" s="10"/>
      <c r="J12" s="10"/>
    </row>
    <row r="13">
      <c r="E13" s="118">
        <v>74.5</v>
      </c>
      <c r="F13" s="118">
        <v>74.2</v>
      </c>
      <c r="G13" s="118">
        <v>76.5</v>
      </c>
      <c r="H13" s="118">
        <v>77.7</v>
      </c>
      <c r="I13" s="118">
        <v>77.7</v>
      </c>
      <c r="J13" s="118">
        <v>76.5</v>
      </c>
      <c r="K13" s="119" t="s">
        <v>305</v>
      </c>
    </row>
    <row r="14">
      <c r="A14" s="3" t="s">
        <v>48</v>
      </c>
      <c r="C14" s="164">
        <v>74.4</v>
      </c>
      <c r="D14" s="164">
        <v>74.2</v>
      </c>
      <c r="E14" s="164">
        <v>73.5</v>
      </c>
      <c r="F14" s="118">
        <v>72.4</v>
      </c>
      <c r="G14" s="118">
        <v>71.4</v>
      </c>
      <c r="H14" s="118">
        <v>76.4</v>
      </c>
      <c r="I14" s="118">
        <v>78.1</v>
      </c>
      <c r="J14" s="118">
        <v>75.9</v>
      </c>
      <c r="K14" s="119" t="s">
        <v>325</v>
      </c>
    </row>
    <row r="15">
      <c r="A15" s="3" t="s">
        <v>15</v>
      </c>
      <c r="B15" s="11"/>
      <c r="C15" s="23">
        <v>74.4</v>
      </c>
      <c r="D15" s="23">
        <v>74.2</v>
      </c>
      <c r="E15" s="23">
        <v>73.5</v>
      </c>
      <c r="F15" s="23">
        <v>73.1</v>
      </c>
      <c r="G15" s="93">
        <v>76.6</v>
      </c>
      <c r="H15" s="93">
        <v>76.3</v>
      </c>
      <c r="I15" s="93">
        <v>78.8</v>
      </c>
      <c r="J15" s="93">
        <v>76.6</v>
      </c>
      <c r="K15" s="3" t="s">
        <v>326</v>
      </c>
    </row>
    <row r="16">
      <c r="A16" s="3"/>
      <c r="B16" s="12"/>
      <c r="C16" s="12"/>
      <c r="D16" s="13"/>
      <c r="E16" s="13"/>
      <c r="F16" s="13"/>
      <c r="G16" s="13"/>
      <c r="H16" s="13"/>
      <c r="I16" s="13"/>
      <c r="J16" s="13"/>
      <c r="K16" s="13"/>
      <c r="L16" s="13"/>
    </row>
    <row r="17">
      <c r="A17" s="119" t="s">
        <v>50</v>
      </c>
      <c r="B17" s="119"/>
      <c r="C17" s="119"/>
      <c r="D17" s="173"/>
      <c r="E17" s="173"/>
      <c r="F17" s="174">
        <v>8.2</v>
      </c>
      <c r="G17" s="175">
        <v>7.0</v>
      </c>
      <c r="H17" s="174">
        <v>44202.0</v>
      </c>
      <c r="I17" s="174">
        <v>44352.0</v>
      </c>
      <c r="J17" s="175">
        <v>4.9</v>
      </c>
      <c r="K17" s="119" t="s">
        <v>327</v>
      </c>
      <c r="L17" s="173"/>
      <c r="M17" s="173"/>
      <c r="N17" s="173"/>
      <c r="O17" s="173"/>
      <c r="P17" s="173"/>
      <c r="Q17" s="173"/>
      <c r="R17" s="173"/>
      <c r="S17" s="173"/>
      <c r="T17" s="173"/>
      <c r="U17" s="173"/>
      <c r="V17" s="173"/>
      <c r="W17" s="173"/>
      <c r="X17" s="173"/>
      <c r="Y17" s="173"/>
      <c r="Z17" s="173"/>
      <c r="AA17" s="173"/>
      <c r="AB17" s="173"/>
      <c r="AC17" s="173"/>
      <c r="AD17" s="173"/>
      <c r="AE17" s="173"/>
    </row>
    <row r="18">
      <c r="A18" s="3" t="s">
        <v>50</v>
      </c>
      <c r="B18" s="12"/>
      <c r="C18" s="12"/>
      <c r="D18" s="13"/>
      <c r="E18" s="13"/>
      <c r="F18" s="14">
        <v>44659.0</v>
      </c>
      <c r="G18" s="14">
        <v>44780.0</v>
      </c>
      <c r="H18" s="14">
        <v>44718.0</v>
      </c>
      <c r="I18" s="14">
        <v>44598.0</v>
      </c>
      <c r="J18" s="14">
        <v>44625.0</v>
      </c>
      <c r="K18" s="3" t="s">
        <v>328</v>
      </c>
    </row>
    <row r="19">
      <c r="B19" s="12"/>
      <c r="C19" s="12"/>
      <c r="D19" s="13"/>
      <c r="E19" s="13"/>
      <c r="F19" s="13"/>
      <c r="G19" s="176">
        <v>44659.0</v>
      </c>
      <c r="H19" s="176">
        <v>44749.0</v>
      </c>
      <c r="I19" s="176">
        <v>44779.0</v>
      </c>
      <c r="J19" s="176">
        <v>44625.0</v>
      </c>
      <c r="K19" s="3" t="s">
        <v>329</v>
      </c>
      <c r="N19" s="3"/>
    </row>
    <row r="20">
      <c r="B20" s="12"/>
      <c r="C20" s="12"/>
      <c r="D20" s="13"/>
      <c r="E20" s="13"/>
      <c r="F20" s="13"/>
      <c r="G20" s="13"/>
      <c r="H20" s="62"/>
      <c r="I20" s="62"/>
      <c r="J20" s="4"/>
      <c r="N20" s="3" t="s">
        <v>330</v>
      </c>
    </row>
    <row r="21" hidden="1">
      <c r="B21" s="15" t="s">
        <v>52</v>
      </c>
      <c r="C21" s="16"/>
      <c r="D21" s="16"/>
      <c r="E21" s="16"/>
      <c r="F21" s="17" t="s">
        <v>53</v>
      </c>
      <c r="G21" s="18"/>
      <c r="H21" s="18"/>
      <c r="I21" s="18"/>
      <c r="J21" s="18"/>
      <c r="K21" s="3"/>
    </row>
    <row r="22" hidden="1">
      <c r="A22" s="3"/>
      <c r="B22" s="16" t="s">
        <v>28</v>
      </c>
      <c r="C22" s="16"/>
      <c r="D22" s="16"/>
      <c r="E22" s="16"/>
      <c r="F22" s="20" t="s">
        <v>207</v>
      </c>
      <c r="G22" s="20">
        <v>0.085534</v>
      </c>
      <c r="H22" s="20">
        <v>-0.09657</v>
      </c>
      <c r="I22" s="20">
        <v>-0.074</v>
      </c>
      <c r="J22" s="18"/>
      <c r="K22" s="31" t="s">
        <v>164</v>
      </c>
    </row>
    <row r="23" hidden="1">
      <c r="A23" s="3"/>
      <c r="B23" s="16" t="s">
        <v>55</v>
      </c>
      <c r="C23" s="16"/>
      <c r="D23" s="16"/>
      <c r="E23" s="16"/>
      <c r="F23" s="20" t="s">
        <v>208</v>
      </c>
      <c r="G23" s="20">
        <v>0.0891</v>
      </c>
      <c r="H23" s="20">
        <v>0.015935</v>
      </c>
      <c r="I23" s="20">
        <v>-0.00482</v>
      </c>
      <c r="J23" s="86">
        <v>-0.022</v>
      </c>
      <c r="K23" s="3" t="s">
        <v>56</v>
      </c>
    </row>
    <row r="24" hidden="1">
      <c r="A24" s="3"/>
      <c r="B24" s="16" t="s">
        <v>57</v>
      </c>
      <c r="C24" s="16"/>
      <c r="D24" s="16"/>
      <c r="E24" s="16"/>
      <c r="F24" s="57" t="s">
        <v>209</v>
      </c>
      <c r="G24" s="20">
        <v>0.166436</v>
      </c>
      <c r="H24" s="20">
        <v>-0.21198</v>
      </c>
      <c r="I24" s="20">
        <v>-0.40366</v>
      </c>
      <c r="J24" s="88">
        <v>-0.267</v>
      </c>
      <c r="K24" s="3" t="s">
        <v>56</v>
      </c>
    </row>
    <row r="25" hidden="1">
      <c r="A25" s="3"/>
      <c r="B25" s="16" t="s">
        <v>58</v>
      </c>
      <c r="C25" s="16"/>
      <c r="D25" s="16"/>
      <c r="E25" s="16"/>
      <c r="F25" s="20" t="s">
        <v>210</v>
      </c>
      <c r="G25" s="20">
        <v>0.09644</v>
      </c>
      <c r="H25" s="20">
        <v>-0.01752</v>
      </c>
      <c r="I25" s="20">
        <v>0.090012</v>
      </c>
      <c r="J25" s="88">
        <v>-0.051</v>
      </c>
      <c r="K25" s="3" t="s">
        <v>56</v>
      </c>
    </row>
    <row r="26" hidden="1">
      <c r="A26" s="3"/>
      <c r="B26" s="16" t="s">
        <v>60</v>
      </c>
      <c r="C26" s="16"/>
      <c r="D26" s="16"/>
      <c r="E26" s="16"/>
      <c r="F26" s="20" t="s">
        <v>211</v>
      </c>
      <c r="G26" s="20">
        <v>0.136107</v>
      </c>
      <c r="H26" s="20">
        <v>0.038548</v>
      </c>
      <c r="I26" s="20">
        <v>-0.09601</v>
      </c>
      <c r="J26" s="88">
        <v>-0.099</v>
      </c>
      <c r="K26" s="3" t="s">
        <v>56</v>
      </c>
    </row>
    <row r="27" hidden="1">
      <c r="A27" s="3"/>
      <c r="B27" s="16" t="s">
        <v>62</v>
      </c>
      <c r="C27" s="16"/>
      <c r="D27" s="16"/>
      <c r="E27" s="16"/>
      <c r="F27" s="18">
        <f t="shared" ref="F27:J27" si="1">F50</f>
        <v>72.8</v>
      </c>
      <c r="G27" s="18">
        <f t="shared" si="1"/>
        <v>78</v>
      </c>
      <c r="H27" s="18">
        <f t="shared" si="1"/>
        <v>77.6</v>
      </c>
      <c r="I27" s="18">
        <f t="shared" si="1"/>
        <v>79.8</v>
      </c>
      <c r="J27" s="89">
        <f t="shared" si="1"/>
        <v>78.2</v>
      </c>
      <c r="K27" s="3" t="s">
        <v>63</v>
      </c>
    </row>
    <row r="28" hidden="1">
      <c r="A28" s="3"/>
      <c r="B28" s="16" t="s">
        <v>64</v>
      </c>
      <c r="C28" s="16"/>
      <c r="D28" s="16"/>
      <c r="E28" s="16"/>
      <c r="F28" s="95">
        <v>0.09</v>
      </c>
      <c r="G28" s="20">
        <v>0.08</v>
      </c>
      <c r="H28" s="20">
        <v>0.07</v>
      </c>
      <c r="I28" s="20">
        <v>0.07</v>
      </c>
      <c r="J28" s="86">
        <v>0.07</v>
      </c>
      <c r="K28" s="3" t="s">
        <v>65</v>
      </c>
    </row>
    <row r="29" hidden="1">
      <c r="A29" s="3"/>
      <c r="B29" s="16" t="s">
        <v>66</v>
      </c>
      <c r="C29" s="16"/>
      <c r="D29" s="16"/>
      <c r="E29" s="16"/>
      <c r="F29" s="21">
        <v>0.042</v>
      </c>
      <c r="G29" s="21">
        <v>0.042</v>
      </c>
      <c r="H29" s="21">
        <v>0.042</v>
      </c>
      <c r="I29" s="21">
        <v>0.042</v>
      </c>
      <c r="J29" s="88">
        <v>0.042</v>
      </c>
      <c r="K29" s="3" t="s">
        <v>67</v>
      </c>
    </row>
    <row r="30" hidden="1">
      <c r="A30" s="3"/>
      <c r="B30" s="16" t="s">
        <v>68</v>
      </c>
      <c r="C30" s="16"/>
      <c r="D30" s="16"/>
      <c r="E30" s="16"/>
      <c r="F30" s="21">
        <v>0.024</v>
      </c>
      <c r="G30" s="21">
        <v>0.024</v>
      </c>
      <c r="H30" s="21">
        <v>0.024</v>
      </c>
      <c r="I30" s="21">
        <v>0.024</v>
      </c>
      <c r="J30" s="88">
        <v>0.024</v>
      </c>
      <c r="K30" s="3" t="s">
        <v>67</v>
      </c>
    </row>
    <row r="31">
      <c r="F31" s="3" t="s">
        <v>15</v>
      </c>
      <c r="G31" s="177">
        <v>76.6</v>
      </c>
      <c r="H31" s="177">
        <v>76.3</v>
      </c>
      <c r="I31" s="177">
        <v>78.8</v>
      </c>
      <c r="J31" s="177">
        <v>76.6</v>
      </c>
      <c r="N31" s="178" t="s">
        <v>331</v>
      </c>
      <c r="O31" s="179" t="s">
        <v>81</v>
      </c>
      <c r="P31" s="179" t="s">
        <v>114</v>
      </c>
    </row>
    <row r="32">
      <c r="A32" s="31" t="s">
        <v>245</v>
      </c>
      <c r="B32" s="3"/>
      <c r="C32" s="3"/>
      <c r="D32" s="3"/>
      <c r="F32" s="4"/>
      <c r="G32" s="4"/>
      <c r="H32" s="4"/>
      <c r="I32" s="4"/>
      <c r="J32" s="4"/>
      <c r="K32" s="3"/>
      <c r="L32" s="3"/>
      <c r="M32" s="3"/>
      <c r="N32" s="180" t="s">
        <v>332</v>
      </c>
      <c r="O32" s="181" t="s">
        <v>333</v>
      </c>
      <c r="P32" s="181" t="s">
        <v>334</v>
      </c>
    </row>
    <row r="33">
      <c r="A33" s="3" t="s">
        <v>28</v>
      </c>
      <c r="B33" s="10" t="s">
        <v>69</v>
      </c>
      <c r="C33" s="167">
        <v>61.0</v>
      </c>
      <c r="D33" s="167">
        <v>69.0</v>
      </c>
      <c r="E33" s="167">
        <v>73.0</v>
      </c>
      <c r="F33" s="167">
        <v>79.0</v>
      </c>
      <c r="G33" s="93">
        <v>88.0</v>
      </c>
      <c r="H33" s="93">
        <v>81.0</v>
      </c>
      <c r="I33" s="93">
        <v>74.0</v>
      </c>
      <c r="J33" s="93">
        <v>66.0</v>
      </c>
      <c r="K33" s="182" t="s">
        <v>247</v>
      </c>
      <c r="N33" s="180" t="s">
        <v>335</v>
      </c>
      <c r="O33" s="181" t="s">
        <v>336</v>
      </c>
      <c r="P33" s="181" t="s">
        <v>337</v>
      </c>
    </row>
    <row r="34">
      <c r="A34" s="22" t="s">
        <v>74</v>
      </c>
      <c r="B34" s="10" t="s">
        <v>75</v>
      </c>
      <c r="C34" s="97">
        <v>169.0</v>
      </c>
      <c r="D34" s="97">
        <v>202.0</v>
      </c>
      <c r="E34" s="97">
        <v>278.0</v>
      </c>
      <c r="F34" s="97">
        <v>490.0</v>
      </c>
      <c r="G34" s="97">
        <v>458.0</v>
      </c>
      <c r="H34" s="97">
        <v>312.0</v>
      </c>
      <c r="I34" s="97">
        <v>264.0</v>
      </c>
      <c r="J34" s="97">
        <v>305.0</v>
      </c>
      <c r="K34" s="3" t="s">
        <v>309</v>
      </c>
      <c r="N34" s="180" t="s">
        <v>338</v>
      </c>
      <c r="O34" s="181" t="s">
        <v>339</v>
      </c>
      <c r="P34" s="181" t="s">
        <v>337</v>
      </c>
    </row>
    <row r="35">
      <c r="A35" s="22" t="s">
        <v>74</v>
      </c>
      <c r="B35" s="10" t="s">
        <v>248</v>
      </c>
      <c r="C35" s="123">
        <f t="shared" ref="C35:J35" si="2">C34/35.3</f>
        <v>4.787535411</v>
      </c>
      <c r="D35" s="123">
        <f t="shared" si="2"/>
        <v>5.722379603</v>
      </c>
      <c r="E35" s="123">
        <f t="shared" si="2"/>
        <v>7.875354108</v>
      </c>
      <c r="F35" s="123">
        <f t="shared" si="2"/>
        <v>13.88101983</v>
      </c>
      <c r="G35" s="123">
        <f t="shared" si="2"/>
        <v>12.97450425</v>
      </c>
      <c r="H35" s="123">
        <f t="shared" si="2"/>
        <v>8.838526912</v>
      </c>
      <c r="I35" s="123">
        <f t="shared" si="2"/>
        <v>7.478753541</v>
      </c>
      <c r="J35" s="123">
        <f t="shared" si="2"/>
        <v>8.640226629</v>
      </c>
      <c r="K35" s="3" t="s">
        <v>309</v>
      </c>
      <c r="L35" s="124"/>
      <c r="M35" s="124"/>
      <c r="N35" s="180" t="s">
        <v>340</v>
      </c>
      <c r="O35" s="181" t="s">
        <v>341</v>
      </c>
      <c r="P35" s="181" t="s">
        <v>337</v>
      </c>
    </row>
    <row r="36">
      <c r="A36" s="3" t="s">
        <v>249</v>
      </c>
      <c r="B36" s="10" t="s">
        <v>248</v>
      </c>
      <c r="C36" s="11">
        <v>6.8</v>
      </c>
      <c r="D36" s="11">
        <v>8.7</v>
      </c>
      <c r="E36" s="11">
        <v>16.9</v>
      </c>
      <c r="F36" s="11">
        <v>33.0</v>
      </c>
      <c r="G36" s="11">
        <v>29.0</v>
      </c>
      <c r="H36" s="11">
        <v>15.0</v>
      </c>
      <c r="I36" s="11">
        <v>11.0</v>
      </c>
      <c r="J36" s="11">
        <v>15.0</v>
      </c>
      <c r="K36" s="125" t="s">
        <v>250</v>
      </c>
      <c r="N36" s="180" t="s">
        <v>171</v>
      </c>
      <c r="O36" s="181" t="s">
        <v>342</v>
      </c>
      <c r="P36" s="181" t="s">
        <v>337</v>
      </c>
    </row>
    <row r="37">
      <c r="A37" s="3"/>
      <c r="B37" s="10"/>
      <c r="C37" s="126"/>
      <c r="D37" s="126"/>
      <c r="E37" s="126"/>
      <c r="F37" s="11"/>
      <c r="G37" s="11">
        <v>29.0</v>
      </c>
      <c r="H37" s="11">
        <v>29.0</v>
      </c>
      <c r="I37" s="11">
        <v>28.5</v>
      </c>
      <c r="J37" s="11">
        <v>29.5</v>
      </c>
      <c r="K37" s="127" t="s">
        <v>251</v>
      </c>
      <c r="N37" s="180" t="s">
        <v>343</v>
      </c>
      <c r="O37" s="181" t="s">
        <v>344</v>
      </c>
      <c r="P37" s="181" t="s">
        <v>337</v>
      </c>
    </row>
    <row r="38">
      <c r="A38" s="3" t="s">
        <v>252</v>
      </c>
      <c r="B38" s="10" t="s">
        <v>248</v>
      </c>
      <c r="C38" s="128">
        <f t="shared" ref="C38:J38" si="3">14%*C33</f>
        <v>8.54</v>
      </c>
      <c r="D38" s="128">
        <f t="shared" si="3"/>
        <v>9.66</v>
      </c>
      <c r="E38" s="128">
        <f t="shared" si="3"/>
        <v>10.22</v>
      </c>
      <c r="F38" s="128">
        <f t="shared" si="3"/>
        <v>11.06</v>
      </c>
      <c r="G38" s="128">
        <f t="shared" si="3"/>
        <v>12.32</v>
      </c>
      <c r="H38" s="128">
        <f t="shared" si="3"/>
        <v>11.34</v>
      </c>
      <c r="I38" s="128">
        <f t="shared" si="3"/>
        <v>10.36</v>
      </c>
      <c r="J38" s="128">
        <f t="shared" si="3"/>
        <v>9.24</v>
      </c>
      <c r="K38" s="127" t="s">
        <v>253</v>
      </c>
      <c r="N38" s="180" t="s">
        <v>345</v>
      </c>
      <c r="O38" s="181" t="s">
        <v>346</v>
      </c>
      <c r="P38" s="181" t="s">
        <v>334</v>
      </c>
    </row>
    <row r="39">
      <c r="A39" s="3" t="s">
        <v>254</v>
      </c>
      <c r="B39" s="10" t="s">
        <v>248</v>
      </c>
      <c r="C39" s="128">
        <f>0.8*C36 + 0.2*C38</f>
        <v>7.148</v>
      </c>
      <c r="D39" s="128">
        <f t="shared" ref="D39:J39" si="4">0.8*D36+0.2*D38</f>
        <v>8.892</v>
      </c>
      <c r="E39" s="128">
        <f t="shared" si="4"/>
        <v>15.564</v>
      </c>
      <c r="F39" s="128">
        <f t="shared" si="4"/>
        <v>28.612</v>
      </c>
      <c r="G39" s="128">
        <f t="shared" si="4"/>
        <v>25.664</v>
      </c>
      <c r="H39" s="128">
        <f t="shared" si="4"/>
        <v>14.268</v>
      </c>
      <c r="I39" s="128">
        <f t="shared" si="4"/>
        <v>10.872</v>
      </c>
      <c r="J39" s="128">
        <f t="shared" si="4"/>
        <v>13.848</v>
      </c>
      <c r="K39" s="127" t="s">
        <v>255</v>
      </c>
      <c r="L39" s="22"/>
      <c r="N39" s="180" t="s">
        <v>347</v>
      </c>
      <c r="O39" s="181" t="s">
        <v>344</v>
      </c>
      <c r="P39" s="181" t="s">
        <v>334</v>
      </c>
    </row>
    <row r="40">
      <c r="A40" s="129" t="s">
        <v>256</v>
      </c>
      <c r="B40" s="130"/>
      <c r="C40" s="131">
        <f t="shared" ref="C40:J40" si="5">C39-C35</f>
        <v>2.360464589</v>
      </c>
      <c r="D40" s="131">
        <f t="shared" si="5"/>
        <v>3.169620397</v>
      </c>
      <c r="E40" s="131">
        <f t="shared" si="5"/>
        <v>7.688645892</v>
      </c>
      <c r="F40" s="131">
        <f t="shared" si="5"/>
        <v>14.73098017</v>
      </c>
      <c r="G40" s="131">
        <f t="shared" si="5"/>
        <v>12.68949575</v>
      </c>
      <c r="H40" s="131">
        <f t="shared" si="5"/>
        <v>5.429473088</v>
      </c>
      <c r="I40" s="131">
        <f t="shared" si="5"/>
        <v>3.393246459</v>
      </c>
      <c r="J40" s="131">
        <f t="shared" si="5"/>
        <v>5.207773371</v>
      </c>
      <c r="K40" s="129" t="s">
        <v>257</v>
      </c>
      <c r="L40" s="130"/>
      <c r="M40" s="130"/>
      <c r="N40" s="180" t="s">
        <v>348</v>
      </c>
      <c r="O40" s="181" t="s">
        <v>349</v>
      </c>
      <c r="P40" s="181" t="s">
        <v>334</v>
      </c>
      <c r="Q40" s="130"/>
      <c r="R40" s="130"/>
      <c r="S40" s="130"/>
      <c r="T40" s="130"/>
      <c r="U40" s="130"/>
      <c r="V40" s="130"/>
      <c r="W40" s="130"/>
      <c r="X40" s="130"/>
      <c r="Y40" s="130"/>
      <c r="Z40" s="130"/>
      <c r="AA40" s="130"/>
      <c r="AB40" s="130"/>
      <c r="AC40" s="130"/>
      <c r="AD40" s="130"/>
      <c r="AE40" s="130"/>
    </row>
    <row r="41">
      <c r="N41" s="180" t="s">
        <v>350</v>
      </c>
      <c r="O41" s="181" t="s">
        <v>351</v>
      </c>
      <c r="P41" s="181" t="s">
        <v>352</v>
      </c>
    </row>
    <row r="42">
      <c r="A42" s="22" t="s">
        <v>76</v>
      </c>
      <c r="B42" s="10" t="s">
        <v>77</v>
      </c>
      <c r="C42" s="97">
        <v>1038.0</v>
      </c>
      <c r="D42" s="97">
        <v>1394.0</v>
      </c>
      <c r="E42" s="97">
        <v>1785.0</v>
      </c>
      <c r="F42" s="97">
        <v>1863.0</v>
      </c>
      <c r="G42" s="97">
        <v>1289.0</v>
      </c>
      <c r="H42" s="97">
        <v>1056.0</v>
      </c>
      <c r="I42" s="97">
        <v>995.0</v>
      </c>
      <c r="J42" s="97">
        <v>957.0</v>
      </c>
      <c r="K42" s="3" t="s">
        <v>54</v>
      </c>
      <c r="N42" s="180" t="s">
        <v>353</v>
      </c>
      <c r="O42" s="181" t="s">
        <v>354</v>
      </c>
      <c r="P42" s="181" t="s">
        <v>352</v>
      </c>
    </row>
    <row r="43">
      <c r="A43" s="132"/>
      <c r="B43" s="132"/>
      <c r="C43" s="133"/>
      <c r="D43" s="133"/>
      <c r="E43" s="133"/>
      <c r="F43" s="133"/>
      <c r="G43" s="133"/>
      <c r="H43" s="133"/>
      <c r="I43" s="133"/>
      <c r="J43" s="133"/>
      <c r="K43" s="134"/>
      <c r="L43" s="134"/>
      <c r="M43" s="134"/>
      <c r="N43" s="180" t="s">
        <v>355</v>
      </c>
      <c r="O43" s="181" t="s">
        <v>356</v>
      </c>
      <c r="P43" s="181" t="s">
        <v>357</v>
      </c>
      <c r="Q43" s="134"/>
      <c r="R43" s="134"/>
      <c r="S43" s="134"/>
      <c r="T43" s="134"/>
      <c r="U43" s="134"/>
      <c r="V43" s="134"/>
      <c r="W43" s="134"/>
      <c r="X43" s="134"/>
      <c r="Y43" s="134"/>
      <c r="Z43" s="134"/>
      <c r="AA43" s="134"/>
      <c r="AB43" s="134"/>
      <c r="AC43" s="134"/>
      <c r="AD43" s="134"/>
      <c r="AE43" s="134"/>
    </row>
    <row r="44">
      <c r="A44" s="3" t="s">
        <v>78</v>
      </c>
      <c r="B44" s="12" t="s">
        <v>79</v>
      </c>
      <c r="C44" s="97" t="s">
        <v>358</v>
      </c>
      <c r="D44" s="97" t="s">
        <v>359</v>
      </c>
      <c r="E44" s="97" t="s">
        <v>360</v>
      </c>
      <c r="F44" s="97" t="s">
        <v>361</v>
      </c>
      <c r="G44" s="97" t="s">
        <v>362</v>
      </c>
      <c r="H44" s="97" t="s">
        <v>363</v>
      </c>
      <c r="I44" s="97" t="s">
        <v>364</v>
      </c>
      <c r="J44" s="97" t="s">
        <v>365</v>
      </c>
    </row>
    <row r="45">
      <c r="A45" s="3" t="s">
        <v>80</v>
      </c>
      <c r="B45" s="3" t="s">
        <v>79</v>
      </c>
      <c r="C45" s="97" t="s">
        <v>366</v>
      </c>
      <c r="D45" s="97" t="s">
        <v>367</v>
      </c>
      <c r="E45" s="97" t="s">
        <v>368</v>
      </c>
      <c r="F45" s="97" t="s">
        <v>369</v>
      </c>
      <c r="G45" s="97" t="s">
        <v>370</v>
      </c>
      <c r="H45" s="97" t="s">
        <v>371</v>
      </c>
      <c r="I45" s="97" t="s">
        <v>372</v>
      </c>
      <c r="J45" s="97" t="s">
        <v>372</v>
      </c>
    </row>
    <row r="46">
      <c r="A46" s="3" t="s">
        <v>81</v>
      </c>
      <c r="B46" s="3" t="s">
        <v>79</v>
      </c>
      <c r="C46" s="97" t="s">
        <v>373</v>
      </c>
      <c r="D46" s="97" t="s">
        <v>374</v>
      </c>
      <c r="E46" s="97" t="s">
        <v>375</v>
      </c>
      <c r="F46" s="97" t="s">
        <v>376</v>
      </c>
      <c r="G46" s="97" t="s">
        <v>377</v>
      </c>
      <c r="H46" s="97" t="s">
        <v>378</v>
      </c>
      <c r="I46" s="97" t="s">
        <v>379</v>
      </c>
      <c r="J46" s="97" t="s">
        <v>380</v>
      </c>
      <c r="K46" s="3" t="s">
        <v>381</v>
      </c>
    </row>
    <row r="47">
      <c r="A47" s="3" t="s">
        <v>259</v>
      </c>
      <c r="B47" s="3" t="s">
        <v>260</v>
      </c>
      <c r="C47" s="97">
        <v>23.0</v>
      </c>
      <c r="D47" s="97">
        <v>18.0</v>
      </c>
      <c r="E47" s="97">
        <v>18.0</v>
      </c>
      <c r="F47" s="97">
        <v>34.0</v>
      </c>
      <c r="G47" s="97">
        <v>18.0</v>
      </c>
      <c r="H47" s="97">
        <v>25.0</v>
      </c>
      <c r="I47" s="97">
        <v>10.0</v>
      </c>
      <c r="J47" s="97">
        <v>23.0</v>
      </c>
    </row>
    <row r="50">
      <c r="A50" s="3" t="s">
        <v>137</v>
      </c>
      <c r="B50" s="11"/>
      <c r="C50" s="33">
        <v>74.4</v>
      </c>
      <c r="D50" s="33">
        <v>73.6</v>
      </c>
      <c r="E50" s="33">
        <v>72.8</v>
      </c>
      <c r="F50" s="33">
        <v>72.8</v>
      </c>
      <c r="G50" s="33">
        <v>78.0</v>
      </c>
      <c r="H50" s="33">
        <v>77.6</v>
      </c>
      <c r="I50" s="33">
        <v>79.8</v>
      </c>
      <c r="J50" s="33">
        <v>78.2</v>
      </c>
      <c r="K50" s="169" t="s">
        <v>311</v>
      </c>
    </row>
    <row r="54">
      <c r="C54" s="35">
        <f t="shared" ref="C54:J54" si="6">VALUE(MID(C3,1,2))</f>
        <v>72</v>
      </c>
      <c r="D54" s="35">
        <f t="shared" si="6"/>
        <v>72</v>
      </c>
      <c r="E54" s="35">
        <f t="shared" si="6"/>
        <v>71</v>
      </c>
      <c r="F54" s="35">
        <f t="shared" si="6"/>
        <v>71</v>
      </c>
      <c r="G54" s="35">
        <f t="shared" si="6"/>
        <v>74</v>
      </c>
      <c r="H54" s="35">
        <f t="shared" si="6"/>
        <v>74</v>
      </c>
      <c r="I54" s="35">
        <f t="shared" si="6"/>
        <v>75</v>
      </c>
      <c r="J54" s="35">
        <f t="shared" si="6"/>
        <v>74</v>
      </c>
    </row>
    <row r="55">
      <c r="C55" s="35">
        <f t="shared" ref="C55:J55" si="7">VALUE(MID(C4,1,2))</f>
        <v>87</v>
      </c>
      <c r="D55" s="35">
        <f t="shared" si="7"/>
        <v>87</v>
      </c>
      <c r="E55" s="35">
        <f t="shared" si="7"/>
        <v>85</v>
      </c>
      <c r="F55" s="35">
        <f t="shared" si="7"/>
        <v>81</v>
      </c>
      <c r="G55" s="35">
        <f t="shared" si="7"/>
        <v>85</v>
      </c>
      <c r="H55" s="35">
        <f t="shared" si="7"/>
        <v>85</v>
      </c>
      <c r="I55" s="35">
        <f t="shared" si="7"/>
        <v>86</v>
      </c>
      <c r="J55" s="35">
        <f t="shared" si="7"/>
        <v>85</v>
      </c>
    </row>
    <row r="56">
      <c r="C56" s="35">
        <f t="shared" ref="C56:J56" si="8">VALUE(MID(C3,4,2))</f>
        <v>77</v>
      </c>
      <c r="D56" s="35">
        <f t="shared" si="8"/>
        <v>77</v>
      </c>
      <c r="E56" s="35">
        <f t="shared" si="8"/>
        <v>76</v>
      </c>
      <c r="F56" s="35">
        <f t="shared" si="8"/>
        <v>75</v>
      </c>
      <c r="G56" s="35">
        <f t="shared" si="8"/>
        <v>79</v>
      </c>
      <c r="H56" s="35">
        <f t="shared" si="8"/>
        <v>79</v>
      </c>
      <c r="I56" s="35">
        <f t="shared" si="8"/>
        <v>80</v>
      </c>
      <c r="J56" s="35">
        <f t="shared" si="8"/>
        <v>79</v>
      </c>
    </row>
    <row r="57">
      <c r="C57" s="35">
        <f t="shared" ref="C57:J57" si="9">VALUE(MID(C4,4,2))</f>
        <v>92</v>
      </c>
      <c r="D57" s="35">
        <f t="shared" si="9"/>
        <v>92</v>
      </c>
      <c r="E57" s="35">
        <f t="shared" si="9"/>
        <v>90</v>
      </c>
      <c r="F57" s="35">
        <f t="shared" si="9"/>
        <v>85</v>
      </c>
      <c r="G57" s="35">
        <f t="shared" si="9"/>
        <v>90</v>
      </c>
      <c r="H57" s="35">
        <f t="shared" si="9"/>
        <v>90</v>
      </c>
      <c r="I57" s="35">
        <f t="shared" si="9"/>
        <v>91</v>
      </c>
      <c r="J57" s="35">
        <f t="shared" si="9"/>
        <v>90</v>
      </c>
    </row>
    <row r="58">
      <c r="C58" s="35">
        <f t="shared" ref="C58:J58" si="10">AVERAGE(C54,C56)</f>
        <v>74.5</v>
      </c>
      <c r="D58" s="35">
        <f t="shared" si="10"/>
        <v>74.5</v>
      </c>
      <c r="E58" s="35">
        <f t="shared" si="10"/>
        <v>73.5</v>
      </c>
      <c r="F58" s="35">
        <f t="shared" si="10"/>
        <v>73</v>
      </c>
      <c r="G58" s="35">
        <f t="shared" si="10"/>
        <v>76.5</v>
      </c>
      <c r="H58" s="35">
        <f t="shared" si="10"/>
        <v>76.5</v>
      </c>
      <c r="I58" s="35">
        <f t="shared" si="10"/>
        <v>77.5</v>
      </c>
      <c r="J58" s="35">
        <f t="shared" si="10"/>
        <v>76.5</v>
      </c>
    </row>
    <row r="59">
      <c r="C59" s="35">
        <f t="shared" ref="C59:J59" si="11">AVERAGE(C55,C57)</f>
        <v>89.5</v>
      </c>
      <c r="D59" s="35">
        <f t="shared" si="11"/>
        <v>89.5</v>
      </c>
      <c r="E59" s="35">
        <f t="shared" si="11"/>
        <v>87.5</v>
      </c>
      <c r="F59" s="35">
        <f t="shared" si="11"/>
        <v>83</v>
      </c>
      <c r="G59" s="35">
        <f t="shared" si="11"/>
        <v>87.5</v>
      </c>
      <c r="H59" s="35">
        <f t="shared" si="11"/>
        <v>87.5</v>
      </c>
      <c r="I59" s="35">
        <f t="shared" si="11"/>
        <v>88.5</v>
      </c>
      <c r="J59" s="35">
        <f t="shared" si="11"/>
        <v>87.5</v>
      </c>
    </row>
    <row r="60">
      <c r="A60" s="3" t="s">
        <v>151</v>
      </c>
      <c r="C60" s="59">
        <f t="shared" ref="C60:J60" si="12">C59/C58</f>
        <v>1.201342282</v>
      </c>
      <c r="D60" s="59">
        <f t="shared" si="12"/>
        <v>1.201342282</v>
      </c>
      <c r="E60" s="59">
        <f t="shared" si="12"/>
        <v>1.19047619</v>
      </c>
      <c r="F60" s="59">
        <f t="shared" si="12"/>
        <v>1.136986301</v>
      </c>
      <c r="G60" s="59">
        <f t="shared" si="12"/>
        <v>1.14379085</v>
      </c>
      <c r="H60" s="59">
        <f t="shared" si="12"/>
        <v>1.14379085</v>
      </c>
      <c r="I60" s="59">
        <f t="shared" si="12"/>
        <v>1.141935484</v>
      </c>
      <c r="J60" s="59">
        <f t="shared" si="12"/>
        <v>1.14379085</v>
      </c>
    </row>
    <row r="64">
      <c r="A64" s="66"/>
      <c r="B64" s="66"/>
      <c r="C64" s="66"/>
      <c r="D64" s="66"/>
      <c r="E64" s="66"/>
      <c r="F64" s="66"/>
      <c r="G64" s="66"/>
      <c r="H64" s="66"/>
      <c r="I64" s="66"/>
      <c r="J64" s="66"/>
      <c r="K64" s="66"/>
      <c r="L64" s="66"/>
      <c r="M64" s="66"/>
      <c r="N64" s="66"/>
      <c r="O64" s="66"/>
    </row>
    <row r="65">
      <c r="A65" s="66"/>
      <c r="B65" s="18" t="s">
        <v>167</v>
      </c>
      <c r="C65" s="18" t="s">
        <v>168</v>
      </c>
      <c r="D65" s="67" t="s">
        <v>169</v>
      </c>
      <c r="E65" s="18" t="s">
        <v>170</v>
      </c>
      <c r="F65" s="18" t="s">
        <v>171</v>
      </c>
      <c r="G65" s="67" t="s">
        <v>172</v>
      </c>
      <c r="H65" s="18" t="s">
        <v>173</v>
      </c>
      <c r="I65" s="18" t="s">
        <v>174</v>
      </c>
      <c r="J65" s="67" t="s">
        <v>175</v>
      </c>
      <c r="K65" s="18" t="s">
        <v>176</v>
      </c>
      <c r="L65" s="18" t="s">
        <v>177</v>
      </c>
      <c r="M65" s="67" t="s">
        <v>178</v>
      </c>
      <c r="N65" s="66"/>
      <c r="O65" s="66"/>
    </row>
    <row r="66">
      <c r="A66" s="68">
        <v>2021.0</v>
      </c>
      <c r="B66" s="69">
        <v>0.67</v>
      </c>
      <c r="C66" s="69">
        <v>0.78</v>
      </c>
      <c r="D66" s="69">
        <v>0.66</v>
      </c>
      <c r="E66" s="69">
        <v>0.58</v>
      </c>
      <c r="F66" s="69">
        <v>0.74</v>
      </c>
      <c r="G66" s="69">
        <v>0.69</v>
      </c>
      <c r="H66" s="98">
        <v>0.31</v>
      </c>
      <c r="I66" s="98">
        <v>0.17</v>
      </c>
      <c r="J66" s="98">
        <v>0.6</v>
      </c>
      <c r="K66" s="170">
        <v>1.11</v>
      </c>
      <c r="L66" s="170">
        <v>0.96</v>
      </c>
      <c r="M66" s="183">
        <v>0.82</v>
      </c>
      <c r="N66" s="73"/>
      <c r="O66" s="74"/>
    </row>
    <row r="67">
      <c r="A67" s="75" t="s">
        <v>179</v>
      </c>
      <c r="B67" s="91">
        <v>5.19</v>
      </c>
      <c r="C67" s="76">
        <v>5.67</v>
      </c>
      <c r="D67" s="76">
        <v>5.79</v>
      </c>
      <c r="E67" s="76">
        <v>5.53</v>
      </c>
      <c r="F67" s="76">
        <v>6.02</v>
      </c>
      <c r="G67" s="76">
        <v>6.5</v>
      </c>
      <c r="H67" s="77">
        <v>6.46</v>
      </c>
      <c r="I67" s="77">
        <v>6.68</v>
      </c>
      <c r="J67" s="135">
        <v>7.4</v>
      </c>
      <c r="K67" s="135">
        <v>8.13</v>
      </c>
      <c r="L67" s="77">
        <v>8.4</v>
      </c>
      <c r="M67" s="184">
        <v>8.39</v>
      </c>
      <c r="N67" s="79"/>
      <c r="O67" s="80">
        <v>2021.0</v>
      </c>
    </row>
    <row r="68">
      <c r="A68" s="66"/>
      <c r="B68" s="66"/>
      <c r="C68" s="66"/>
      <c r="D68" s="66"/>
      <c r="E68" s="66"/>
      <c r="F68" s="66"/>
      <c r="G68" s="66"/>
      <c r="H68" s="66"/>
      <c r="I68" s="66"/>
      <c r="J68" s="66"/>
      <c r="K68" s="66"/>
      <c r="L68" s="66"/>
      <c r="M68" s="66"/>
      <c r="N68" s="81"/>
    </row>
    <row r="69">
      <c r="A69" s="18" t="s">
        <v>181</v>
      </c>
      <c r="B69" s="18">
        <v>0.6</v>
      </c>
      <c r="C69" s="18">
        <v>0.4</v>
      </c>
      <c r="D69" s="18">
        <v>0.5</v>
      </c>
      <c r="E69" s="18">
        <v>0.4</v>
      </c>
      <c r="F69" s="18">
        <v>0.4</v>
      </c>
      <c r="G69" s="18">
        <v>0.4</v>
      </c>
      <c r="H69" s="18">
        <v>0.5</v>
      </c>
      <c r="I69" s="18">
        <v>0.0</v>
      </c>
      <c r="J69" s="18">
        <v>0.2</v>
      </c>
      <c r="K69" s="18">
        <v>0.4</v>
      </c>
      <c r="L69" s="18">
        <v>0.5</v>
      </c>
      <c r="M69" s="18">
        <v>0.5</v>
      </c>
      <c r="N69" s="66"/>
      <c r="O69" s="66"/>
    </row>
    <row r="70">
      <c r="A70" s="18" t="s">
        <v>182</v>
      </c>
      <c r="B70" s="18">
        <v>0.5</v>
      </c>
      <c r="C70" s="18">
        <v>0.3</v>
      </c>
      <c r="D70" s="18">
        <v>0.3</v>
      </c>
      <c r="E70" s="18">
        <v>0.4</v>
      </c>
      <c r="F70" s="18">
        <v>0.4</v>
      </c>
      <c r="G70" s="18">
        <v>0.4</v>
      </c>
      <c r="H70" s="18">
        <v>0.2</v>
      </c>
      <c r="I70" s="82">
        <v>-0.1</v>
      </c>
      <c r="J70" s="82">
        <v>-0.1</v>
      </c>
      <c r="K70" s="18">
        <v>0.3</v>
      </c>
      <c r="L70" s="18">
        <v>0.4</v>
      </c>
      <c r="M70" s="18">
        <v>0.6</v>
      </c>
      <c r="N70" s="66"/>
      <c r="O70" s="66"/>
    </row>
    <row r="71">
      <c r="A71" s="66"/>
      <c r="B71" s="18" t="s">
        <v>183</v>
      </c>
      <c r="C71" s="18" t="s">
        <v>184</v>
      </c>
      <c r="D71" s="18" t="s">
        <v>169</v>
      </c>
      <c r="E71" s="18" t="s">
        <v>185</v>
      </c>
      <c r="F71" s="18" t="s">
        <v>186</v>
      </c>
      <c r="G71" s="18" t="s">
        <v>172</v>
      </c>
      <c r="H71" s="18" t="s">
        <v>187</v>
      </c>
      <c r="I71" s="18" t="s">
        <v>188</v>
      </c>
      <c r="J71" s="18" t="s">
        <v>175</v>
      </c>
      <c r="K71" s="18" t="s">
        <v>189</v>
      </c>
      <c r="L71" s="18" t="s">
        <v>190</v>
      </c>
      <c r="M71" s="18" t="s">
        <v>178</v>
      </c>
      <c r="N71" s="66"/>
      <c r="O71" s="66"/>
    </row>
    <row r="72">
      <c r="A72" s="66"/>
      <c r="B72" s="66"/>
      <c r="C72" s="66"/>
      <c r="D72" s="66"/>
      <c r="E72" s="66"/>
      <c r="F72" s="66"/>
      <c r="G72" s="66"/>
      <c r="H72" s="66"/>
      <c r="I72" s="66"/>
      <c r="J72" s="66"/>
      <c r="K72" s="66"/>
      <c r="L72" s="66"/>
      <c r="M72" s="66"/>
      <c r="N72" s="66"/>
      <c r="O72" s="66"/>
    </row>
    <row r="73">
      <c r="A73" s="66"/>
      <c r="B73" s="66"/>
      <c r="C73" s="66"/>
      <c r="D73" s="66"/>
      <c r="E73" s="66"/>
      <c r="F73" s="66"/>
      <c r="G73" s="66"/>
      <c r="H73" s="66"/>
      <c r="I73" s="66"/>
      <c r="J73" s="66"/>
      <c r="K73" s="66"/>
      <c r="L73" s="66"/>
      <c r="M73" s="66"/>
      <c r="N73" s="66"/>
      <c r="O73" s="66"/>
    </row>
    <row r="74">
      <c r="A74" s="66"/>
      <c r="B74" s="18" t="s">
        <v>167</v>
      </c>
      <c r="C74" s="18" t="s">
        <v>168</v>
      </c>
      <c r="D74" s="83" t="s">
        <v>169</v>
      </c>
      <c r="E74" s="18" t="s">
        <v>170</v>
      </c>
      <c r="F74" s="18" t="s">
        <v>171</v>
      </c>
      <c r="G74" s="83" t="s">
        <v>172</v>
      </c>
      <c r="H74" s="18" t="s">
        <v>173</v>
      </c>
      <c r="I74" s="18" t="s">
        <v>174</v>
      </c>
      <c r="J74" s="83" t="s">
        <v>175</v>
      </c>
      <c r="K74" s="18" t="s">
        <v>176</v>
      </c>
      <c r="L74" s="18" t="s">
        <v>177</v>
      </c>
      <c r="M74" s="83" t="s">
        <v>178</v>
      </c>
      <c r="N74" s="66"/>
      <c r="O74" s="66"/>
    </row>
    <row r="75">
      <c r="A75" s="68">
        <v>2022.0</v>
      </c>
      <c r="B75" s="70">
        <v>1.0</v>
      </c>
      <c r="C75" s="70">
        <v>0.5</v>
      </c>
      <c r="D75" s="70">
        <v>0.5</v>
      </c>
      <c r="E75" s="70">
        <v>0.5</v>
      </c>
      <c r="F75" s="70">
        <v>0.4</v>
      </c>
      <c r="G75" s="70">
        <v>0.5</v>
      </c>
      <c r="H75" s="71">
        <v>0.4</v>
      </c>
      <c r="I75" s="71">
        <v>0.0</v>
      </c>
      <c r="J75" s="71">
        <v>0.2</v>
      </c>
      <c r="K75" s="71">
        <v>0.4</v>
      </c>
      <c r="L75" s="71">
        <v>0.5</v>
      </c>
      <c r="M75" s="72">
        <v>0.6</v>
      </c>
      <c r="N75" s="66"/>
      <c r="O75" s="66"/>
    </row>
    <row r="76">
      <c r="A76" s="75" t="s">
        <v>179</v>
      </c>
      <c r="B76" s="91">
        <v>8.75</v>
      </c>
      <c r="C76" s="76">
        <v>8.45</v>
      </c>
      <c r="D76" s="76">
        <v>8.28</v>
      </c>
      <c r="E76" s="76">
        <v>8.19</v>
      </c>
      <c r="F76" s="76">
        <v>7.82</v>
      </c>
      <c r="G76" s="76">
        <v>7.62</v>
      </c>
      <c r="H76" s="77">
        <v>7.72</v>
      </c>
      <c r="I76" s="77">
        <v>7.53</v>
      </c>
      <c r="J76" s="77">
        <v>7.11</v>
      </c>
      <c r="K76" s="77">
        <v>6.35</v>
      </c>
      <c r="L76" s="77">
        <v>5.87</v>
      </c>
      <c r="M76" s="78">
        <v>5.64</v>
      </c>
      <c r="N76" s="79"/>
      <c r="O76" s="80">
        <v>2022.0</v>
      </c>
    </row>
    <row r="78">
      <c r="C78" s="2" t="s">
        <v>0</v>
      </c>
      <c r="D78" s="2" t="s">
        <v>1</v>
      </c>
      <c r="E78" s="2" t="s">
        <v>2</v>
      </c>
      <c r="F78" s="2" t="s">
        <v>3</v>
      </c>
      <c r="G78" s="2" t="s">
        <v>4</v>
      </c>
      <c r="H78" s="2" t="s">
        <v>5</v>
      </c>
      <c r="I78" s="2" t="s">
        <v>6</v>
      </c>
      <c r="J78" s="2" t="s">
        <v>7</v>
      </c>
    </row>
    <row r="79">
      <c r="A79" s="31" t="s">
        <v>382</v>
      </c>
      <c r="B79" s="185"/>
      <c r="C79" s="177">
        <v>74.4</v>
      </c>
      <c r="D79" s="177">
        <v>74.2</v>
      </c>
      <c r="E79" s="177">
        <v>73.5</v>
      </c>
      <c r="F79" s="177">
        <v>72.7</v>
      </c>
      <c r="G79" s="177">
        <v>76.6</v>
      </c>
      <c r="H79" s="177">
        <v>76.3</v>
      </c>
      <c r="I79" s="177">
        <v>78.8</v>
      </c>
      <c r="J79" s="177">
        <v>76.6</v>
      </c>
      <c r="K79" s="186" t="s">
        <v>383</v>
      </c>
    </row>
    <row r="80">
      <c r="A80" s="3" t="s">
        <v>384</v>
      </c>
      <c r="C80" s="187">
        <v>74.4</v>
      </c>
      <c r="D80" s="187">
        <v>74.2</v>
      </c>
      <c r="E80" s="187">
        <v>73.5</v>
      </c>
      <c r="F80" s="187">
        <v>72.7</v>
      </c>
      <c r="G80" s="187">
        <v>87.8</v>
      </c>
      <c r="H80" s="187">
        <v>85.4</v>
      </c>
      <c r="I80" s="187">
        <v>82.7</v>
      </c>
      <c r="J80" s="187">
        <v>80.5</v>
      </c>
      <c r="K80" s="188" t="s">
        <v>385</v>
      </c>
    </row>
  </sheetData>
  <mergeCells count="1">
    <mergeCell ref="N68:O6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10" width="12.5"/>
    <col customWidth="1" min="11" max="11" width="37.0"/>
  </cols>
  <sheetData>
    <row r="1">
      <c r="A1" s="92">
        <v>44603.0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189" t="s">
        <v>386</v>
      </c>
      <c r="B2" s="190"/>
      <c r="C2" s="4"/>
      <c r="D2" s="4"/>
      <c r="E2" s="54"/>
      <c r="F2" s="54"/>
      <c r="G2" s="54"/>
      <c r="H2" s="54"/>
      <c r="J2" s="5"/>
      <c r="L2" s="3"/>
      <c r="N2" s="7"/>
      <c r="O2" s="52"/>
      <c r="P2" s="3"/>
      <c r="Q2" s="52"/>
    </row>
    <row r="3">
      <c r="A3" s="3" t="s">
        <v>15</v>
      </c>
      <c r="B3" s="4"/>
      <c r="C3" s="4" t="s">
        <v>16</v>
      </c>
      <c r="D3" s="4" t="s">
        <v>16</v>
      </c>
      <c r="E3" s="54" t="s">
        <v>152</v>
      </c>
      <c r="F3" s="54" t="s">
        <v>293</v>
      </c>
      <c r="G3" s="8" t="s">
        <v>18</v>
      </c>
      <c r="H3" s="8" t="s">
        <v>18</v>
      </c>
      <c r="I3" s="8" t="s">
        <v>316</v>
      </c>
      <c r="J3" s="8" t="s">
        <v>18</v>
      </c>
      <c r="L3" s="3" t="s">
        <v>20</v>
      </c>
      <c r="N3" s="7" t="s">
        <v>22</v>
      </c>
      <c r="O3" s="52"/>
      <c r="P3" s="3" t="s">
        <v>23</v>
      </c>
      <c r="Q3" s="52"/>
    </row>
    <row r="4">
      <c r="A4" s="3" t="s">
        <v>24</v>
      </c>
      <c r="B4" s="4"/>
      <c r="C4" s="4" t="s">
        <v>25</v>
      </c>
      <c r="D4" s="4" t="s">
        <v>25</v>
      </c>
      <c r="E4" s="54" t="s">
        <v>153</v>
      </c>
      <c r="F4" s="54" t="s">
        <v>295</v>
      </c>
      <c r="G4" s="8" t="s">
        <v>153</v>
      </c>
      <c r="H4" s="8" t="s">
        <v>153</v>
      </c>
      <c r="I4" s="8" t="s">
        <v>154</v>
      </c>
      <c r="J4" s="8" t="s">
        <v>153</v>
      </c>
      <c r="L4" s="3" t="s">
        <v>20</v>
      </c>
      <c r="N4" s="7" t="s">
        <v>22</v>
      </c>
      <c r="O4" s="52"/>
      <c r="P4" s="3" t="s">
        <v>23</v>
      </c>
      <c r="Q4" s="52"/>
    </row>
    <row r="5">
      <c r="A5" s="3" t="s">
        <v>28</v>
      </c>
      <c r="B5" s="4"/>
      <c r="C5" s="4" t="s">
        <v>29</v>
      </c>
      <c r="D5" s="4" t="s">
        <v>139</v>
      </c>
      <c r="E5" s="54" t="s">
        <v>199</v>
      </c>
      <c r="F5" s="54" t="s">
        <v>298</v>
      </c>
      <c r="G5" s="8" t="s">
        <v>317</v>
      </c>
      <c r="H5" s="8" t="s">
        <v>318</v>
      </c>
      <c r="I5" s="8" t="s">
        <v>155</v>
      </c>
      <c r="J5" s="8" t="s">
        <v>30</v>
      </c>
      <c r="L5" s="3" t="s">
        <v>33</v>
      </c>
      <c r="M5" s="3" t="s">
        <v>21</v>
      </c>
      <c r="N5" s="3" t="s">
        <v>23</v>
      </c>
      <c r="O5" s="53"/>
      <c r="Q5" s="52"/>
    </row>
    <row r="6">
      <c r="A6" s="3" t="s">
        <v>35</v>
      </c>
      <c r="B6" s="4"/>
      <c r="C6" s="4">
        <v>5.7</v>
      </c>
      <c r="D6" s="54" t="s">
        <v>144</v>
      </c>
      <c r="E6" s="54" t="s">
        <v>201</v>
      </c>
      <c r="F6" s="54" t="s">
        <v>299</v>
      </c>
      <c r="G6" s="8" t="s">
        <v>319</v>
      </c>
      <c r="H6" s="8" t="s">
        <v>304</v>
      </c>
      <c r="I6" s="8" t="s">
        <v>194</v>
      </c>
      <c r="J6" s="8" t="s">
        <v>320</v>
      </c>
      <c r="L6" s="3" t="s">
        <v>20</v>
      </c>
      <c r="N6" s="7" t="s">
        <v>22</v>
      </c>
      <c r="O6" s="53"/>
      <c r="P6" s="3" t="s">
        <v>23</v>
      </c>
      <c r="Q6" s="52"/>
    </row>
    <row r="7" hidden="1">
      <c r="A7" s="3"/>
      <c r="B7" s="4"/>
      <c r="C7" s="4"/>
      <c r="D7" s="54"/>
      <c r="E7" s="111" t="s">
        <v>241</v>
      </c>
      <c r="F7" s="112" t="s">
        <v>236</v>
      </c>
      <c r="G7" s="112" t="s">
        <v>237</v>
      </c>
      <c r="H7" s="112" t="s">
        <v>238</v>
      </c>
      <c r="I7" s="112" t="s">
        <v>239</v>
      </c>
      <c r="J7" s="5"/>
      <c r="L7" s="3"/>
      <c r="N7" s="7"/>
      <c r="O7" s="52"/>
      <c r="P7" s="3"/>
      <c r="Q7" s="52"/>
    </row>
    <row r="8">
      <c r="A8" s="3" t="s">
        <v>42</v>
      </c>
      <c r="B8" s="4"/>
      <c r="C8" s="4">
        <v>4.5</v>
      </c>
      <c r="D8" s="54">
        <v>5.5</v>
      </c>
      <c r="E8" s="54" t="s">
        <v>194</v>
      </c>
      <c r="F8" s="54">
        <v>8.5</v>
      </c>
      <c r="G8" s="190" t="s">
        <v>387</v>
      </c>
      <c r="H8" s="190" t="s">
        <v>387</v>
      </c>
      <c r="I8" s="190" t="s">
        <v>388</v>
      </c>
      <c r="J8" s="190" t="s">
        <v>389</v>
      </c>
      <c r="K8" s="172" t="s">
        <v>323</v>
      </c>
      <c r="L8" s="3" t="s">
        <v>20</v>
      </c>
      <c r="N8" s="7" t="s">
        <v>22</v>
      </c>
      <c r="O8" s="52" t="s">
        <v>324</v>
      </c>
      <c r="P8" s="3" t="s">
        <v>23</v>
      </c>
      <c r="Q8" s="52"/>
    </row>
    <row r="9">
      <c r="E9" s="114" t="s">
        <v>241</v>
      </c>
      <c r="F9" s="115" t="s">
        <v>242</v>
      </c>
      <c r="G9" s="115" t="s">
        <v>242</v>
      </c>
      <c r="H9" s="115" t="s">
        <v>194</v>
      </c>
      <c r="I9" s="115" t="s">
        <v>148</v>
      </c>
      <c r="O9" s="55"/>
      <c r="Q9" s="55"/>
    </row>
    <row r="10">
      <c r="A10" s="3" t="s">
        <v>47</v>
      </c>
      <c r="C10" s="4">
        <v>5.7</v>
      </c>
      <c r="D10" s="4">
        <v>6.5</v>
      </c>
      <c r="E10" s="62">
        <v>7.4</v>
      </c>
      <c r="F10" s="54">
        <v>8.1</v>
      </c>
      <c r="G10" s="54"/>
      <c r="H10" s="62"/>
      <c r="I10" s="62"/>
      <c r="J10" s="62"/>
    </row>
    <row r="11">
      <c r="A11" s="3" t="s">
        <v>162</v>
      </c>
      <c r="D11" s="111" t="s">
        <v>241</v>
      </c>
      <c r="E11" s="117">
        <v>7.0</v>
      </c>
      <c r="F11" s="112">
        <v>7.3</v>
      </c>
      <c r="G11" s="112"/>
      <c r="H11" s="112"/>
      <c r="I11" s="117"/>
      <c r="J11" s="112"/>
    </row>
    <row r="12">
      <c r="C12" s="10"/>
      <c r="D12" s="10"/>
      <c r="E12" s="10"/>
      <c r="F12" s="10"/>
      <c r="G12" s="10"/>
      <c r="H12" s="10"/>
      <c r="I12" s="10"/>
      <c r="J12" s="10"/>
    </row>
    <row r="13">
      <c r="E13" s="118">
        <v>74.5</v>
      </c>
      <c r="F13" s="118">
        <v>74.2</v>
      </c>
      <c r="G13" s="118">
        <v>76.5</v>
      </c>
      <c r="H13" s="118">
        <v>77.7</v>
      </c>
      <c r="I13" s="118">
        <v>77.7</v>
      </c>
      <c r="J13" s="118">
        <v>76.5</v>
      </c>
      <c r="K13" s="119" t="s">
        <v>305</v>
      </c>
    </row>
    <row r="14">
      <c r="A14" s="3" t="s">
        <v>48</v>
      </c>
      <c r="C14" s="164">
        <v>74.4</v>
      </c>
      <c r="D14" s="164">
        <v>74.2</v>
      </c>
      <c r="E14" s="164">
        <v>73.5</v>
      </c>
      <c r="F14" s="118">
        <v>72.4</v>
      </c>
      <c r="G14" s="118">
        <v>71.4</v>
      </c>
      <c r="H14" s="118">
        <v>76.4</v>
      </c>
      <c r="I14" s="118">
        <v>78.1</v>
      </c>
      <c r="J14" s="118">
        <v>75.9</v>
      </c>
      <c r="K14" s="119" t="s">
        <v>325</v>
      </c>
    </row>
    <row r="15">
      <c r="A15" s="3" t="s">
        <v>15</v>
      </c>
      <c r="B15" s="11"/>
      <c r="C15" s="23">
        <v>74.4</v>
      </c>
      <c r="D15" s="23">
        <v>74.2</v>
      </c>
      <c r="E15" s="23">
        <v>73.5</v>
      </c>
      <c r="F15" s="23">
        <v>73.1</v>
      </c>
      <c r="G15" s="93">
        <v>76.6</v>
      </c>
      <c r="H15" s="93">
        <v>76.3</v>
      </c>
      <c r="I15" s="93">
        <v>78.8</v>
      </c>
      <c r="J15" s="93">
        <v>76.6</v>
      </c>
      <c r="K15" s="3" t="s">
        <v>326</v>
      </c>
    </row>
    <row r="16">
      <c r="A16" s="3"/>
      <c r="B16" s="12"/>
      <c r="C16" s="12"/>
      <c r="D16" s="13"/>
      <c r="E16" s="13"/>
      <c r="F16" s="13"/>
      <c r="G16" s="13"/>
      <c r="H16" s="13"/>
      <c r="I16" s="13"/>
      <c r="J16" s="13"/>
      <c r="K16" s="13"/>
      <c r="L16" s="13"/>
    </row>
    <row r="17">
      <c r="A17" s="119" t="s">
        <v>50</v>
      </c>
      <c r="B17" s="119"/>
      <c r="C17" s="119"/>
      <c r="D17" s="173"/>
      <c r="E17" s="173"/>
      <c r="F17" s="174">
        <v>8.2</v>
      </c>
      <c r="G17" s="175">
        <v>7.0</v>
      </c>
      <c r="H17" s="174">
        <v>44202.0</v>
      </c>
      <c r="I17" s="174">
        <v>44352.0</v>
      </c>
      <c r="J17" s="175">
        <v>4.9</v>
      </c>
      <c r="K17" s="119" t="s">
        <v>327</v>
      </c>
      <c r="L17" s="173"/>
      <c r="M17" s="173"/>
      <c r="N17" s="173"/>
      <c r="O17" s="173"/>
      <c r="P17" s="173"/>
      <c r="Q17" s="173"/>
      <c r="R17" s="173"/>
      <c r="S17" s="173"/>
      <c r="T17" s="173"/>
      <c r="U17" s="173"/>
      <c r="V17" s="173"/>
      <c r="W17" s="173"/>
      <c r="X17" s="173"/>
      <c r="Y17" s="173"/>
      <c r="Z17" s="173"/>
      <c r="AA17" s="173"/>
      <c r="AB17" s="173"/>
      <c r="AC17" s="173"/>
      <c r="AD17" s="173"/>
      <c r="AE17" s="173"/>
    </row>
    <row r="18">
      <c r="A18" s="3" t="s">
        <v>50</v>
      </c>
      <c r="B18" s="12"/>
      <c r="C18" s="12"/>
      <c r="D18" s="13"/>
      <c r="E18" s="13"/>
      <c r="F18" s="14">
        <v>44659.0</v>
      </c>
      <c r="G18" s="14">
        <v>44780.0</v>
      </c>
      <c r="H18" s="14">
        <v>44718.0</v>
      </c>
      <c r="I18" s="14">
        <v>44598.0</v>
      </c>
      <c r="J18" s="14">
        <v>44625.0</v>
      </c>
      <c r="K18" s="3" t="s">
        <v>328</v>
      </c>
    </row>
    <row r="19">
      <c r="B19" s="12"/>
      <c r="C19" s="12"/>
      <c r="D19" s="13"/>
      <c r="E19" s="13"/>
      <c r="F19" s="13"/>
      <c r="G19" s="176">
        <v>44659.0</v>
      </c>
      <c r="H19" s="176">
        <v>44749.0</v>
      </c>
      <c r="I19" s="176">
        <v>44779.0</v>
      </c>
      <c r="J19" s="176">
        <v>44625.0</v>
      </c>
      <c r="K19" s="3" t="s">
        <v>329</v>
      </c>
      <c r="N19" s="3"/>
    </row>
    <row r="20">
      <c r="B20" s="12"/>
      <c r="C20" s="12"/>
      <c r="D20" s="13"/>
      <c r="E20" s="13"/>
      <c r="F20" s="13"/>
      <c r="G20" s="13"/>
      <c r="H20" s="62"/>
      <c r="I20" s="62"/>
      <c r="J20" s="4"/>
      <c r="N20" s="3" t="s">
        <v>330</v>
      </c>
    </row>
    <row r="21" hidden="1">
      <c r="B21" s="15" t="s">
        <v>52</v>
      </c>
      <c r="C21" s="16"/>
      <c r="D21" s="16"/>
      <c r="E21" s="16"/>
      <c r="F21" s="17" t="s">
        <v>53</v>
      </c>
      <c r="G21" s="18"/>
      <c r="H21" s="18"/>
      <c r="I21" s="18"/>
      <c r="J21" s="18"/>
      <c r="K21" s="3"/>
    </row>
    <row r="22" hidden="1">
      <c r="A22" s="3"/>
      <c r="B22" s="16" t="s">
        <v>28</v>
      </c>
      <c r="C22" s="16"/>
      <c r="D22" s="16"/>
      <c r="E22" s="16"/>
      <c r="F22" s="20" t="s">
        <v>207</v>
      </c>
      <c r="G22" s="20">
        <v>0.085534</v>
      </c>
      <c r="H22" s="20">
        <v>-0.09657</v>
      </c>
      <c r="I22" s="20">
        <v>-0.074</v>
      </c>
      <c r="J22" s="18"/>
      <c r="K22" s="31" t="s">
        <v>164</v>
      </c>
    </row>
    <row r="23" hidden="1">
      <c r="A23" s="3"/>
      <c r="B23" s="16" t="s">
        <v>55</v>
      </c>
      <c r="C23" s="16"/>
      <c r="D23" s="16"/>
      <c r="E23" s="16"/>
      <c r="F23" s="20" t="s">
        <v>208</v>
      </c>
      <c r="G23" s="20">
        <v>0.0891</v>
      </c>
      <c r="H23" s="20">
        <v>0.015935</v>
      </c>
      <c r="I23" s="20">
        <v>-0.00482</v>
      </c>
      <c r="J23" s="86">
        <v>-0.022</v>
      </c>
      <c r="K23" s="3" t="s">
        <v>56</v>
      </c>
    </row>
    <row r="24" hidden="1">
      <c r="A24" s="3"/>
      <c r="B24" s="16" t="s">
        <v>57</v>
      </c>
      <c r="C24" s="16"/>
      <c r="D24" s="16"/>
      <c r="E24" s="16"/>
      <c r="F24" s="57" t="s">
        <v>209</v>
      </c>
      <c r="G24" s="20">
        <v>0.166436</v>
      </c>
      <c r="H24" s="20">
        <v>-0.21198</v>
      </c>
      <c r="I24" s="20">
        <v>-0.40366</v>
      </c>
      <c r="J24" s="88">
        <v>-0.267</v>
      </c>
      <c r="K24" s="3" t="s">
        <v>56</v>
      </c>
    </row>
    <row r="25" hidden="1">
      <c r="A25" s="3"/>
      <c r="B25" s="16" t="s">
        <v>58</v>
      </c>
      <c r="C25" s="16"/>
      <c r="D25" s="16"/>
      <c r="E25" s="16"/>
      <c r="F25" s="20" t="s">
        <v>210</v>
      </c>
      <c r="G25" s="20">
        <v>0.09644</v>
      </c>
      <c r="H25" s="20">
        <v>-0.01752</v>
      </c>
      <c r="I25" s="20">
        <v>0.090012</v>
      </c>
      <c r="J25" s="88">
        <v>-0.051</v>
      </c>
      <c r="K25" s="3" t="s">
        <v>56</v>
      </c>
    </row>
    <row r="26" hidden="1">
      <c r="A26" s="3"/>
      <c r="B26" s="16" t="s">
        <v>60</v>
      </c>
      <c r="C26" s="16"/>
      <c r="D26" s="16"/>
      <c r="E26" s="16"/>
      <c r="F26" s="20" t="s">
        <v>211</v>
      </c>
      <c r="G26" s="20">
        <v>0.136107</v>
      </c>
      <c r="H26" s="20">
        <v>0.038548</v>
      </c>
      <c r="I26" s="20">
        <v>-0.09601</v>
      </c>
      <c r="J26" s="88">
        <v>-0.099</v>
      </c>
      <c r="K26" s="3" t="s">
        <v>56</v>
      </c>
    </row>
    <row r="27" hidden="1">
      <c r="A27" s="3"/>
      <c r="B27" s="16" t="s">
        <v>62</v>
      </c>
      <c r="C27" s="16"/>
      <c r="D27" s="16"/>
      <c r="E27" s="16"/>
      <c r="F27" s="18">
        <f t="shared" ref="F27:J27" si="1">F50</f>
        <v>72.8</v>
      </c>
      <c r="G27" s="18">
        <f t="shared" si="1"/>
        <v>78</v>
      </c>
      <c r="H27" s="18">
        <f t="shared" si="1"/>
        <v>77.6</v>
      </c>
      <c r="I27" s="18">
        <f t="shared" si="1"/>
        <v>79.8</v>
      </c>
      <c r="J27" s="89">
        <f t="shared" si="1"/>
        <v>78.2</v>
      </c>
      <c r="K27" s="3" t="s">
        <v>63</v>
      </c>
    </row>
    <row r="28" hidden="1">
      <c r="A28" s="3"/>
      <c r="B28" s="16" t="s">
        <v>64</v>
      </c>
      <c r="C28" s="16"/>
      <c r="D28" s="16"/>
      <c r="E28" s="16"/>
      <c r="F28" s="95">
        <v>0.09</v>
      </c>
      <c r="G28" s="20">
        <v>0.08</v>
      </c>
      <c r="H28" s="20">
        <v>0.07</v>
      </c>
      <c r="I28" s="20">
        <v>0.07</v>
      </c>
      <c r="J28" s="86">
        <v>0.07</v>
      </c>
      <c r="K28" s="3" t="s">
        <v>65</v>
      </c>
    </row>
    <row r="29" hidden="1">
      <c r="A29" s="3"/>
      <c r="B29" s="16" t="s">
        <v>66</v>
      </c>
      <c r="C29" s="16"/>
      <c r="D29" s="16"/>
      <c r="E29" s="16"/>
      <c r="F29" s="21">
        <v>0.042</v>
      </c>
      <c r="G29" s="21">
        <v>0.042</v>
      </c>
      <c r="H29" s="21">
        <v>0.042</v>
      </c>
      <c r="I29" s="21">
        <v>0.042</v>
      </c>
      <c r="J29" s="88">
        <v>0.042</v>
      </c>
      <c r="K29" s="3" t="s">
        <v>67</v>
      </c>
    </row>
    <row r="30" hidden="1">
      <c r="A30" s="3"/>
      <c r="B30" s="16" t="s">
        <v>68</v>
      </c>
      <c r="C30" s="16"/>
      <c r="D30" s="16"/>
      <c r="E30" s="16"/>
      <c r="F30" s="21">
        <v>0.024</v>
      </c>
      <c r="G30" s="21">
        <v>0.024</v>
      </c>
      <c r="H30" s="21">
        <v>0.024</v>
      </c>
      <c r="I30" s="21">
        <v>0.024</v>
      </c>
      <c r="J30" s="88">
        <v>0.024</v>
      </c>
      <c r="K30" s="3" t="s">
        <v>67</v>
      </c>
    </row>
    <row r="31">
      <c r="F31" s="3" t="s">
        <v>15</v>
      </c>
      <c r="G31" s="177">
        <v>76.6</v>
      </c>
      <c r="H31" s="177">
        <v>76.3</v>
      </c>
      <c r="I31" s="177">
        <v>78.8</v>
      </c>
      <c r="J31" s="177">
        <v>76.6</v>
      </c>
      <c r="N31" s="178" t="s">
        <v>331</v>
      </c>
      <c r="O31" s="179" t="s">
        <v>81</v>
      </c>
      <c r="P31" s="179" t="s">
        <v>114</v>
      </c>
    </row>
    <row r="32">
      <c r="A32" s="31" t="s">
        <v>245</v>
      </c>
      <c r="B32" s="3"/>
      <c r="C32" s="3"/>
      <c r="D32" s="3"/>
      <c r="F32" s="4"/>
      <c r="G32" s="4"/>
      <c r="H32" s="4"/>
      <c r="I32" s="4"/>
      <c r="J32" s="4"/>
      <c r="K32" s="3"/>
      <c r="L32" s="3"/>
      <c r="M32" s="3"/>
      <c r="N32" s="180" t="s">
        <v>332</v>
      </c>
      <c r="O32" s="181" t="s">
        <v>333</v>
      </c>
      <c r="P32" s="181" t="s">
        <v>334</v>
      </c>
    </row>
    <row r="33">
      <c r="A33" s="3" t="s">
        <v>28</v>
      </c>
      <c r="B33" s="10" t="s">
        <v>69</v>
      </c>
      <c r="C33" s="167">
        <v>61.0</v>
      </c>
      <c r="D33" s="167">
        <v>69.0</v>
      </c>
      <c r="E33" s="167">
        <v>73.0</v>
      </c>
      <c r="F33" s="167">
        <v>79.0</v>
      </c>
      <c r="G33" s="93">
        <v>88.0</v>
      </c>
      <c r="H33" s="93">
        <v>81.0</v>
      </c>
      <c r="I33" s="93">
        <v>74.0</v>
      </c>
      <c r="J33" s="93">
        <v>66.0</v>
      </c>
      <c r="K33" s="182" t="s">
        <v>247</v>
      </c>
      <c r="N33" s="180" t="s">
        <v>335</v>
      </c>
      <c r="O33" s="181" t="s">
        <v>336</v>
      </c>
      <c r="P33" s="181" t="s">
        <v>337</v>
      </c>
    </row>
    <row r="34">
      <c r="A34" s="22" t="s">
        <v>74</v>
      </c>
      <c r="B34" s="10" t="s">
        <v>75</v>
      </c>
      <c r="C34" s="97">
        <v>169.0</v>
      </c>
      <c r="D34" s="97">
        <v>202.0</v>
      </c>
      <c r="E34" s="97">
        <v>278.0</v>
      </c>
      <c r="F34" s="97">
        <v>490.0</v>
      </c>
      <c r="G34" s="97">
        <v>458.0</v>
      </c>
      <c r="H34" s="97">
        <v>312.0</v>
      </c>
      <c r="I34" s="97">
        <v>264.0</v>
      </c>
      <c r="J34" s="97">
        <v>305.0</v>
      </c>
      <c r="K34" s="3" t="s">
        <v>309</v>
      </c>
      <c r="N34" s="180" t="s">
        <v>338</v>
      </c>
      <c r="O34" s="181" t="s">
        <v>339</v>
      </c>
      <c r="P34" s="181" t="s">
        <v>337</v>
      </c>
    </row>
    <row r="35">
      <c r="A35" s="22" t="s">
        <v>74</v>
      </c>
      <c r="B35" s="10" t="s">
        <v>248</v>
      </c>
      <c r="C35" s="123">
        <f t="shared" ref="C35:J35" si="2">C34/35.3</f>
        <v>4.787535411</v>
      </c>
      <c r="D35" s="123">
        <f t="shared" si="2"/>
        <v>5.722379603</v>
      </c>
      <c r="E35" s="123">
        <f t="shared" si="2"/>
        <v>7.875354108</v>
      </c>
      <c r="F35" s="123">
        <f t="shared" si="2"/>
        <v>13.88101983</v>
      </c>
      <c r="G35" s="123">
        <f t="shared" si="2"/>
        <v>12.97450425</v>
      </c>
      <c r="H35" s="123">
        <f t="shared" si="2"/>
        <v>8.838526912</v>
      </c>
      <c r="I35" s="123">
        <f t="shared" si="2"/>
        <v>7.478753541</v>
      </c>
      <c r="J35" s="123">
        <f t="shared" si="2"/>
        <v>8.640226629</v>
      </c>
      <c r="K35" s="3" t="s">
        <v>309</v>
      </c>
      <c r="L35" s="124"/>
      <c r="M35" s="124"/>
      <c r="N35" s="180" t="s">
        <v>340</v>
      </c>
      <c r="O35" s="181" t="s">
        <v>341</v>
      </c>
      <c r="P35" s="181" t="s">
        <v>337</v>
      </c>
    </row>
    <row r="36">
      <c r="A36" s="3" t="s">
        <v>249</v>
      </c>
      <c r="B36" s="10" t="s">
        <v>248</v>
      </c>
      <c r="C36" s="11">
        <v>6.8</v>
      </c>
      <c r="D36" s="11">
        <v>8.7</v>
      </c>
      <c r="E36" s="11">
        <v>16.9</v>
      </c>
      <c r="F36" s="11">
        <v>33.0</v>
      </c>
      <c r="G36" s="11">
        <v>29.0</v>
      </c>
      <c r="H36" s="11">
        <v>15.0</v>
      </c>
      <c r="I36" s="11">
        <v>11.0</v>
      </c>
      <c r="J36" s="11">
        <v>15.0</v>
      </c>
      <c r="K36" s="125" t="s">
        <v>250</v>
      </c>
      <c r="N36" s="180" t="s">
        <v>171</v>
      </c>
      <c r="O36" s="181" t="s">
        <v>342</v>
      </c>
      <c r="P36" s="181" t="s">
        <v>337</v>
      </c>
    </row>
    <row r="37">
      <c r="A37" s="3"/>
      <c r="B37" s="10"/>
      <c r="C37" s="126"/>
      <c r="D37" s="126"/>
      <c r="E37" s="126"/>
      <c r="F37" s="11"/>
      <c r="G37" s="11">
        <v>29.0</v>
      </c>
      <c r="H37" s="11">
        <v>29.0</v>
      </c>
      <c r="I37" s="11">
        <v>28.5</v>
      </c>
      <c r="J37" s="11">
        <v>29.5</v>
      </c>
      <c r="K37" s="127" t="s">
        <v>251</v>
      </c>
      <c r="N37" s="180" t="s">
        <v>343</v>
      </c>
      <c r="O37" s="181" t="s">
        <v>344</v>
      </c>
      <c r="P37" s="181" t="s">
        <v>337</v>
      </c>
    </row>
    <row r="38">
      <c r="A38" s="3" t="s">
        <v>252</v>
      </c>
      <c r="B38" s="10" t="s">
        <v>248</v>
      </c>
      <c r="C38" s="128">
        <f t="shared" ref="C38:J38" si="3">14%*C33</f>
        <v>8.54</v>
      </c>
      <c r="D38" s="128">
        <f t="shared" si="3"/>
        <v>9.66</v>
      </c>
      <c r="E38" s="128">
        <f t="shared" si="3"/>
        <v>10.22</v>
      </c>
      <c r="F38" s="128">
        <f t="shared" si="3"/>
        <v>11.06</v>
      </c>
      <c r="G38" s="128">
        <f t="shared" si="3"/>
        <v>12.32</v>
      </c>
      <c r="H38" s="128">
        <f t="shared" si="3"/>
        <v>11.34</v>
      </c>
      <c r="I38" s="128">
        <f t="shared" si="3"/>
        <v>10.36</v>
      </c>
      <c r="J38" s="128">
        <f t="shared" si="3"/>
        <v>9.24</v>
      </c>
      <c r="K38" s="127" t="s">
        <v>253</v>
      </c>
      <c r="N38" s="180" t="s">
        <v>345</v>
      </c>
      <c r="O38" s="181" t="s">
        <v>346</v>
      </c>
      <c r="P38" s="181" t="s">
        <v>334</v>
      </c>
    </row>
    <row r="39">
      <c r="A39" s="3" t="s">
        <v>254</v>
      </c>
      <c r="B39" s="10" t="s">
        <v>248</v>
      </c>
      <c r="C39" s="128">
        <f>0.8*C36 + 0.2*C38</f>
        <v>7.148</v>
      </c>
      <c r="D39" s="128">
        <f t="shared" ref="D39:J39" si="4">0.8*D36+0.2*D38</f>
        <v>8.892</v>
      </c>
      <c r="E39" s="128">
        <f t="shared" si="4"/>
        <v>15.564</v>
      </c>
      <c r="F39" s="128">
        <f t="shared" si="4"/>
        <v>28.612</v>
      </c>
      <c r="G39" s="128">
        <f t="shared" si="4"/>
        <v>25.664</v>
      </c>
      <c r="H39" s="128">
        <f t="shared" si="4"/>
        <v>14.268</v>
      </c>
      <c r="I39" s="128">
        <f t="shared" si="4"/>
        <v>10.872</v>
      </c>
      <c r="J39" s="128">
        <f t="shared" si="4"/>
        <v>13.848</v>
      </c>
      <c r="K39" s="127" t="s">
        <v>255</v>
      </c>
      <c r="L39" s="22"/>
      <c r="N39" s="180" t="s">
        <v>347</v>
      </c>
      <c r="O39" s="181" t="s">
        <v>344</v>
      </c>
      <c r="P39" s="181" t="s">
        <v>334</v>
      </c>
    </row>
    <row r="40">
      <c r="A40" s="129" t="s">
        <v>256</v>
      </c>
      <c r="B40" s="130"/>
      <c r="C40" s="131">
        <f t="shared" ref="C40:J40" si="5">C39-C35</f>
        <v>2.360464589</v>
      </c>
      <c r="D40" s="131">
        <f t="shared" si="5"/>
        <v>3.169620397</v>
      </c>
      <c r="E40" s="131">
        <f t="shared" si="5"/>
        <v>7.688645892</v>
      </c>
      <c r="F40" s="131">
        <f t="shared" si="5"/>
        <v>14.73098017</v>
      </c>
      <c r="G40" s="131">
        <f t="shared" si="5"/>
        <v>12.68949575</v>
      </c>
      <c r="H40" s="131">
        <f t="shared" si="5"/>
        <v>5.429473088</v>
      </c>
      <c r="I40" s="131">
        <f t="shared" si="5"/>
        <v>3.393246459</v>
      </c>
      <c r="J40" s="131">
        <f t="shared" si="5"/>
        <v>5.207773371</v>
      </c>
      <c r="K40" s="129" t="s">
        <v>257</v>
      </c>
      <c r="L40" s="130"/>
      <c r="M40" s="130"/>
      <c r="N40" s="180" t="s">
        <v>348</v>
      </c>
      <c r="O40" s="181" t="s">
        <v>349</v>
      </c>
      <c r="P40" s="181" t="s">
        <v>334</v>
      </c>
      <c r="Q40" s="130"/>
      <c r="R40" s="130"/>
      <c r="S40" s="130"/>
      <c r="T40" s="130"/>
      <c r="U40" s="130"/>
      <c r="V40" s="130"/>
      <c r="W40" s="130"/>
      <c r="X40" s="130"/>
      <c r="Y40" s="130"/>
      <c r="Z40" s="130"/>
      <c r="AA40" s="130"/>
      <c r="AB40" s="130"/>
      <c r="AC40" s="130"/>
      <c r="AD40" s="130"/>
      <c r="AE40" s="130"/>
    </row>
    <row r="41">
      <c r="N41" s="180" t="s">
        <v>350</v>
      </c>
      <c r="O41" s="181" t="s">
        <v>351</v>
      </c>
      <c r="P41" s="181" t="s">
        <v>352</v>
      </c>
    </row>
    <row r="42">
      <c r="A42" s="22" t="s">
        <v>76</v>
      </c>
      <c r="B42" s="10" t="s">
        <v>77</v>
      </c>
      <c r="C42" s="97">
        <v>1038.0</v>
      </c>
      <c r="D42" s="97">
        <v>1394.0</v>
      </c>
      <c r="E42" s="97">
        <v>1785.0</v>
      </c>
      <c r="F42" s="97">
        <v>1863.0</v>
      </c>
      <c r="G42" s="97">
        <v>1289.0</v>
      </c>
      <c r="H42" s="97">
        <v>1056.0</v>
      </c>
      <c r="I42" s="97">
        <v>995.0</v>
      </c>
      <c r="J42" s="97">
        <v>957.0</v>
      </c>
      <c r="K42" s="3" t="s">
        <v>54</v>
      </c>
      <c r="N42" s="180" t="s">
        <v>353</v>
      </c>
      <c r="O42" s="181" t="s">
        <v>354</v>
      </c>
      <c r="P42" s="181" t="s">
        <v>352</v>
      </c>
    </row>
    <row r="43">
      <c r="A43" s="132"/>
      <c r="B43" s="132"/>
      <c r="C43" s="133"/>
      <c r="D43" s="133"/>
      <c r="E43" s="133"/>
      <c r="F43" s="133"/>
      <c r="G43" s="133"/>
      <c r="H43" s="133"/>
      <c r="I43" s="133"/>
      <c r="J43" s="133"/>
      <c r="K43" s="134"/>
      <c r="L43" s="134"/>
      <c r="M43" s="134"/>
      <c r="N43" s="180" t="s">
        <v>355</v>
      </c>
      <c r="O43" s="181" t="s">
        <v>356</v>
      </c>
      <c r="P43" s="181" t="s">
        <v>357</v>
      </c>
      <c r="Q43" s="134"/>
      <c r="R43" s="134"/>
      <c r="S43" s="134"/>
      <c r="T43" s="134"/>
      <c r="U43" s="134"/>
      <c r="V43" s="134"/>
      <c r="W43" s="134"/>
      <c r="X43" s="134"/>
      <c r="Y43" s="134"/>
      <c r="Z43" s="134"/>
      <c r="AA43" s="134"/>
      <c r="AB43" s="134"/>
      <c r="AC43" s="134"/>
      <c r="AD43" s="134"/>
      <c r="AE43" s="134"/>
    </row>
    <row r="44">
      <c r="A44" s="3" t="s">
        <v>78</v>
      </c>
      <c r="B44" s="12" t="s">
        <v>79</v>
      </c>
      <c r="C44" s="97" t="s">
        <v>358</v>
      </c>
      <c r="D44" s="97" t="s">
        <v>359</v>
      </c>
      <c r="E44" s="97" t="s">
        <v>360</v>
      </c>
      <c r="F44" s="97" t="s">
        <v>361</v>
      </c>
      <c r="G44" s="97" t="s">
        <v>362</v>
      </c>
      <c r="H44" s="97" t="s">
        <v>363</v>
      </c>
      <c r="I44" s="97" t="s">
        <v>364</v>
      </c>
      <c r="J44" s="97" t="s">
        <v>365</v>
      </c>
    </row>
    <row r="45">
      <c r="A45" s="3" t="s">
        <v>80</v>
      </c>
      <c r="B45" s="3" t="s">
        <v>79</v>
      </c>
      <c r="C45" s="97" t="s">
        <v>366</v>
      </c>
      <c r="D45" s="97" t="s">
        <v>367</v>
      </c>
      <c r="E45" s="97" t="s">
        <v>368</v>
      </c>
      <c r="F45" s="97" t="s">
        <v>369</v>
      </c>
      <c r="G45" s="97" t="s">
        <v>370</v>
      </c>
      <c r="H45" s="97" t="s">
        <v>371</v>
      </c>
      <c r="I45" s="97" t="s">
        <v>372</v>
      </c>
      <c r="J45" s="97" t="s">
        <v>372</v>
      </c>
    </row>
    <row r="46">
      <c r="A46" s="3" t="s">
        <v>81</v>
      </c>
      <c r="B46" s="3" t="s">
        <v>79</v>
      </c>
      <c r="C46" s="97" t="s">
        <v>373</v>
      </c>
      <c r="D46" s="97" t="s">
        <v>374</v>
      </c>
      <c r="E46" s="97" t="s">
        <v>375</v>
      </c>
      <c r="F46" s="97" t="s">
        <v>376</v>
      </c>
      <c r="G46" s="97" t="s">
        <v>377</v>
      </c>
      <c r="H46" s="97" t="s">
        <v>378</v>
      </c>
      <c r="I46" s="97" t="s">
        <v>379</v>
      </c>
      <c r="J46" s="97" t="s">
        <v>380</v>
      </c>
      <c r="K46" s="3" t="s">
        <v>381</v>
      </c>
    </row>
    <row r="47">
      <c r="A47" s="3" t="s">
        <v>259</v>
      </c>
      <c r="B47" s="3" t="s">
        <v>260</v>
      </c>
      <c r="C47" s="97">
        <v>23.0</v>
      </c>
      <c r="D47" s="97">
        <v>18.0</v>
      </c>
      <c r="E47" s="97">
        <v>18.0</v>
      </c>
      <c r="F47" s="97">
        <v>34.0</v>
      </c>
      <c r="G47" s="97">
        <v>18.0</v>
      </c>
      <c r="H47" s="97">
        <v>25.0</v>
      </c>
      <c r="I47" s="97">
        <v>10.0</v>
      </c>
      <c r="J47" s="97">
        <v>23.0</v>
      </c>
    </row>
    <row r="50">
      <c r="A50" s="3" t="s">
        <v>137</v>
      </c>
      <c r="B50" s="11"/>
      <c r="C50" s="33">
        <v>74.4</v>
      </c>
      <c r="D50" s="33">
        <v>73.6</v>
      </c>
      <c r="E50" s="33">
        <v>72.8</v>
      </c>
      <c r="F50" s="33">
        <v>72.8</v>
      </c>
      <c r="G50" s="33">
        <v>78.0</v>
      </c>
      <c r="H50" s="33">
        <v>77.6</v>
      </c>
      <c r="I50" s="33">
        <v>79.8</v>
      </c>
      <c r="J50" s="33">
        <v>78.2</v>
      </c>
      <c r="K50" s="169" t="s">
        <v>311</v>
      </c>
    </row>
    <row r="54">
      <c r="C54" s="35">
        <f t="shared" ref="C54:J54" si="6">VALUE(MID(C3,1,2))</f>
        <v>72</v>
      </c>
      <c r="D54" s="35">
        <f t="shared" si="6"/>
        <v>72</v>
      </c>
      <c r="E54" s="35">
        <f t="shared" si="6"/>
        <v>71</v>
      </c>
      <c r="F54" s="35">
        <f t="shared" si="6"/>
        <v>71</v>
      </c>
      <c r="G54" s="35">
        <f t="shared" si="6"/>
        <v>74</v>
      </c>
      <c r="H54" s="35">
        <f t="shared" si="6"/>
        <v>74</v>
      </c>
      <c r="I54" s="35">
        <f t="shared" si="6"/>
        <v>75</v>
      </c>
      <c r="J54" s="35">
        <f t="shared" si="6"/>
        <v>74</v>
      </c>
    </row>
    <row r="55">
      <c r="C55" s="35">
        <f t="shared" ref="C55:J55" si="7">VALUE(MID(C4,1,2))</f>
        <v>87</v>
      </c>
      <c r="D55" s="35">
        <f t="shared" si="7"/>
        <v>87</v>
      </c>
      <c r="E55" s="35">
        <f t="shared" si="7"/>
        <v>85</v>
      </c>
      <c r="F55" s="35">
        <f t="shared" si="7"/>
        <v>81</v>
      </c>
      <c r="G55" s="35">
        <f t="shared" si="7"/>
        <v>85</v>
      </c>
      <c r="H55" s="35">
        <f t="shared" si="7"/>
        <v>85</v>
      </c>
      <c r="I55" s="35">
        <f t="shared" si="7"/>
        <v>86</v>
      </c>
      <c r="J55" s="35">
        <f t="shared" si="7"/>
        <v>85</v>
      </c>
    </row>
    <row r="56">
      <c r="C56" s="35">
        <f t="shared" ref="C56:J56" si="8">VALUE(MID(C3,4,2))</f>
        <v>77</v>
      </c>
      <c r="D56" s="35">
        <f t="shared" si="8"/>
        <v>77</v>
      </c>
      <c r="E56" s="35">
        <f t="shared" si="8"/>
        <v>76</v>
      </c>
      <c r="F56" s="35">
        <f t="shared" si="8"/>
        <v>75</v>
      </c>
      <c r="G56" s="35">
        <f t="shared" si="8"/>
        <v>79</v>
      </c>
      <c r="H56" s="35">
        <f t="shared" si="8"/>
        <v>79</v>
      </c>
      <c r="I56" s="35">
        <f t="shared" si="8"/>
        <v>80</v>
      </c>
      <c r="J56" s="35">
        <f t="shared" si="8"/>
        <v>79</v>
      </c>
    </row>
    <row r="57">
      <c r="C57" s="35">
        <f t="shared" ref="C57:J57" si="9">VALUE(MID(C4,4,2))</f>
        <v>92</v>
      </c>
      <c r="D57" s="35">
        <f t="shared" si="9"/>
        <v>92</v>
      </c>
      <c r="E57" s="35">
        <f t="shared" si="9"/>
        <v>90</v>
      </c>
      <c r="F57" s="35">
        <f t="shared" si="9"/>
        <v>85</v>
      </c>
      <c r="G57" s="35">
        <f t="shared" si="9"/>
        <v>90</v>
      </c>
      <c r="H57" s="35">
        <f t="shared" si="9"/>
        <v>90</v>
      </c>
      <c r="I57" s="35">
        <f t="shared" si="9"/>
        <v>91</v>
      </c>
      <c r="J57" s="35">
        <f t="shared" si="9"/>
        <v>90</v>
      </c>
    </row>
    <row r="58">
      <c r="C58" s="35">
        <f t="shared" ref="C58:J58" si="10">AVERAGE(C54,C56)</f>
        <v>74.5</v>
      </c>
      <c r="D58" s="35">
        <f t="shared" si="10"/>
        <v>74.5</v>
      </c>
      <c r="E58" s="35">
        <f t="shared" si="10"/>
        <v>73.5</v>
      </c>
      <c r="F58" s="35">
        <f t="shared" si="10"/>
        <v>73</v>
      </c>
      <c r="G58" s="35">
        <f t="shared" si="10"/>
        <v>76.5</v>
      </c>
      <c r="H58" s="35">
        <f t="shared" si="10"/>
        <v>76.5</v>
      </c>
      <c r="I58" s="35">
        <f t="shared" si="10"/>
        <v>77.5</v>
      </c>
      <c r="J58" s="35">
        <f t="shared" si="10"/>
        <v>76.5</v>
      </c>
    </row>
    <row r="59">
      <c r="C59" s="35">
        <f t="shared" ref="C59:J59" si="11">AVERAGE(C55,C57)</f>
        <v>89.5</v>
      </c>
      <c r="D59" s="35">
        <f t="shared" si="11"/>
        <v>89.5</v>
      </c>
      <c r="E59" s="35">
        <f t="shared" si="11"/>
        <v>87.5</v>
      </c>
      <c r="F59" s="35">
        <f t="shared" si="11"/>
        <v>83</v>
      </c>
      <c r="G59" s="35">
        <f t="shared" si="11"/>
        <v>87.5</v>
      </c>
      <c r="H59" s="35">
        <f t="shared" si="11"/>
        <v>87.5</v>
      </c>
      <c r="I59" s="35">
        <f t="shared" si="11"/>
        <v>88.5</v>
      </c>
      <c r="J59" s="35">
        <f t="shared" si="11"/>
        <v>87.5</v>
      </c>
    </row>
    <row r="60">
      <c r="A60" s="3" t="s">
        <v>151</v>
      </c>
      <c r="C60" s="59">
        <f t="shared" ref="C60:J60" si="12">C59/C58</f>
        <v>1.201342282</v>
      </c>
      <c r="D60" s="59">
        <f t="shared" si="12"/>
        <v>1.201342282</v>
      </c>
      <c r="E60" s="59">
        <f t="shared" si="12"/>
        <v>1.19047619</v>
      </c>
      <c r="F60" s="59">
        <f t="shared" si="12"/>
        <v>1.136986301</v>
      </c>
      <c r="G60" s="59">
        <f t="shared" si="12"/>
        <v>1.14379085</v>
      </c>
      <c r="H60" s="59">
        <f t="shared" si="12"/>
        <v>1.14379085</v>
      </c>
      <c r="I60" s="59">
        <f t="shared" si="12"/>
        <v>1.141935484</v>
      </c>
      <c r="J60" s="59">
        <f t="shared" si="12"/>
        <v>1.14379085</v>
      </c>
    </row>
    <row r="64">
      <c r="A64" s="66"/>
      <c r="B64" s="66"/>
      <c r="C64" s="66"/>
      <c r="D64" s="66"/>
      <c r="E64" s="66"/>
      <c r="F64" s="66"/>
      <c r="G64" s="66"/>
      <c r="H64" s="66"/>
      <c r="I64" s="66"/>
      <c r="J64" s="66"/>
      <c r="K64" s="66"/>
      <c r="L64" s="66"/>
      <c r="M64" s="66"/>
      <c r="N64" s="66"/>
      <c r="O64" s="66"/>
    </row>
    <row r="65">
      <c r="A65" s="66"/>
      <c r="B65" s="18" t="s">
        <v>167</v>
      </c>
      <c r="C65" s="18" t="s">
        <v>168</v>
      </c>
      <c r="D65" s="67" t="s">
        <v>169</v>
      </c>
      <c r="E65" s="18" t="s">
        <v>170</v>
      </c>
      <c r="F65" s="18" t="s">
        <v>171</v>
      </c>
      <c r="G65" s="67" t="s">
        <v>172</v>
      </c>
      <c r="H65" s="18" t="s">
        <v>173</v>
      </c>
      <c r="I65" s="18" t="s">
        <v>174</v>
      </c>
      <c r="J65" s="67" t="s">
        <v>175</v>
      </c>
      <c r="K65" s="18" t="s">
        <v>176</v>
      </c>
      <c r="L65" s="18" t="s">
        <v>177</v>
      </c>
      <c r="M65" s="67" t="s">
        <v>178</v>
      </c>
      <c r="N65" s="66"/>
      <c r="O65" s="66"/>
    </row>
    <row r="66">
      <c r="A66" s="68">
        <v>2021.0</v>
      </c>
      <c r="B66" s="69">
        <v>0.67</v>
      </c>
      <c r="C66" s="69">
        <v>0.78</v>
      </c>
      <c r="D66" s="69">
        <v>0.66</v>
      </c>
      <c r="E66" s="69">
        <v>0.58</v>
      </c>
      <c r="F66" s="69">
        <v>0.74</v>
      </c>
      <c r="G66" s="69">
        <v>0.69</v>
      </c>
      <c r="H66" s="98">
        <v>0.31</v>
      </c>
      <c r="I66" s="98">
        <v>0.17</v>
      </c>
      <c r="J66" s="98">
        <v>0.6</v>
      </c>
      <c r="K66" s="170">
        <v>1.11</v>
      </c>
      <c r="L66" s="170">
        <v>0.96</v>
      </c>
      <c r="M66" s="183">
        <v>0.82</v>
      </c>
      <c r="N66" s="73"/>
      <c r="O66" s="74"/>
    </row>
    <row r="67">
      <c r="A67" s="75" t="s">
        <v>179</v>
      </c>
      <c r="B67" s="91">
        <v>5.19</v>
      </c>
      <c r="C67" s="76">
        <v>5.67</v>
      </c>
      <c r="D67" s="76">
        <v>5.79</v>
      </c>
      <c r="E67" s="76">
        <v>5.53</v>
      </c>
      <c r="F67" s="76">
        <v>6.02</v>
      </c>
      <c r="G67" s="76">
        <v>6.5</v>
      </c>
      <c r="H67" s="77">
        <v>6.46</v>
      </c>
      <c r="I67" s="77">
        <v>6.68</v>
      </c>
      <c r="J67" s="135">
        <v>7.4</v>
      </c>
      <c r="K67" s="135">
        <v>8.13</v>
      </c>
      <c r="L67" s="77">
        <v>8.4</v>
      </c>
      <c r="M67" s="184">
        <v>8.39</v>
      </c>
      <c r="N67" s="79"/>
      <c r="O67" s="80">
        <v>2021.0</v>
      </c>
    </row>
    <row r="68">
      <c r="A68" s="66"/>
      <c r="B68" s="66"/>
      <c r="C68" s="66"/>
      <c r="D68" s="66"/>
      <c r="E68" s="66"/>
      <c r="F68" s="66"/>
      <c r="G68" s="66"/>
      <c r="H68" s="66"/>
      <c r="I68" s="66"/>
      <c r="J68" s="66"/>
      <c r="K68" s="66"/>
      <c r="L68" s="66"/>
      <c r="M68" s="66"/>
      <c r="N68" s="81"/>
    </row>
    <row r="69">
      <c r="A69" s="18" t="s">
        <v>181</v>
      </c>
      <c r="B69" s="18">
        <v>0.6</v>
      </c>
      <c r="C69" s="18">
        <v>0.4</v>
      </c>
      <c r="D69" s="18">
        <v>0.5</v>
      </c>
      <c r="E69" s="18">
        <v>0.4</v>
      </c>
      <c r="F69" s="18">
        <v>0.4</v>
      </c>
      <c r="G69" s="18">
        <v>0.4</v>
      </c>
      <c r="H69" s="18">
        <v>0.5</v>
      </c>
      <c r="I69" s="18">
        <v>0.0</v>
      </c>
      <c r="J69" s="18">
        <v>0.2</v>
      </c>
      <c r="K69" s="18">
        <v>0.4</v>
      </c>
      <c r="L69" s="18">
        <v>0.5</v>
      </c>
      <c r="M69" s="18">
        <v>0.5</v>
      </c>
      <c r="N69" s="66"/>
      <c r="O69" s="66"/>
    </row>
    <row r="70">
      <c r="A70" s="18" t="s">
        <v>182</v>
      </c>
      <c r="B70" s="18">
        <v>0.5</v>
      </c>
      <c r="C70" s="18">
        <v>0.3</v>
      </c>
      <c r="D70" s="18">
        <v>0.3</v>
      </c>
      <c r="E70" s="18">
        <v>0.4</v>
      </c>
      <c r="F70" s="18">
        <v>0.4</v>
      </c>
      <c r="G70" s="18">
        <v>0.4</v>
      </c>
      <c r="H70" s="18">
        <v>0.2</v>
      </c>
      <c r="I70" s="82">
        <v>-0.1</v>
      </c>
      <c r="J70" s="82">
        <v>-0.1</v>
      </c>
      <c r="K70" s="18">
        <v>0.3</v>
      </c>
      <c r="L70" s="18">
        <v>0.4</v>
      </c>
      <c r="M70" s="18">
        <v>0.6</v>
      </c>
      <c r="N70" s="66"/>
      <c r="O70" s="66"/>
    </row>
    <row r="71">
      <c r="A71" s="66"/>
      <c r="B71" s="18" t="s">
        <v>183</v>
      </c>
      <c r="C71" s="18" t="s">
        <v>184</v>
      </c>
      <c r="D71" s="18" t="s">
        <v>169</v>
      </c>
      <c r="E71" s="18" t="s">
        <v>185</v>
      </c>
      <c r="F71" s="18" t="s">
        <v>186</v>
      </c>
      <c r="G71" s="18" t="s">
        <v>172</v>
      </c>
      <c r="H71" s="18" t="s">
        <v>187</v>
      </c>
      <c r="I71" s="18" t="s">
        <v>188</v>
      </c>
      <c r="J71" s="18" t="s">
        <v>175</v>
      </c>
      <c r="K71" s="18" t="s">
        <v>189</v>
      </c>
      <c r="L71" s="18" t="s">
        <v>190</v>
      </c>
      <c r="M71" s="18" t="s">
        <v>178</v>
      </c>
      <c r="N71" s="66"/>
      <c r="O71" s="66"/>
    </row>
    <row r="72">
      <c r="A72" s="66"/>
      <c r="B72" s="66"/>
      <c r="C72" s="66"/>
      <c r="D72" s="66"/>
      <c r="E72" s="66"/>
      <c r="F72" s="66"/>
      <c r="G72" s="66"/>
      <c r="H72" s="66"/>
      <c r="I72" s="66"/>
      <c r="J72" s="66"/>
      <c r="K72" s="66"/>
      <c r="L72" s="66"/>
      <c r="M72" s="66"/>
      <c r="N72" s="66"/>
      <c r="O72" s="66"/>
    </row>
    <row r="73">
      <c r="A73" s="66"/>
      <c r="B73" s="66"/>
      <c r="C73" s="66"/>
      <c r="D73" s="66"/>
      <c r="E73" s="66"/>
      <c r="F73" s="66"/>
      <c r="G73" s="66"/>
      <c r="H73" s="66"/>
      <c r="I73" s="66"/>
      <c r="J73" s="66"/>
      <c r="K73" s="66"/>
      <c r="L73" s="66"/>
      <c r="M73" s="66"/>
      <c r="N73" s="66"/>
      <c r="O73" s="66"/>
    </row>
    <row r="74">
      <c r="A74" s="66"/>
      <c r="B74" s="18" t="s">
        <v>167</v>
      </c>
      <c r="C74" s="18" t="s">
        <v>168</v>
      </c>
      <c r="D74" s="83" t="s">
        <v>169</v>
      </c>
      <c r="E74" s="18" t="s">
        <v>170</v>
      </c>
      <c r="F74" s="18" t="s">
        <v>171</v>
      </c>
      <c r="G74" s="83" t="s">
        <v>172</v>
      </c>
      <c r="H74" s="18" t="s">
        <v>173</v>
      </c>
      <c r="I74" s="18" t="s">
        <v>174</v>
      </c>
      <c r="J74" s="83" t="s">
        <v>175</v>
      </c>
      <c r="K74" s="18" t="s">
        <v>176</v>
      </c>
      <c r="L74" s="18" t="s">
        <v>177</v>
      </c>
      <c r="M74" s="83" t="s">
        <v>178</v>
      </c>
      <c r="N74" s="66"/>
      <c r="O74" s="66"/>
    </row>
    <row r="75">
      <c r="A75" s="68">
        <v>2022.0</v>
      </c>
      <c r="B75" s="70">
        <v>1.0</v>
      </c>
      <c r="C75" s="70">
        <v>0.5</v>
      </c>
      <c r="D75" s="70">
        <v>0.5</v>
      </c>
      <c r="E75" s="70">
        <v>0.5</v>
      </c>
      <c r="F75" s="70">
        <v>0.4</v>
      </c>
      <c r="G75" s="70">
        <v>0.5</v>
      </c>
      <c r="H75" s="71">
        <v>0.4</v>
      </c>
      <c r="I75" s="71">
        <v>0.0</v>
      </c>
      <c r="J75" s="71">
        <v>0.2</v>
      </c>
      <c r="K75" s="71">
        <v>0.4</v>
      </c>
      <c r="L75" s="71">
        <v>0.5</v>
      </c>
      <c r="M75" s="72">
        <v>0.6</v>
      </c>
      <c r="N75" s="66"/>
      <c r="O75" s="66"/>
    </row>
    <row r="76">
      <c r="A76" s="75" t="s">
        <v>179</v>
      </c>
      <c r="B76" s="91">
        <v>8.75</v>
      </c>
      <c r="C76" s="76">
        <v>8.45</v>
      </c>
      <c r="D76" s="76">
        <v>8.28</v>
      </c>
      <c r="E76" s="76">
        <v>8.19</v>
      </c>
      <c r="F76" s="76">
        <v>7.82</v>
      </c>
      <c r="G76" s="76">
        <v>7.62</v>
      </c>
      <c r="H76" s="77">
        <v>7.72</v>
      </c>
      <c r="I76" s="77">
        <v>7.53</v>
      </c>
      <c r="J76" s="77">
        <v>7.11</v>
      </c>
      <c r="K76" s="77">
        <v>6.35</v>
      </c>
      <c r="L76" s="77">
        <v>5.87</v>
      </c>
      <c r="M76" s="78">
        <v>5.64</v>
      </c>
      <c r="N76" s="79"/>
      <c r="O76" s="80">
        <v>2022.0</v>
      </c>
    </row>
    <row r="78">
      <c r="C78" s="2" t="s">
        <v>0</v>
      </c>
      <c r="D78" s="2" t="s">
        <v>1</v>
      </c>
      <c r="E78" s="2" t="s">
        <v>2</v>
      </c>
      <c r="F78" s="2" t="s">
        <v>3</v>
      </c>
      <c r="G78" s="2" t="s">
        <v>4</v>
      </c>
      <c r="H78" s="2" t="s">
        <v>5</v>
      </c>
      <c r="I78" s="2" t="s">
        <v>6</v>
      </c>
      <c r="J78" s="2" t="s">
        <v>7</v>
      </c>
    </row>
    <row r="79">
      <c r="A79" s="31" t="s">
        <v>382</v>
      </c>
      <c r="B79" s="185"/>
      <c r="C79" s="177">
        <v>74.4</v>
      </c>
      <c r="D79" s="177">
        <v>74.2</v>
      </c>
      <c r="E79" s="177">
        <v>73.5</v>
      </c>
      <c r="F79" s="177">
        <v>72.7</v>
      </c>
      <c r="G79" s="177">
        <v>76.6</v>
      </c>
      <c r="H79" s="177">
        <v>76.3</v>
      </c>
      <c r="I79" s="177">
        <v>78.8</v>
      </c>
      <c r="J79" s="177">
        <v>76.6</v>
      </c>
      <c r="K79" s="186" t="s">
        <v>383</v>
      </c>
    </row>
    <row r="80">
      <c r="A80" s="3" t="s">
        <v>384</v>
      </c>
      <c r="C80" s="187">
        <v>74.4</v>
      </c>
      <c r="D80" s="187">
        <v>74.2</v>
      </c>
      <c r="E80" s="187">
        <v>73.5</v>
      </c>
      <c r="F80" s="187">
        <v>72.7</v>
      </c>
      <c r="G80" s="187">
        <v>87.8</v>
      </c>
      <c r="H80" s="187">
        <v>85.4</v>
      </c>
      <c r="I80" s="187">
        <v>82.7</v>
      </c>
      <c r="J80" s="187">
        <v>80.5</v>
      </c>
      <c r="K80" s="188" t="s">
        <v>385</v>
      </c>
    </row>
  </sheetData>
  <mergeCells count="1">
    <mergeCell ref="N68:O6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10" width="12.5"/>
    <col customWidth="1" min="11" max="11" width="37.0"/>
  </cols>
  <sheetData>
    <row r="1">
      <c r="A1" s="92">
        <v>44617.0</v>
      </c>
      <c r="B1" s="2"/>
      <c r="C1" s="61" t="s">
        <v>0</v>
      </c>
      <c r="D1" s="61" t="s">
        <v>1</v>
      </c>
      <c r="E1" s="61" t="s">
        <v>2</v>
      </c>
      <c r="F1" s="61" t="s">
        <v>3</v>
      </c>
      <c r="G1" s="61" t="s">
        <v>4</v>
      </c>
      <c r="H1" s="61" t="s">
        <v>5</v>
      </c>
      <c r="I1" s="61" t="s">
        <v>6</v>
      </c>
      <c r="J1" s="61" t="s">
        <v>7</v>
      </c>
      <c r="K1" s="2" t="s">
        <v>8</v>
      </c>
      <c r="L1" s="2" t="s">
        <v>9</v>
      </c>
      <c r="M1" s="2" t="s">
        <v>10</v>
      </c>
      <c r="N1" s="2" t="s">
        <v>11</v>
      </c>
      <c r="O1" s="2" t="s">
        <v>12</v>
      </c>
      <c r="P1" s="2" t="s">
        <v>13</v>
      </c>
      <c r="Q1" s="2" t="s">
        <v>14</v>
      </c>
    </row>
    <row r="2">
      <c r="A2" s="191" t="s">
        <v>390</v>
      </c>
      <c r="B2" s="54"/>
      <c r="C2" s="4"/>
      <c r="D2" s="4"/>
      <c r="E2" s="54"/>
      <c r="F2" s="54"/>
      <c r="G2" s="54"/>
      <c r="H2" s="54"/>
      <c r="J2" s="5"/>
      <c r="L2" s="3"/>
      <c r="N2" s="7"/>
      <c r="O2" s="52"/>
      <c r="P2" s="3"/>
      <c r="Q2" s="52"/>
    </row>
    <row r="3">
      <c r="A3" s="3" t="s">
        <v>15</v>
      </c>
      <c r="B3" s="4"/>
      <c r="C3" s="4" t="s">
        <v>16</v>
      </c>
      <c r="D3" s="4" t="s">
        <v>16</v>
      </c>
      <c r="E3" s="54" t="s">
        <v>152</v>
      </c>
      <c r="F3" s="54" t="s">
        <v>293</v>
      </c>
      <c r="G3" s="24" t="s">
        <v>18</v>
      </c>
      <c r="H3" s="24" t="s">
        <v>18</v>
      </c>
      <c r="I3" s="24" t="s">
        <v>316</v>
      </c>
      <c r="J3" s="24" t="s">
        <v>18</v>
      </c>
      <c r="L3" s="3" t="s">
        <v>20</v>
      </c>
      <c r="N3" s="7" t="s">
        <v>22</v>
      </c>
      <c r="O3" s="52"/>
      <c r="P3" s="3" t="s">
        <v>23</v>
      </c>
      <c r="Q3" s="52"/>
    </row>
    <row r="4">
      <c r="A4" s="3" t="s">
        <v>24</v>
      </c>
      <c r="B4" s="4"/>
      <c r="C4" s="4" t="s">
        <v>25</v>
      </c>
      <c r="D4" s="4" t="s">
        <v>25</v>
      </c>
      <c r="E4" s="54" t="s">
        <v>153</v>
      </c>
      <c r="F4" s="54" t="s">
        <v>295</v>
      </c>
      <c r="G4" s="24" t="s">
        <v>153</v>
      </c>
      <c r="H4" s="24" t="s">
        <v>153</v>
      </c>
      <c r="I4" s="24" t="s">
        <v>154</v>
      </c>
      <c r="J4" s="24" t="s">
        <v>153</v>
      </c>
      <c r="L4" s="3" t="s">
        <v>20</v>
      </c>
      <c r="N4" s="7" t="s">
        <v>22</v>
      </c>
      <c r="O4" s="52"/>
      <c r="P4" s="3" t="s">
        <v>23</v>
      </c>
      <c r="Q4" s="52"/>
    </row>
    <row r="5">
      <c r="A5" s="3" t="s">
        <v>28</v>
      </c>
      <c r="B5" s="4"/>
      <c r="C5" s="4" t="s">
        <v>29</v>
      </c>
      <c r="D5" s="4" t="s">
        <v>139</v>
      </c>
      <c r="E5" s="54" t="s">
        <v>199</v>
      </c>
      <c r="F5" s="54" t="s">
        <v>298</v>
      </c>
      <c r="G5" s="190" t="s">
        <v>391</v>
      </c>
      <c r="H5" s="190" t="s">
        <v>392</v>
      </c>
      <c r="I5" s="190" t="s">
        <v>393</v>
      </c>
      <c r="J5" s="190" t="s">
        <v>394</v>
      </c>
      <c r="L5" s="3" t="s">
        <v>33</v>
      </c>
      <c r="M5" s="3" t="s">
        <v>21</v>
      </c>
      <c r="N5" s="3" t="s">
        <v>23</v>
      </c>
      <c r="O5" s="53"/>
      <c r="Q5" s="52"/>
    </row>
    <row r="6">
      <c r="A6" s="3" t="s">
        <v>35</v>
      </c>
      <c r="B6" s="4"/>
      <c r="C6" s="4">
        <v>5.7</v>
      </c>
      <c r="D6" s="54" t="s">
        <v>144</v>
      </c>
      <c r="E6" s="54" t="s">
        <v>201</v>
      </c>
      <c r="F6" s="54" t="s">
        <v>299</v>
      </c>
      <c r="G6" s="24" t="s">
        <v>319</v>
      </c>
      <c r="H6" s="24" t="s">
        <v>304</v>
      </c>
      <c r="I6" s="24" t="s">
        <v>194</v>
      </c>
      <c r="J6" s="24" t="s">
        <v>320</v>
      </c>
      <c r="L6" s="3" t="s">
        <v>20</v>
      </c>
      <c r="N6" s="7" t="s">
        <v>22</v>
      </c>
      <c r="O6" s="53"/>
      <c r="P6" s="3" t="s">
        <v>23</v>
      </c>
      <c r="Q6" s="52"/>
    </row>
    <row r="7" hidden="1">
      <c r="A7" s="3"/>
      <c r="B7" s="4"/>
      <c r="C7" s="4"/>
      <c r="D7" s="54"/>
      <c r="E7" s="111" t="s">
        <v>241</v>
      </c>
      <c r="F7" s="112" t="s">
        <v>236</v>
      </c>
      <c r="G7" s="24" t="s">
        <v>237</v>
      </c>
      <c r="H7" s="24" t="s">
        <v>238</v>
      </c>
      <c r="I7" s="24" t="s">
        <v>239</v>
      </c>
      <c r="J7" s="192"/>
      <c r="L7" s="3"/>
      <c r="N7" s="7"/>
      <c r="O7" s="52"/>
      <c r="P7" s="3"/>
      <c r="Q7" s="52"/>
    </row>
    <row r="8">
      <c r="A8" s="3" t="s">
        <v>42</v>
      </c>
      <c r="B8" s="4"/>
      <c r="C8" s="4">
        <v>4.5</v>
      </c>
      <c r="D8" s="54">
        <v>5.5</v>
      </c>
      <c r="E8" s="54" t="s">
        <v>194</v>
      </c>
      <c r="F8" s="54">
        <v>8.5</v>
      </c>
      <c r="G8" s="24" t="s">
        <v>387</v>
      </c>
      <c r="H8" s="24" t="s">
        <v>387</v>
      </c>
      <c r="I8" s="24" t="s">
        <v>388</v>
      </c>
      <c r="J8" s="24" t="s">
        <v>389</v>
      </c>
      <c r="K8" s="172" t="s">
        <v>323</v>
      </c>
      <c r="L8" s="3" t="s">
        <v>20</v>
      </c>
      <c r="N8" s="7" t="s">
        <v>22</v>
      </c>
      <c r="O8" s="52" t="s">
        <v>324</v>
      </c>
      <c r="P8" s="3" t="s">
        <v>23</v>
      </c>
      <c r="Q8" s="52"/>
    </row>
    <row r="9">
      <c r="E9" s="114" t="s">
        <v>241</v>
      </c>
      <c r="F9" s="115" t="s">
        <v>242</v>
      </c>
      <c r="G9" s="115" t="s">
        <v>242</v>
      </c>
      <c r="H9" s="115" t="s">
        <v>194</v>
      </c>
      <c r="I9" s="115" t="s">
        <v>148</v>
      </c>
      <c r="O9" s="55"/>
      <c r="Q9" s="55"/>
    </row>
    <row r="10">
      <c r="A10" s="3" t="s">
        <v>47</v>
      </c>
      <c r="C10" s="4">
        <v>5.7</v>
      </c>
      <c r="D10" s="4">
        <v>6.5</v>
      </c>
      <c r="E10" s="62">
        <v>7.4</v>
      </c>
      <c r="F10" s="54">
        <v>8.1</v>
      </c>
      <c r="G10" s="54"/>
      <c r="H10" s="62"/>
      <c r="I10" s="62"/>
      <c r="J10" s="62"/>
    </row>
    <row r="11">
      <c r="A11" s="3" t="s">
        <v>162</v>
      </c>
      <c r="D11" s="111" t="s">
        <v>241</v>
      </c>
      <c r="E11" s="117">
        <v>7.0</v>
      </c>
      <c r="F11" s="112">
        <v>7.3</v>
      </c>
      <c r="G11" s="112"/>
      <c r="H11" s="112"/>
      <c r="I11" s="117"/>
      <c r="J11" s="112"/>
    </row>
    <row r="12">
      <c r="C12" s="10"/>
      <c r="D12" s="10"/>
      <c r="E12" s="10"/>
      <c r="F12" s="10"/>
      <c r="G12" s="10"/>
      <c r="H12" s="10"/>
      <c r="I12" s="10"/>
      <c r="J12" s="10"/>
    </row>
    <row r="13">
      <c r="E13" s="118">
        <v>74.5</v>
      </c>
      <c r="F13" s="118">
        <v>74.2</v>
      </c>
      <c r="G13" s="118">
        <v>76.5</v>
      </c>
      <c r="H13" s="118">
        <v>77.7</v>
      </c>
      <c r="I13" s="118">
        <v>77.7</v>
      </c>
      <c r="J13" s="118">
        <v>76.5</v>
      </c>
      <c r="K13" s="119" t="s">
        <v>305</v>
      </c>
    </row>
    <row r="14">
      <c r="A14" s="3" t="s">
        <v>48</v>
      </c>
      <c r="C14" s="164">
        <v>74.4</v>
      </c>
      <c r="D14" s="164">
        <v>74.2</v>
      </c>
      <c r="E14" s="164">
        <v>73.5</v>
      </c>
      <c r="F14" s="118">
        <v>72.4</v>
      </c>
      <c r="G14" s="118">
        <v>71.4</v>
      </c>
      <c r="H14" s="118">
        <v>76.4</v>
      </c>
      <c r="I14" s="118">
        <v>78.1</v>
      </c>
      <c r="J14" s="118">
        <v>75.9</v>
      </c>
      <c r="K14" s="119" t="s">
        <v>325</v>
      </c>
    </row>
    <row r="15">
      <c r="A15" s="3" t="s">
        <v>15</v>
      </c>
      <c r="B15" s="11"/>
      <c r="C15" s="23">
        <v>74.4</v>
      </c>
      <c r="D15" s="23">
        <v>74.2</v>
      </c>
      <c r="E15" s="23">
        <v>73.5</v>
      </c>
      <c r="F15" s="23">
        <v>73.1</v>
      </c>
      <c r="G15" s="93">
        <v>76.6</v>
      </c>
      <c r="H15" s="93">
        <v>76.3</v>
      </c>
      <c r="I15" s="93">
        <v>78.8</v>
      </c>
      <c r="J15" s="93">
        <v>76.6</v>
      </c>
      <c r="K15" s="3" t="s">
        <v>326</v>
      </c>
    </row>
    <row r="16">
      <c r="A16" s="3"/>
      <c r="B16" s="12"/>
      <c r="C16" s="12"/>
      <c r="D16" s="13"/>
      <c r="E16" s="13"/>
      <c r="F16" s="13"/>
      <c r="G16" s="13"/>
      <c r="H16" s="13"/>
      <c r="I16" s="13"/>
      <c r="J16" s="13"/>
      <c r="K16" s="13"/>
      <c r="L16" s="13"/>
    </row>
    <row r="17">
      <c r="A17" s="119" t="s">
        <v>50</v>
      </c>
      <c r="B17" s="119"/>
      <c r="C17" s="119"/>
      <c r="D17" s="173"/>
      <c r="E17" s="173"/>
      <c r="F17" s="174">
        <v>8.2</v>
      </c>
      <c r="G17" s="175">
        <v>7.0</v>
      </c>
      <c r="H17" s="174">
        <v>44202.0</v>
      </c>
      <c r="I17" s="174">
        <v>44352.0</v>
      </c>
      <c r="J17" s="175">
        <v>4.9</v>
      </c>
      <c r="K17" s="119" t="s">
        <v>327</v>
      </c>
      <c r="L17" s="173"/>
      <c r="M17" s="173"/>
      <c r="N17" s="173"/>
      <c r="O17" s="173"/>
      <c r="P17" s="173"/>
      <c r="Q17" s="173"/>
      <c r="R17" s="173"/>
      <c r="S17" s="173"/>
      <c r="T17" s="173"/>
      <c r="U17" s="173"/>
      <c r="V17" s="173"/>
      <c r="W17" s="173"/>
      <c r="X17" s="173"/>
      <c r="Y17" s="173"/>
      <c r="Z17" s="173"/>
      <c r="AA17" s="173"/>
      <c r="AB17" s="173"/>
      <c r="AC17" s="173"/>
      <c r="AD17" s="173"/>
      <c r="AE17" s="173"/>
    </row>
    <row r="18">
      <c r="A18" s="3" t="s">
        <v>50</v>
      </c>
      <c r="B18" s="12"/>
      <c r="C18" s="12"/>
      <c r="D18" s="13"/>
      <c r="E18" s="13"/>
      <c r="F18" s="14">
        <v>44659.0</v>
      </c>
      <c r="G18" s="14">
        <v>44780.0</v>
      </c>
      <c r="H18" s="14">
        <v>44718.0</v>
      </c>
      <c r="I18" s="14">
        <v>44598.0</v>
      </c>
      <c r="J18" s="14">
        <v>44625.0</v>
      </c>
      <c r="K18" s="3" t="s">
        <v>328</v>
      </c>
    </row>
    <row r="19">
      <c r="B19" s="12"/>
      <c r="C19" s="12"/>
      <c r="D19" s="13"/>
      <c r="E19" s="13"/>
      <c r="F19" s="13"/>
      <c r="G19" s="176">
        <v>44659.0</v>
      </c>
      <c r="H19" s="176">
        <v>44749.0</v>
      </c>
      <c r="I19" s="176">
        <v>44779.0</v>
      </c>
      <c r="J19" s="176">
        <v>44625.0</v>
      </c>
      <c r="K19" s="3" t="s">
        <v>329</v>
      </c>
      <c r="N19" s="3"/>
    </row>
    <row r="20">
      <c r="B20" s="12"/>
      <c r="C20" s="12"/>
      <c r="D20" s="13"/>
      <c r="E20" s="13"/>
      <c r="F20" s="13"/>
      <c r="G20" s="13"/>
      <c r="H20" s="62"/>
      <c r="I20" s="62"/>
      <c r="J20" s="4"/>
      <c r="N20" s="3" t="s">
        <v>330</v>
      </c>
    </row>
    <row r="21" hidden="1">
      <c r="B21" s="15" t="s">
        <v>52</v>
      </c>
      <c r="C21" s="16"/>
      <c r="D21" s="16"/>
      <c r="E21" s="16"/>
      <c r="F21" s="17" t="s">
        <v>53</v>
      </c>
      <c r="G21" s="18"/>
      <c r="H21" s="18"/>
      <c r="I21" s="18"/>
      <c r="J21" s="18"/>
      <c r="K21" s="3"/>
    </row>
    <row r="22" hidden="1">
      <c r="A22" s="3"/>
      <c r="B22" s="16" t="s">
        <v>28</v>
      </c>
      <c r="C22" s="16"/>
      <c r="D22" s="16"/>
      <c r="E22" s="16"/>
      <c r="F22" s="20" t="s">
        <v>207</v>
      </c>
      <c r="G22" s="20">
        <v>0.085534</v>
      </c>
      <c r="H22" s="20">
        <v>-0.09657</v>
      </c>
      <c r="I22" s="20">
        <v>-0.074</v>
      </c>
      <c r="J22" s="18"/>
      <c r="K22" s="31" t="s">
        <v>164</v>
      </c>
    </row>
    <row r="23" hidden="1">
      <c r="A23" s="3"/>
      <c r="B23" s="16" t="s">
        <v>55</v>
      </c>
      <c r="C23" s="16"/>
      <c r="D23" s="16"/>
      <c r="E23" s="16"/>
      <c r="F23" s="20" t="s">
        <v>208</v>
      </c>
      <c r="G23" s="20">
        <v>0.0891</v>
      </c>
      <c r="H23" s="20">
        <v>0.015935</v>
      </c>
      <c r="I23" s="20">
        <v>-0.00482</v>
      </c>
      <c r="J23" s="86">
        <v>-0.022</v>
      </c>
      <c r="K23" s="3" t="s">
        <v>56</v>
      </c>
    </row>
    <row r="24" hidden="1">
      <c r="A24" s="3"/>
      <c r="B24" s="16" t="s">
        <v>57</v>
      </c>
      <c r="C24" s="16"/>
      <c r="D24" s="16"/>
      <c r="E24" s="16"/>
      <c r="F24" s="57" t="s">
        <v>209</v>
      </c>
      <c r="G24" s="20">
        <v>0.166436</v>
      </c>
      <c r="H24" s="20">
        <v>-0.21198</v>
      </c>
      <c r="I24" s="20">
        <v>-0.40366</v>
      </c>
      <c r="J24" s="88">
        <v>-0.267</v>
      </c>
      <c r="K24" s="3" t="s">
        <v>56</v>
      </c>
    </row>
    <row r="25" hidden="1">
      <c r="A25" s="3"/>
      <c r="B25" s="16" t="s">
        <v>58</v>
      </c>
      <c r="C25" s="16"/>
      <c r="D25" s="16"/>
      <c r="E25" s="16"/>
      <c r="F25" s="20" t="s">
        <v>210</v>
      </c>
      <c r="G25" s="20">
        <v>0.09644</v>
      </c>
      <c r="H25" s="20">
        <v>-0.01752</v>
      </c>
      <c r="I25" s="20">
        <v>0.090012</v>
      </c>
      <c r="J25" s="88">
        <v>-0.051</v>
      </c>
      <c r="K25" s="3" t="s">
        <v>56</v>
      </c>
    </row>
    <row r="26" hidden="1">
      <c r="A26" s="3"/>
      <c r="B26" s="16" t="s">
        <v>60</v>
      </c>
      <c r="C26" s="16"/>
      <c r="D26" s="16"/>
      <c r="E26" s="16"/>
      <c r="F26" s="20" t="s">
        <v>211</v>
      </c>
      <c r="G26" s="20">
        <v>0.136107</v>
      </c>
      <c r="H26" s="20">
        <v>0.038548</v>
      </c>
      <c r="I26" s="20">
        <v>-0.09601</v>
      </c>
      <c r="J26" s="88">
        <v>-0.099</v>
      </c>
      <c r="K26" s="3" t="s">
        <v>56</v>
      </c>
    </row>
    <row r="27" hidden="1">
      <c r="A27" s="3"/>
      <c r="B27" s="16" t="s">
        <v>62</v>
      </c>
      <c r="C27" s="16"/>
      <c r="D27" s="16"/>
      <c r="E27" s="16"/>
      <c r="F27" s="18">
        <f t="shared" ref="F27:J27" si="1">F50</f>
        <v>72.8</v>
      </c>
      <c r="G27" s="18">
        <f t="shared" si="1"/>
        <v>78</v>
      </c>
      <c r="H27" s="18">
        <f t="shared" si="1"/>
        <v>77.6</v>
      </c>
      <c r="I27" s="18">
        <f t="shared" si="1"/>
        <v>79.8</v>
      </c>
      <c r="J27" s="89">
        <f t="shared" si="1"/>
        <v>78.2</v>
      </c>
      <c r="K27" s="3" t="s">
        <v>63</v>
      </c>
    </row>
    <row r="28" hidden="1">
      <c r="A28" s="3"/>
      <c r="B28" s="16" t="s">
        <v>64</v>
      </c>
      <c r="C28" s="16"/>
      <c r="D28" s="16"/>
      <c r="E28" s="16"/>
      <c r="F28" s="95">
        <v>0.09</v>
      </c>
      <c r="G28" s="20">
        <v>0.08</v>
      </c>
      <c r="H28" s="20">
        <v>0.07</v>
      </c>
      <c r="I28" s="20">
        <v>0.07</v>
      </c>
      <c r="J28" s="86">
        <v>0.07</v>
      </c>
      <c r="K28" s="3" t="s">
        <v>65</v>
      </c>
    </row>
    <row r="29" hidden="1">
      <c r="A29" s="3"/>
      <c r="B29" s="16" t="s">
        <v>66</v>
      </c>
      <c r="C29" s="16"/>
      <c r="D29" s="16"/>
      <c r="E29" s="16"/>
      <c r="F29" s="21">
        <v>0.042</v>
      </c>
      <c r="G29" s="21">
        <v>0.042</v>
      </c>
      <c r="H29" s="21">
        <v>0.042</v>
      </c>
      <c r="I29" s="21">
        <v>0.042</v>
      </c>
      <c r="J29" s="88">
        <v>0.042</v>
      </c>
      <c r="K29" s="3" t="s">
        <v>67</v>
      </c>
    </row>
    <row r="30" hidden="1">
      <c r="A30" s="3"/>
      <c r="B30" s="16" t="s">
        <v>68</v>
      </c>
      <c r="C30" s="16"/>
      <c r="D30" s="16"/>
      <c r="E30" s="16"/>
      <c r="F30" s="21">
        <v>0.024</v>
      </c>
      <c r="G30" s="21">
        <v>0.024</v>
      </c>
      <c r="H30" s="21">
        <v>0.024</v>
      </c>
      <c r="I30" s="21">
        <v>0.024</v>
      </c>
      <c r="J30" s="88">
        <v>0.024</v>
      </c>
      <c r="K30" s="3" t="s">
        <v>67</v>
      </c>
    </row>
    <row r="31">
      <c r="F31" s="3" t="s">
        <v>15</v>
      </c>
      <c r="G31" s="177">
        <v>76.6</v>
      </c>
      <c r="H31" s="177">
        <v>76.3</v>
      </c>
      <c r="I31" s="177">
        <v>78.8</v>
      </c>
      <c r="J31" s="177">
        <v>76.6</v>
      </c>
      <c r="N31" s="178" t="s">
        <v>331</v>
      </c>
      <c r="O31" s="179" t="s">
        <v>81</v>
      </c>
      <c r="P31" s="179" t="s">
        <v>114</v>
      </c>
    </row>
    <row r="32">
      <c r="A32" s="31" t="s">
        <v>245</v>
      </c>
      <c r="B32" s="3"/>
      <c r="C32" s="3"/>
      <c r="D32" s="3"/>
      <c r="F32" s="4"/>
      <c r="G32" s="4"/>
      <c r="H32" s="4"/>
      <c r="I32" s="4"/>
      <c r="J32" s="4"/>
      <c r="K32" s="3"/>
      <c r="L32" s="3"/>
      <c r="M32" s="3"/>
      <c r="N32" s="180" t="s">
        <v>332</v>
      </c>
      <c r="O32" s="181" t="s">
        <v>333</v>
      </c>
      <c r="P32" s="181" t="s">
        <v>334</v>
      </c>
    </row>
    <row r="33">
      <c r="A33" s="3" t="s">
        <v>28</v>
      </c>
      <c r="B33" s="10" t="s">
        <v>69</v>
      </c>
      <c r="C33" s="167">
        <v>61.0</v>
      </c>
      <c r="D33" s="167">
        <v>69.0</v>
      </c>
      <c r="E33" s="167">
        <v>73.0</v>
      </c>
      <c r="F33" s="167">
        <v>79.0</v>
      </c>
      <c r="G33" s="93">
        <v>88.0</v>
      </c>
      <c r="H33" s="93">
        <v>81.0</v>
      </c>
      <c r="I33" s="93">
        <v>74.0</v>
      </c>
      <c r="J33" s="93">
        <v>66.0</v>
      </c>
      <c r="K33" s="182" t="s">
        <v>247</v>
      </c>
      <c r="N33" s="180" t="s">
        <v>335</v>
      </c>
      <c r="O33" s="181" t="s">
        <v>336</v>
      </c>
      <c r="P33" s="181" t="s">
        <v>337</v>
      </c>
    </row>
    <row r="34">
      <c r="A34" s="22" t="s">
        <v>74</v>
      </c>
      <c r="B34" s="10" t="s">
        <v>75</v>
      </c>
      <c r="C34" s="97">
        <v>169.0</v>
      </c>
      <c r="D34" s="97">
        <v>202.0</v>
      </c>
      <c r="E34" s="97">
        <v>278.0</v>
      </c>
      <c r="F34" s="97">
        <v>490.0</v>
      </c>
      <c r="G34" s="97">
        <v>458.0</v>
      </c>
      <c r="H34" s="97">
        <v>312.0</v>
      </c>
      <c r="I34" s="97">
        <v>264.0</v>
      </c>
      <c r="J34" s="97">
        <v>305.0</v>
      </c>
      <c r="K34" s="3" t="s">
        <v>309</v>
      </c>
      <c r="N34" s="180" t="s">
        <v>338</v>
      </c>
      <c r="O34" s="181" t="s">
        <v>339</v>
      </c>
      <c r="P34" s="181" t="s">
        <v>337</v>
      </c>
    </row>
    <row r="35">
      <c r="A35" s="22" t="s">
        <v>74</v>
      </c>
      <c r="B35" s="10" t="s">
        <v>248</v>
      </c>
      <c r="C35" s="123">
        <f t="shared" ref="C35:J35" si="2">C34/35.3</f>
        <v>4.787535411</v>
      </c>
      <c r="D35" s="123">
        <f t="shared" si="2"/>
        <v>5.722379603</v>
      </c>
      <c r="E35" s="123">
        <f t="shared" si="2"/>
        <v>7.875354108</v>
      </c>
      <c r="F35" s="123">
        <f t="shared" si="2"/>
        <v>13.88101983</v>
      </c>
      <c r="G35" s="123">
        <f t="shared" si="2"/>
        <v>12.97450425</v>
      </c>
      <c r="H35" s="123">
        <f t="shared" si="2"/>
        <v>8.838526912</v>
      </c>
      <c r="I35" s="123">
        <f t="shared" si="2"/>
        <v>7.478753541</v>
      </c>
      <c r="J35" s="123">
        <f t="shared" si="2"/>
        <v>8.640226629</v>
      </c>
      <c r="K35" s="3" t="s">
        <v>309</v>
      </c>
      <c r="L35" s="124"/>
      <c r="M35" s="124"/>
      <c r="N35" s="180" t="s">
        <v>340</v>
      </c>
      <c r="O35" s="181" t="s">
        <v>341</v>
      </c>
      <c r="P35" s="181" t="s">
        <v>337</v>
      </c>
    </row>
    <row r="36">
      <c r="A36" s="3" t="s">
        <v>249</v>
      </c>
      <c r="B36" s="10" t="s">
        <v>248</v>
      </c>
      <c r="C36" s="11">
        <v>6.8</v>
      </c>
      <c r="D36" s="11">
        <v>8.7</v>
      </c>
      <c r="E36" s="11">
        <v>16.9</v>
      </c>
      <c r="F36" s="11">
        <v>33.0</v>
      </c>
      <c r="G36" s="11">
        <v>29.0</v>
      </c>
      <c r="H36" s="11">
        <v>15.0</v>
      </c>
      <c r="I36" s="11">
        <v>11.0</v>
      </c>
      <c r="J36" s="11">
        <v>15.0</v>
      </c>
      <c r="K36" s="125" t="s">
        <v>250</v>
      </c>
      <c r="N36" s="180" t="s">
        <v>171</v>
      </c>
      <c r="O36" s="181" t="s">
        <v>342</v>
      </c>
      <c r="P36" s="181" t="s">
        <v>337</v>
      </c>
    </row>
    <row r="37">
      <c r="A37" s="3"/>
      <c r="B37" s="10"/>
      <c r="C37" s="126"/>
      <c r="D37" s="126"/>
      <c r="E37" s="126"/>
      <c r="F37" s="11"/>
      <c r="G37" s="11">
        <v>29.0</v>
      </c>
      <c r="H37" s="11">
        <v>29.0</v>
      </c>
      <c r="I37" s="11">
        <v>28.5</v>
      </c>
      <c r="J37" s="11">
        <v>29.5</v>
      </c>
      <c r="K37" s="127" t="s">
        <v>251</v>
      </c>
      <c r="N37" s="180" t="s">
        <v>343</v>
      </c>
      <c r="O37" s="181" t="s">
        <v>344</v>
      </c>
      <c r="P37" s="181" t="s">
        <v>337</v>
      </c>
    </row>
    <row r="38">
      <c r="A38" s="3" t="s">
        <v>252</v>
      </c>
      <c r="B38" s="10" t="s">
        <v>248</v>
      </c>
      <c r="C38" s="128">
        <f t="shared" ref="C38:J38" si="3">14%*C33</f>
        <v>8.54</v>
      </c>
      <c r="D38" s="128">
        <f t="shared" si="3"/>
        <v>9.66</v>
      </c>
      <c r="E38" s="128">
        <f t="shared" si="3"/>
        <v>10.22</v>
      </c>
      <c r="F38" s="128">
        <f t="shared" si="3"/>
        <v>11.06</v>
      </c>
      <c r="G38" s="128">
        <f t="shared" si="3"/>
        <v>12.32</v>
      </c>
      <c r="H38" s="128">
        <f t="shared" si="3"/>
        <v>11.34</v>
      </c>
      <c r="I38" s="128">
        <f t="shared" si="3"/>
        <v>10.36</v>
      </c>
      <c r="J38" s="128">
        <f t="shared" si="3"/>
        <v>9.24</v>
      </c>
      <c r="K38" s="127" t="s">
        <v>253</v>
      </c>
      <c r="N38" s="180" t="s">
        <v>345</v>
      </c>
      <c r="O38" s="181" t="s">
        <v>346</v>
      </c>
      <c r="P38" s="181" t="s">
        <v>334</v>
      </c>
    </row>
    <row r="39">
      <c r="A39" s="3" t="s">
        <v>254</v>
      </c>
      <c r="B39" s="10" t="s">
        <v>248</v>
      </c>
      <c r="C39" s="128">
        <f>0.8*C36 + 0.2*C38</f>
        <v>7.148</v>
      </c>
      <c r="D39" s="128">
        <f t="shared" ref="D39:J39" si="4">0.8*D36+0.2*D38</f>
        <v>8.892</v>
      </c>
      <c r="E39" s="128">
        <f t="shared" si="4"/>
        <v>15.564</v>
      </c>
      <c r="F39" s="128">
        <f t="shared" si="4"/>
        <v>28.612</v>
      </c>
      <c r="G39" s="128">
        <f t="shared" si="4"/>
        <v>25.664</v>
      </c>
      <c r="H39" s="128">
        <f t="shared" si="4"/>
        <v>14.268</v>
      </c>
      <c r="I39" s="128">
        <f t="shared" si="4"/>
        <v>10.872</v>
      </c>
      <c r="J39" s="128">
        <f t="shared" si="4"/>
        <v>13.848</v>
      </c>
      <c r="K39" s="127" t="s">
        <v>255</v>
      </c>
      <c r="L39" s="22"/>
      <c r="N39" s="180" t="s">
        <v>347</v>
      </c>
      <c r="O39" s="181" t="s">
        <v>344</v>
      </c>
      <c r="P39" s="181" t="s">
        <v>334</v>
      </c>
    </row>
    <row r="40">
      <c r="A40" s="129" t="s">
        <v>256</v>
      </c>
      <c r="B40" s="130"/>
      <c r="C40" s="131">
        <f t="shared" ref="C40:J40" si="5">C39-C35</f>
        <v>2.360464589</v>
      </c>
      <c r="D40" s="131">
        <f t="shared" si="5"/>
        <v>3.169620397</v>
      </c>
      <c r="E40" s="131">
        <f t="shared" si="5"/>
        <v>7.688645892</v>
      </c>
      <c r="F40" s="131">
        <f t="shared" si="5"/>
        <v>14.73098017</v>
      </c>
      <c r="G40" s="131">
        <f t="shared" si="5"/>
        <v>12.68949575</v>
      </c>
      <c r="H40" s="131">
        <f t="shared" si="5"/>
        <v>5.429473088</v>
      </c>
      <c r="I40" s="131">
        <f t="shared" si="5"/>
        <v>3.393246459</v>
      </c>
      <c r="J40" s="131">
        <f t="shared" si="5"/>
        <v>5.207773371</v>
      </c>
      <c r="K40" s="129" t="s">
        <v>257</v>
      </c>
      <c r="L40" s="130"/>
      <c r="M40" s="130"/>
      <c r="N40" s="180" t="s">
        <v>348</v>
      </c>
      <c r="O40" s="181" t="s">
        <v>349</v>
      </c>
      <c r="P40" s="181" t="s">
        <v>334</v>
      </c>
      <c r="Q40" s="130"/>
      <c r="R40" s="130"/>
      <c r="S40" s="130"/>
      <c r="T40" s="130"/>
      <c r="U40" s="130"/>
      <c r="V40" s="130"/>
      <c r="W40" s="130"/>
      <c r="X40" s="130"/>
      <c r="Y40" s="130"/>
      <c r="Z40" s="130"/>
      <c r="AA40" s="130"/>
      <c r="AB40" s="130"/>
      <c r="AC40" s="130"/>
      <c r="AD40" s="130"/>
      <c r="AE40" s="130"/>
    </row>
    <row r="41">
      <c r="N41" s="180" t="s">
        <v>350</v>
      </c>
      <c r="O41" s="181" t="s">
        <v>351</v>
      </c>
      <c r="P41" s="181" t="s">
        <v>352</v>
      </c>
    </row>
    <row r="42">
      <c r="A42" s="22" t="s">
        <v>76</v>
      </c>
      <c r="B42" s="10" t="s">
        <v>77</v>
      </c>
      <c r="C42" s="97">
        <v>1038.0</v>
      </c>
      <c r="D42" s="97">
        <v>1394.0</v>
      </c>
      <c r="E42" s="97">
        <v>1785.0</v>
      </c>
      <c r="F42" s="97">
        <v>1863.0</v>
      </c>
      <c r="G42" s="97">
        <v>1289.0</v>
      </c>
      <c r="H42" s="97">
        <v>1056.0</v>
      </c>
      <c r="I42" s="97">
        <v>995.0</v>
      </c>
      <c r="J42" s="97">
        <v>957.0</v>
      </c>
      <c r="K42" s="3" t="s">
        <v>54</v>
      </c>
      <c r="N42" s="180" t="s">
        <v>353</v>
      </c>
      <c r="O42" s="181" t="s">
        <v>354</v>
      </c>
      <c r="P42" s="181" t="s">
        <v>352</v>
      </c>
    </row>
    <row r="43">
      <c r="A43" s="132"/>
      <c r="B43" s="132"/>
      <c r="C43" s="133"/>
      <c r="D43" s="133"/>
      <c r="E43" s="133"/>
      <c r="F43" s="133"/>
      <c r="G43" s="133"/>
      <c r="H43" s="133"/>
      <c r="I43" s="133"/>
      <c r="J43" s="133"/>
      <c r="K43" s="134"/>
      <c r="L43" s="134"/>
      <c r="M43" s="134"/>
      <c r="N43" s="180" t="s">
        <v>355</v>
      </c>
      <c r="O43" s="181" t="s">
        <v>356</v>
      </c>
      <c r="P43" s="181" t="s">
        <v>357</v>
      </c>
      <c r="Q43" s="134"/>
      <c r="R43" s="134"/>
      <c r="S43" s="134"/>
      <c r="T43" s="134"/>
      <c r="U43" s="134"/>
      <c r="V43" s="134"/>
      <c r="W43" s="134"/>
      <c r="X43" s="134"/>
      <c r="Y43" s="134"/>
      <c r="Z43" s="134"/>
      <c r="AA43" s="134"/>
      <c r="AB43" s="134"/>
      <c r="AC43" s="134"/>
      <c r="AD43" s="134"/>
      <c r="AE43" s="134"/>
    </row>
    <row r="44">
      <c r="A44" s="3" t="s">
        <v>78</v>
      </c>
      <c r="B44" s="12" t="s">
        <v>79</v>
      </c>
      <c r="C44" s="97" t="s">
        <v>358</v>
      </c>
      <c r="D44" s="97" t="s">
        <v>359</v>
      </c>
      <c r="E44" s="97" t="s">
        <v>360</v>
      </c>
      <c r="F44" s="97" t="s">
        <v>361</v>
      </c>
      <c r="G44" s="97" t="s">
        <v>362</v>
      </c>
      <c r="H44" s="97" t="s">
        <v>363</v>
      </c>
      <c r="I44" s="97" t="s">
        <v>364</v>
      </c>
      <c r="J44" s="97" t="s">
        <v>365</v>
      </c>
    </row>
    <row r="45">
      <c r="A45" s="3" t="s">
        <v>80</v>
      </c>
      <c r="B45" s="3" t="s">
        <v>79</v>
      </c>
      <c r="C45" s="97" t="s">
        <v>366</v>
      </c>
      <c r="D45" s="97" t="s">
        <v>367</v>
      </c>
      <c r="E45" s="97" t="s">
        <v>368</v>
      </c>
      <c r="F45" s="97" t="s">
        <v>369</v>
      </c>
      <c r="G45" s="97" t="s">
        <v>370</v>
      </c>
      <c r="H45" s="97" t="s">
        <v>371</v>
      </c>
      <c r="I45" s="97" t="s">
        <v>372</v>
      </c>
      <c r="J45" s="97" t="s">
        <v>372</v>
      </c>
    </row>
    <row r="46">
      <c r="A46" s="3" t="s">
        <v>81</v>
      </c>
      <c r="B46" s="3" t="s">
        <v>79</v>
      </c>
      <c r="C46" s="97" t="s">
        <v>373</v>
      </c>
      <c r="D46" s="97" t="s">
        <v>374</v>
      </c>
      <c r="E46" s="97" t="s">
        <v>375</v>
      </c>
      <c r="F46" s="97" t="s">
        <v>376</v>
      </c>
      <c r="G46" s="97" t="s">
        <v>377</v>
      </c>
      <c r="H46" s="97" t="s">
        <v>378</v>
      </c>
      <c r="I46" s="97" t="s">
        <v>379</v>
      </c>
      <c r="J46" s="97" t="s">
        <v>380</v>
      </c>
      <c r="K46" s="3" t="s">
        <v>381</v>
      </c>
    </row>
    <row r="47">
      <c r="A47" s="3" t="s">
        <v>259</v>
      </c>
      <c r="B47" s="3" t="s">
        <v>260</v>
      </c>
      <c r="C47" s="97">
        <v>23.0</v>
      </c>
      <c r="D47" s="97">
        <v>18.0</v>
      </c>
      <c r="E47" s="97">
        <v>18.0</v>
      </c>
      <c r="F47" s="97">
        <v>34.0</v>
      </c>
      <c r="G47" s="97">
        <v>18.0</v>
      </c>
      <c r="H47" s="97">
        <v>25.0</v>
      </c>
      <c r="I47" s="97">
        <v>10.0</v>
      </c>
      <c r="J47" s="97">
        <v>23.0</v>
      </c>
    </row>
    <row r="50">
      <c r="A50" s="3" t="s">
        <v>137</v>
      </c>
      <c r="B50" s="11"/>
      <c r="C50" s="33">
        <v>74.4</v>
      </c>
      <c r="D50" s="33">
        <v>73.6</v>
      </c>
      <c r="E50" s="33">
        <v>72.8</v>
      </c>
      <c r="F50" s="33">
        <v>72.8</v>
      </c>
      <c r="G50" s="33">
        <v>78.0</v>
      </c>
      <c r="H50" s="33">
        <v>77.6</v>
      </c>
      <c r="I50" s="33">
        <v>79.8</v>
      </c>
      <c r="J50" s="33">
        <v>78.2</v>
      </c>
      <c r="K50" s="169" t="s">
        <v>311</v>
      </c>
    </row>
    <row r="54">
      <c r="C54" s="35">
        <f t="shared" ref="C54:J54" si="6">VALUE(MID(C3,1,2))</f>
        <v>72</v>
      </c>
      <c r="D54" s="35">
        <f t="shared" si="6"/>
        <v>72</v>
      </c>
      <c r="E54" s="35">
        <f t="shared" si="6"/>
        <v>71</v>
      </c>
      <c r="F54" s="35">
        <f t="shared" si="6"/>
        <v>71</v>
      </c>
      <c r="G54" s="35">
        <f t="shared" si="6"/>
        <v>74</v>
      </c>
      <c r="H54" s="35">
        <f t="shared" si="6"/>
        <v>74</v>
      </c>
      <c r="I54" s="35">
        <f t="shared" si="6"/>
        <v>75</v>
      </c>
      <c r="J54" s="35">
        <f t="shared" si="6"/>
        <v>74</v>
      </c>
    </row>
    <row r="55">
      <c r="C55" s="35">
        <f t="shared" ref="C55:J55" si="7">VALUE(MID(C4,1,2))</f>
        <v>87</v>
      </c>
      <c r="D55" s="35">
        <f t="shared" si="7"/>
        <v>87</v>
      </c>
      <c r="E55" s="35">
        <f t="shared" si="7"/>
        <v>85</v>
      </c>
      <c r="F55" s="35">
        <f t="shared" si="7"/>
        <v>81</v>
      </c>
      <c r="G55" s="35">
        <f t="shared" si="7"/>
        <v>85</v>
      </c>
      <c r="H55" s="35">
        <f t="shared" si="7"/>
        <v>85</v>
      </c>
      <c r="I55" s="35">
        <f t="shared" si="7"/>
        <v>86</v>
      </c>
      <c r="J55" s="35">
        <f t="shared" si="7"/>
        <v>85</v>
      </c>
    </row>
    <row r="56">
      <c r="C56" s="35">
        <f t="shared" ref="C56:J56" si="8">VALUE(MID(C3,4,2))</f>
        <v>77</v>
      </c>
      <c r="D56" s="35">
        <f t="shared" si="8"/>
        <v>77</v>
      </c>
      <c r="E56" s="35">
        <f t="shared" si="8"/>
        <v>76</v>
      </c>
      <c r="F56" s="35">
        <f t="shared" si="8"/>
        <v>75</v>
      </c>
      <c r="G56" s="35">
        <f t="shared" si="8"/>
        <v>79</v>
      </c>
      <c r="H56" s="35">
        <f t="shared" si="8"/>
        <v>79</v>
      </c>
      <c r="I56" s="35">
        <f t="shared" si="8"/>
        <v>80</v>
      </c>
      <c r="J56" s="35">
        <f t="shared" si="8"/>
        <v>79</v>
      </c>
    </row>
    <row r="57">
      <c r="C57" s="35">
        <f t="shared" ref="C57:J57" si="9">VALUE(MID(C4,4,2))</f>
        <v>92</v>
      </c>
      <c r="D57" s="35">
        <f t="shared" si="9"/>
        <v>92</v>
      </c>
      <c r="E57" s="35">
        <f t="shared" si="9"/>
        <v>90</v>
      </c>
      <c r="F57" s="35">
        <f t="shared" si="9"/>
        <v>85</v>
      </c>
      <c r="G57" s="35">
        <f t="shared" si="9"/>
        <v>90</v>
      </c>
      <c r="H57" s="35">
        <f t="shared" si="9"/>
        <v>90</v>
      </c>
      <c r="I57" s="35">
        <f t="shared" si="9"/>
        <v>91</v>
      </c>
      <c r="J57" s="35">
        <f t="shared" si="9"/>
        <v>90</v>
      </c>
    </row>
    <row r="58">
      <c r="C58" s="35">
        <f t="shared" ref="C58:J58" si="10">AVERAGE(C54,C56)</f>
        <v>74.5</v>
      </c>
      <c r="D58" s="35">
        <f t="shared" si="10"/>
        <v>74.5</v>
      </c>
      <c r="E58" s="35">
        <f t="shared" si="10"/>
        <v>73.5</v>
      </c>
      <c r="F58" s="35">
        <f t="shared" si="10"/>
        <v>73</v>
      </c>
      <c r="G58" s="35">
        <f t="shared" si="10"/>
        <v>76.5</v>
      </c>
      <c r="H58" s="35">
        <f t="shared" si="10"/>
        <v>76.5</v>
      </c>
      <c r="I58" s="35">
        <f t="shared" si="10"/>
        <v>77.5</v>
      </c>
      <c r="J58" s="35">
        <f t="shared" si="10"/>
        <v>76.5</v>
      </c>
    </row>
    <row r="59">
      <c r="C59" s="35">
        <f t="shared" ref="C59:J59" si="11">AVERAGE(C55,C57)</f>
        <v>89.5</v>
      </c>
      <c r="D59" s="35">
        <f t="shared" si="11"/>
        <v>89.5</v>
      </c>
      <c r="E59" s="35">
        <f t="shared" si="11"/>
        <v>87.5</v>
      </c>
      <c r="F59" s="35">
        <f t="shared" si="11"/>
        <v>83</v>
      </c>
      <c r="G59" s="35">
        <f t="shared" si="11"/>
        <v>87.5</v>
      </c>
      <c r="H59" s="35">
        <f t="shared" si="11"/>
        <v>87.5</v>
      </c>
      <c r="I59" s="35">
        <f t="shared" si="11"/>
        <v>88.5</v>
      </c>
      <c r="J59" s="35">
        <f t="shared" si="11"/>
        <v>87.5</v>
      </c>
    </row>
    <row r="60">
      <c r="A60" s="3" t="s">
        <v>151</v>
      </c>
      <c r="C60" s="59">
        <f t="shared" ref="C60:J60" si="12">C59/C58</f>
        <v>1.201342282</v>
      </c>
      <c r="D60" s="59">
        <f t="shared" si="12"/>
        <v>1.201342282</v>
      </c>
      <c r="E60" s="59">
        <f t="shared" si="12"/>
        <v>1.19047619</v>
      </c>
      <c r="F60" s="59">
        <f t="shared" si="12"/>
        <v>1.136986301</v>
      </c>
      <c r="G60" s="59">
        <f t="shared" si="12"/>
        <v>1.14379085</v>
      </c>
      <c r="H60" s="59">
        <f t="shared" si="12"/>
        <v>1.14379085</v>
      </c>
      <c r="I60" s="59">
        <f t="shared" si="12"/>
        <v>1.141935484</v>
      </c>
      <c r="J60" s="59">
        <f t="shared" si="12"/>
        <v>1.14379085</v>
      </c>
    </row>
    <row r="64">
      <c r="A64" s="66"/>
      <c r="B64" s="66"/>
      <c r="C64" s="66"/>
      <c r="D64" s="66"/>
      <c r="E64" s="66"/>
      <c r="F64" s="66"/>
      <c r="G64" s="66"/>
      <c r="H64" s="66"/>
      <c r="I64" s="66"/>
      <c r="J64" s="66"/>
      <c r="K64" s="66"/>
      <c r="L64" s="66"/>
      <c r="M64" s="66"/>
      <c r="N64" s="66"/>
      <c r="O64" s="66"/>
    </row>
    <row r="65">
      <c r="A65" s="66"/>
      <c r="B65" s="18" t="s">
        <v>167</v>
      </c>
      <c r="C65" s="18" t="s">
        <v>168</v>
      </c>
      <c r="D65" s="67" t="s">
        <v>169</v>
      </c>
      <c r="E65" s="18" t="s">
        <v>170</v>
      </c>
      <c r="F65" s="18" t="s">
        <v>171</v>
      </c>
      <c r="G65" s="67" t="s">
        <v>172</v>
      </c>
      <c r="H65" s="18" t="s">
        <v>173</v>
      </c>
      <c r="I65" s="18" t="s">
        <v>174</v>
      </c>
      <c r="J65" s="67" t="s">
        <v>175</v>
      </c>
      <c r="K65" s="18" t="s">
        <v>176</v>
      </c>
      <c r="L65" s="18" t="s">
        <v>177</v>
      </c>
      <c r="M65" s="67" t="s">
        <v>178</v>
      </c>
      <c r="N65" s="66"/>
      <c r="O65" s="66"/>
    </row>
    <row r="66">
      <c r="A66" s="68">
        <v>2021.0</v>
      </c>
      <c r="B66" s="69">
        <v>0.67</v>
      </c>
      <c r="C66" s="69">
        <v>0.78</v>
      </c>
      <c r="D66" s="69">
        <v>0.66</v>
      </c>
      <c r="E66" s="69">
        <v>0.58</v>
      </c>
      <c r="F66" s="69">
        <v>0.74</v>
      </c>
      <c r="G66" s="69">
        <v>0.69</v>
      </c>
      <c r="H66" s="98">
        <v>0.31</v>
      </c>
      <c r="I66" s="98">
        <v>0.17</v>
      </c>
      <c r="J66" s="98">
        <v>0.6</v>
      </c>
      <c r="K66" s="170">
        <v>1.11</v>
      </c>
      <c r="L66" s="170">
        <v>0.96</v>
      </c>
      <c r="M66" s="183">
        <v>0.82</v>
      </c>
      <c r="N66" s="73"/>
      <c r="O66" s="74"/>
    </row>
    <row r="67">
      <c r="A67" s="75" t="s">
        <v>179</v>
      </c>
      <c r="B67" s="91">
        <v>5.19</v>
      </c>
      <c r="C67" s="76">
        <v>5.67</v>
      </c>
      <c r="D67" s="76">
        <v>5.79</v>
      </c>
      <c r="E67" s="76">
        <v>5.53</v>
      </c>
      <c r="F67" s="76">
        <v>6.02</v>
      </c>
      <c r="G67" s="76">
        <v>6.5</v>
      </c>
      <c r="H67" s="77">
        <v>6.46</v>
      </c>
      <c r="I67" s="77">
        <v>6.68</v>
      </c>
      <c r="J67" s="135">
        <v>7.4</v>
      </c>
      <c r="K67" s="135">
        <v>8.13</v>
      </c>
      <c r="L67" s="77">
        <v>8.4</v>
      </c>
      <c r="M67" s="184">
        <v>8.39</v>
      </c>
      <c r="N67" s="79"/>
      <c r="O67" s="80">
        <v>2021.0</v>
      </c>
    </row>
    <row r="68">
      <c r="A68" s="66"/>
      <c r="B68" s="66"/>
      <c r="C68" s="66"/>
      <c r="D68" s="66"/>
      <c r="E68" s="66"/>
      <c r="F68" s="66"/>
      <c r="G68" s="66"/>
      <c r="H68" s="66"/>
      <c r="I68" s="66"/>
      <c r="J68" s="66"/>
      <c r="K68" s="66"/>
      <c r="L68" s="66"/>
      <c r="M68" s="66"/>
      <c r="N68" s="81"/>
    </row>
    <row r="69">
      <c r="A69" s="18" t="s">
        <v>181</v>
      </c>
      <c r="B69" s="18">
        <v>0.6</v>
      </c>
      <c r="C69" s="18">
        <v>0.4</v>
      </c>
      <c r="D69" s="18">
        <v>0.5</v>
      </c>
      <c r="E69" s="18">
        <v>0.4</v>
      </c>
      <c r="F69" s="18">
        <v>0.4</v>
      </c>
      <c r="G69" s="18">
        <v>0.4</v>
      </c>
      <c r="H69" s="18">
        <v>0.5</v>
      </c>
      <c r="I69" s="18">
        <v>0.0</v>
      </c>
      <c r="J69" s="18">
        <v>0.2</v>
      </c>
      <c r="K69" s="18">
        <v>0.4</v>
      </c>
      <c r="L69" s="18">
        <v>0.5</v>
      </c>
      <c r="M69" s="18">
        <v>0.5</v>
      </c>
      <c r="N69" s="66"/>
      <c r="O69" s="66"/>
    </row>
    <row r="70">
      <c r="A70" s="18" t="s">
        <v>182</v>
      </c>
      <c r="B70" s="18">
        <v>0.5</v>
      </c>
      <c r="C70" s="18">
        <v>0.3</v>
      </c>
      <c r="D70" s="18">
        <v>0.3</v>
      </c>
      <c r="E70" s="18">
        <v>0.4</v>
      </c>
      <c r="F70" s="18">
        <v>0.4</v>
      </c>
      <c r="G70" s="18">
        <v>0.4</v>
      </c>
      <c r="H70" s="18">
        <v>0.2</v>
      </c>
      <c r="I70" s="82">
        <v>-0.1</v>
      </c>
      <c r="J70" s="82">
        <v>-0.1</v>
      </c>
      <c r="K70" s="18">
        <v>0.3</v>
      </c>
      <c r="L70" s="18">
        <v>0.4</v>
      </c>
      <c r="M70" s="18">
        <v>0.6</v>
      </c>
      <c r="N70" s="66"/>
      <c r="O70" s="66"/>
    </row>
    <row r="71">
      <c r="A71" s="66"/>
      <c r="B71" s="18" t="s">
        <v>183</v>
      </c>
      <c r="C71" s="18" t="s">
        <v>184</v>
      </c>
      <c r="D71" s="18" t="s">
        <v>169</v>
      </c>
      <c r="E71" s="18" t="s">
        <v>185</v>
      </c>
      <c r="F71" s="18" t="s">
        <v>186</v>
      </c>
      <c r="G71" s="18" t="s">
        <v>172</v>
      </c>
      <c r="H71" s="18" t="s">
        <v>187</v>
      </c>
      <c r="I71" s="18" t="s">
        <v>188</v>
      </c>
      <c r="J71" s="18" t="s">
        <v>175</v>
      </c>
      <c r="K71" s="18" t="s">
        <v>189</v>
      </c>
      <c r="L71" s="18" t="s">
        <v>190</v>
      </c>
      <c r="M71" s="18" t="s">
        <v>178</v>
      </c>
      <c r="N71" s="66"/>
      <c r="O71" s="66"/>
    </row>
    <row r="72">
      <c r="A72" s="66"/>
      <c r="B72" s="66"/>
      <c r="C72" s="66"/>
      <c r="D72" s="66"/>
      <c r="E72" s="66"/>
      <c r="F72" s="66"/>
      <c r="G72" s="66"/>
      <c r="H72" s="66"/>
      <c r="I72" s="66"/>
      <c r="J72" s="66"/>
      <c r="K72" s="66"/>
      <c r="L72" s="66"/>
      <c r="M72" s="66"/>
      <c r="N72" s="66"/>
      <c r="O72" s="66"/>
    </row>
    <row r="73">
      <c r="A73" s="66"/>
      <c r="B73" s="66"/>
      <c r="C73" s="66"/>
      <c r="D73" s="66"/>
      <c r="E73" s="66"/>
      <c r="F73" s="66"/>
      <c r="G73" s="66"/>
      <c r="H73" s="66"/>
      <c r="I73" s="66"/>
      <c r="J73" s="66"/>
      <c r="K73" s="66"/>
      <c r="L73" s="66"/>
      <c r="M73" s="66"/>
      <c r="N73" s="66"/>
      <c r="O73" s="66"/>
    </row>
    <row r="74">
      <c r="A74" s="66"/>
      <c r="B74" s="18" t="s">
        <v>167</v>
      </c>
      <c r="C74" s="18" t="s">
        <v>168</v>
      </c>
      <c r="D74" s="83" t="s">
        <v>169</v>
      </c>
      <c r="E74" s="18" t="s">
        <v>170</v>
      </c>
      <c r="F74" s="18" t="s">
        <v>171</v>
      </c>
      <c r="G74" s="83" t="s">
        <v>172</v>
      </c>
      <c r="H74" s="18" t="s">
        <v>173</v>
      </c>
      <c r="I74" s="18" t="s">
        <v>174</v>
      </c>
      <c r="J74" s="83" t="s">
        <v>175</v>
      </c>
      <c r="K74" s="18" t="s">
        <v>176</v>
      </c>
      <c r="L74" s="18" t="s">
        <v>177</v>
      </c>
      <c r="M74" s="83" t="s">
        <v>178</v>
      </c>
      <c r="N74" s="66"/>
      <c r="O74" s="66"/>
    </row>
    <row r="75">
      <c r="A75" s="68">
        <v>2022.0</v>
      </c>
      <c r="B75" s="70">
        <v>1.0</v>
      </c>
      <c r="C75" s="70">
        <v>0.5</v>
      </c>
      <c r="D75" s="70">
        <v>0.5</v>
      </c>
      <c r="E75" s="70">
        <v>0.5</v>
      </c>
      <c r="F75" s="70">
        <v>0.4</v>
      </c>
      <c r="G75" s="70">
        <v>0.5</v>
      </c>
      <c r="H75" s="71">
        <v>0.4</v>
      </c>
      <c r="I75" s="71">
        <v>0.0</v>
      </c>
      <c r="J75" s="71">
        <v>0.2</v>
      </c>
      <c r="K75" s="71">
        <v>0.4</v>
      </c>
      <c r="L75" s="71">
        <v>0.5</v>
      </c>
      <c r="M75" s="72">
        <v>0.6</v>
      </c>
      <c r="N75" s="66"/>
      <c r="O75" s="66"/>
    </row>
    <row r="76">
      <c r="A76" s="75" t="s">
        <v>179</v>
      </c>
      <c r="B76" s="91">
        <v>8.75</v>
      </c>
      <c r="C76" s="76">
        <v>8.45</v>
      </c>
      <c r="D76" s="76">
        <v>8.28</v>
      </c>
      <c r="E76" s="76">
        <v>8.19</v>
      </c>
      <c r="F76" s="76">
        <v>7.82</v>
      </c>
      <c r="G76" s="76">
        <v>7.62</v>
      </c>
      <c r="H76" s="77">
        <v>7.72</v>
      </c>
      <c r="I76" s="77">
        <v>7.53</v>
      </c>
      <c r="J76" s="77">
        <v>7.11</v>
      </c>
      <c r="K76" s="77">
        <v>6.35</v>
      </c>
      <c r="L76" s="77">
        <v>5.87</v>
      </c>
      <c r="M76" s="78">
        <v>5.64</v>
      </c>
      <c r="N76" s="79"/>
      <c r="O76" s="80">
        <v>2022.0</v>
      </c>
    </row>
    <row r="78">
      <c r="C78" s="2" t="s">
        <v>0</v>
      </c>
      <c r="D78" s="2" t="s">
        <v>1</v>
      </c>
      <c r="E78" s="2" t="s">
        <v>2</v>
      </c>
      <c r="F78" s="2" t="s">
        <v>3</v>
      </c>
      <c r="G78" s="2" t="s">
        <v>4</v>
      </c>
      <c r="H78" s="2" t="s">
        <v>5</v>
      </c>
      <c r="I78" s="2" t="s">
        <v>6</v>
      </c>
      <c r="J78" s="2" t="s">
        <v>7</v>
      </c>
    </row>
    <row r="79">
      <c r="A79" s="31" t="s">
        <v>382</v>
      </c>
      <c r="B79" s="185"/>
      <c r="C79" s="177">
        <v>74.4</v>
      </c>
      <c r="D79" s="177">
        <v>74.2</v>
      </c>
      <c r="E79" s="177">
        <v>73.5</v>
      </c>
      <c r="F79" s="177">
        <v>72.7</v>
      </c>
      <c r="G79" s="177">
        <v>76.6</v>
      </c>
      <c r="H79" s="177">
        <v>76.3</v>
      </c>
      <c r="I79" s="177">
        <v>78.8</v>
      </c>
      <c r="J79" s="177">
        <v>76.6</v>
      </c>
      <c r="K79" s="186" t="s">
        <v>383</v>
      </c>
    </row>
    <row r="80">
      <c r="A80" s="3" t="s">
        <v>384</v>
      </c>
      <c r="C80" s="187">
        <v>74.4</v>
      </c>
      <c r="D80" s="187">
        <v>74.2</v>
      </c>
      <c r="E80" s="187">
        <v>73.5</v>
      </c>
      <c r="F80" s="187">
        <v>72.7</v>
      </c>
      <c r="G80" s="187">
        <v>87.8</v>
      </c>
      <c r="H80" s="187">
        <v>85.4</v>
      </c>
      <c r="I80" s="187">
        <v>82.7</v>
      </c>
      <c r="J80" s="187">
        <v>80.5</v>
      </c>
      <c r="K80" s="188" t="s">
        <v>385</v>
      </c>
    </row>
  </sheetData>
  <mergeCells count="1">
    <mergeCell ref="N68:O6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10" width="12.5"/>
    <col customWidth="1" min="11" max="11" width="14.5"/>
    <col customWidth="1" min="12" max="12" width="37.0"/>
  </cols>
  <sheetData>
    <row r="1">
      <c r="A1" s="92">
        <v>44673.0</v>
      </c>
      <c r="B1" s="2"/>
      <c r="C1" s="61" t="s">
        <v>0</v>
      </c>
      <c r="D1" s="61" t="s">
        <v>1</v>
      </c>
      <c r="E1" s="61" t="s">
        <v>2</v>
      </c>
      <c r="F1" s="61" t="s">
        <v>3</v>
      </c>
      <c r="G1" s="61" t="s">
        <v>4</v>
      </c>
      <c r="H1" s="61" t="s">
        <v>5</v>
      </c>
      <c r="I1" s="61" t="s">
        <v>6</v>
      </c>
      <c r="J1" s="61" t="s">
        <v>7</v>
      </c>
      <c r="K1" s="61" t="s">
        <v>395</v>
      </c>
      <c r="L1" s="2" t="s">
        <v>8</v>
      </c>
      <c r="M1" s="2" t="s">
        <v>9</v>
      </c>
      <c r="N1" s="2" t="s">
        <v>10</v>
      </c>
      <c r="O1" s="2" t="s">
        <v>11</v>
      </c>
      <c r="P1" s="2" t="s">
        <v>12</v>
      </c>
      <c r="Q1" s="2" t="s">
        <v>13</v>
      </c>
      <c r="R1" s="2" t="s">
        <v>14</v>
      </c>
    </row>
    <row r="2">
      <c r="A2" s="191" t="s">
        <v>390</v>
      </c>
      <c r="B2" s="54"/>
      <c r="C2" s="4"/>
      <c r="D2" s="4"/>
      <c r="E2" s="54"/>
      <c r="F2" s="54"/>
      <c r="G2" s="54"/>
      <c r="H2" s="54"/>
      <c r="J2" s="5"/>
      <c r="M2" s="3"/>
      <c r="O2" s="7"/>
      <c r="P2" s="52"/>
      <c r="Q2" s="3"/>
      <c r="R2" s="52"/>
    </row>
    <row r="3">
      <c r="A3" s="3" t="s">
        <v>15</v>
      </c>
      <c r="B3" s="4"/>
      <c r="C3" s="4" t="s">
        <v>16</v>
      </c>
      <c r="D3" s="4" t="s">
        <v>16</v>
      </c>
      <c r="E3" s="54" t="s">
        <v>152</v>
      </c>
      <c r="F3" s="54" t="s">
        <v>293</v>
      </c>
      <c r="G3" s="24" t="s">
        <v>18</v>
      </c>
      <c r="H3" s="24" t="s">
        <v>18</v>
      </c>
      <c r="I3" s="24" t="s">
        <v>316</v>
      </c>
      <c r="J3" s="24" t="s">
        <v>18</v>
      </c>
      <c r="K3" s="24" t="s">
        <v>18</v>
      </c>
      <c r="M3" s="3" t="s">
        <v>20</v>
      </c>
      <c r="O3" s="7" t="s">
        <v>22</v>
      </c>
      <c r="P3" s="52"/>
      <c r="Q3" s="3" t="s">
        <v>23</v>
      </c>
      <c r="R3" s="52"/>
    </row>
    <row r="4">
      <c r="A4" s="3" t="s">
        <v>24</v>
      </c>
      <c r="B4" s="4"/>
      <c r="C4" s="4" t="s">
        <v>25</v>
      </c>
      <c r="D4" s="4" t="s">
        <v>25</v>
      </c>
      <c r="E4" s="54" t="s">
        <v>153</v>
      </c>
      <c r="F4" s="54" t="s">
        <v>295</v>
      </c>
      <c r="G4" s="24" t="s">
        <v>153</v>
      </c>
      <c r="H4" s="24" t="s">
        <v>153</v>
      </c>
      <c r="I4" s="24" t="s">
        <v>154</v>
      </c>
      <c r="J4" s="24" t="s">
        <v>153</v>
      </c>
      <c r="K4" s="24" t="s">
        <v>153</v>
      </c>
      <c r="M4" s="3" t="s">
        <v>20</v>
      </c>
      <c r="O4" s="7" t="s">
        <v>22</v>
      </c>
      <c r="P4" s="52"/>
      <c r="Q4" s="3" t="s">
        <v>23</v>
      </c>
      <c r="R4" s="52"/>
    </row>
    <row r="5">
      <c r="A5" s="3" t="s">
        <v>28</v>
      </c>
      <c r="B5" s="4"/>
      <c r="C5" s="4" t="s">
        <v>29</v>
      </c>
      <c r="D5" s="4" t="s">
        <v>139</v>
      </c>
      <c r="E5" s="54" t="s">
        <v>199</v>
      </c>
      <c r="F5" s="54" t="s">
        <v>298</v>
      </c>
      <c r="G5" s="190" t="s">
        <v>391</v>
      </c>
      <c r="H5" s="190" t="s">
        <v>392</v>
      </c>
      <c r="I5" s="190" t="s">
        <v>393</v>
      </c>
      <c r="J5" s="190" t="s">
        <v>394</v>
      </c>
      <c r="K5" s="190" t="s">
        <v>394</v>
      </c>
      <c r="M5" s="3" t="s">
        <v>33</v>
      </c>
      <c r="N5" s="3" t="s">
        <v>21</v>
      </c>
      <c r="O5" s="3" t="s">
        <v>23</v>
      </c>
      <c r="P5" s="53"/>
      <c r="R5" s="52"/>
    </row>
    <row r="6">
      <c r="A6" s="3" t="s">
        <v>35</v>
      </c>
      <c r="B6" s="4"/>
      <c r="C6" s="4">
        <v>5.7</v>
      </c>
      <c r="D6" s="54" t="s">
        <v>144</v>
      </c>
      <c r="E6" s="54" t="s">
        <v>201</v>
      </c>
      <c r="F6" s="54" t="s">
        <v>299</v>
      </c>
      <c r="G6" s="24" t="s">
        <v>319</v>
      </c>
      <c r="H6" s="24" t="s">
        <v>304</v>
      </c>
      <c r="I6" s="24" t="s">
        <v>194</v>
      </c>
      <c r="J6" s="24" t="s">
        <v>320</v>
      </c>
      <c r="K6" s="24" t="s">
        <v>320</v>
      </c>
      <c r="M6" s="3" t="s">
        <v>20</v>
      </c>
      <c r="O6" s="7" t="s">
        <v>22</v>
      </c>
      <c r="P6" s="53"/>
      <c r="Q6" s="3" t="s">
        <v>23</v>
      </c>
      <c r="R6" s="52"/>
    </row>
    <row r="7" hidden="1">
      <c r="A7" s="3"/>
      <c r="B7" s="4"/>
      <c r="C7" s="4"/>
      <c r="D7" s="54"/>
      <c r="E7" s="111" t="s">
        <v>241</v>
      </c>
      <c r="F7" s="112" t="s">
        <v>236</v>
      </c>
      <c r="G7" s="24" t="s">
        <v>237</v>
      </c>
      <c r="H7" s="24" t="s">
        <v>238</v>
      </c>
      <c r="I7" s="24" t="s">
        <v>239</v>
      </c>
      <c r="J7" s="192"/>
      <c r="K7" s="192"/>
      <c r="M7" s="3"/>
      <c r="O7" s="7"/>
      <c r="P7" s="52"/>
      <c r="Q7" s="3"/>
      <c r="R7" s="52"/>
    </row>
    <row r="8">
      <c r="A8" s="3" t="s">
        <v>42</v>
      </c>
      <c r="B8" s="4"/>
      <c r="C8" s="4">
        <v>4.5</v>
      </c>
      <c r="D8" s="54">
        <v>5.5</v>
      </c>
      <c r="E8" s="54" t="s">
        <v>194</v>
      </c>
      <c r="F8" s="54">
        <v>8.5</v>
      </c>
      <c r="G8" s="24" t="s">
        <v>387</v>
      </c>
      <c r="H8" s="24" t="s">
        <v>387</v>
      </c>
      <c r="I8" s="24" t="s">
        <v>388</v>
      </c>
      <c r="J8" s="24" t="s">
        <v>389</v>
      </c>
      <c r="K8" s="24" t="s">
        <v>389</v>
      </c>
      <c r="L8" s="172" t="s">
        <v>323</v>
      </c>
      <c r="M8" s="3" t="s">
        <v>20</v>
      </c>
      <c r="O8" s="7" t="s">
        <v>22</v>
      </c>
      <c r="P8" s="52" t="s">
        <v>324</v>
      </c>
      <c r="Q8" s="3" t="s">
        <v>23</v>
      </c>
      <c r="R8" s="52"/>
    </row>
    <row r="9">
      <c r="E9" s="114" t="s">
        <v>241</v>
      </c>
      <c r="F9" s="115" t="s">
        <v>242</v>
      </c>
      <c r="G9" s="115" t="s">
        <v>242</v>
      </c>
      <c r="H9" s="115" t="s">
        <v>194</v>
      </c>
      <c r="I9" s="115" t="s">
        <v>148</v>
      </c>
      <c r="P9" s="55"/>
      <c r="R9" s="55"/>
    </row>
    <row r="10">
      <c r="A10" s="3" t="s">
        <v>47</v>
      </c>
      <c r="C10" s="4">
        <v>5.7</v>
      </c>
      <c r="D10" s="4">
        <v>6.5</v>
      </c>
      <c r="E10" s="62">
        <v>7.4</v>
      </c>
      <c r="F10" s="54">
        <v>8.1</v>
      </c>
      <c r="G10" s="54"/>
      <c r="H10" s="62"/>
      <c r="I10" s="62"/>
      <c r="J10" s="62"/>
      <c r="M10" s="19" t="s">
        <v>396</v>
      </c>
    </row>
    <row r="11">
      <c r="A11" s="3" t="s">
        <v>162</v>
      </c>
      <c r="D11" s="111" t="s">
        <v>241</v>
      </c>
      <c r="E11" s="117">
        <v>7.0</v>
      </c>
      <c r="F11" s="112">
        <v>7.3</v>
      </c>
      <c r="G11" s="112"/>
      <c r="H11" s="112"/>
      <c r="I11" s="117"/>
      <c r="J11" s="112"/>
    </row>
    <row r="12">
      <c r="C12" s="10"/>
      <c r="D12" s="10"/>
      <c r="E12" s="10"/>
      <c r="F12" s="10"/>
      <c r="G12" s="10"/>
      <c r="H12" s="10"/>
      <c r="I12" s="10"/>
      <c r="J12" s="10"/>
    </row>
    <row r="13">
      <c r="E13" s="118">
        <v>74.5</v>
      </c>
      <c r="F13" s="118">
        <v>74.2</v>
      </c>
      <c r="G13" s="118">
        <v>76.5</v>
      </c>
      <c r="H13" s="118">
        <v>77.7</v>
      </c>
      <c r="I13" s="118">
        <v>77.7</v>
      </c>
      <c r="J13" s="118">
        <v>76.5</v>
      </c>
      <c r="K13" s="119"/>
      <c r="L13" s="119" t="s">
        <v>305</v>
      </c>
    </row>
    <row r="14">
      <c r="A14" s="3" t="s">
        <v>48</v>
      </c>
      <c r="C14" s="164">
        <v>74.4</v>
      </c>
      <c r="D14" s="164">
        <v>74.2</v>
      </c>
      <c r="E14" s="164">
        <v>73.5</v>
      </c>
      <c r="F14" s="118">
        <v>72.4</v>
      </c>
      <c r="G14" s="118">
        <v>71.4</v>
      </c>
      <c r="H14" s="118">
        <v>76.4</v>
      </c>
      <c r="I14" s="118">
        <v>78.1</v>
      </c>
      <c r="J14" s="118">
        <v>75.9</v>
      </c>
      <c r="K14" s="119"/>
      <c r="L14" s="119" t="s">
        <v>325</v>
      </c>
    </row>
    <row r="15">
      <c r="A15" s="3" t="s">
        <v>15</v>
      </c>
      <c r="B15" s="11"/>
      <c r="C15" s="63">
        <v>74.4</v>
      </c>
      <c r="D15" s="63">
        <v>74.2</v>
      </c>
      <c r="E15" s="63">
        <v>73.5</v>
      </c>
      <c r="F15" s="63">
        <v>72.7</v>
      </c>
      <c r="G15" s="63">
        <v>80.8</v>
      </c>
      <c r="H15" s="63">
        <v>84.5</v>
      </c>
      <c r="I15" s="63">
        <v>88.0</v>
      </c>
      <c r="J15" s="63">
        <v>86.4</v>
      </c>
      <c r="K15" s="63">
        <v>89.5</v>
      </c>
    </row>
    <row r="16">
      <c r="A16" s="3"/>
      <c r="B16" s="12"/>
      <c r="C16" s="12"/>
      <c r="D16" s="13"/>
      <c r="E16" s="13"/>
      <c r="F16" s="13"/>
      <c r="G16" s="13"/>
      <c r="H16" s="13"/>
      <c r="I16" s="13"/>
      <c r="J16" s="13"/>
      <c r="K16" s="13"/>
      <c r="L16" s="13"/>
      <c r="M16" s="13"/>
    </row>
    <row r="17">
      <c r="A17" s="119" t="s">
        <v>50</v>
      </c>
      <c r="B17" s="119"/>
      <c r="C17" s="119"/>
      <c r="D17" s="173"/>
      <c r="E17" s="173"/>
      <c r="F17" s="174">
        <v>8.2</v>
      </c>
      <c r="G17" s="175">
        <v>7.0</v>
      </c>
      <c r="H17" s="174">
        <v>44202.0</v>
      </c>
      <c r="I17" s="174">
        <v>44352.0</v>
      </c>
      <c r="J17" s="175">
        <v>4.9</v>
      </c>
      <c r="K17" s="119"/>
      <c r="L17" s="119" t="s">
        <v>327</v>
      </c>
      <c r="M17" s="173"/>
      <c r="N17" s="173"/>
      <c r="O17" s="173"/>
      <c r="P17" s="173"/>
      <c r="Q17" s="173"/>
      <c r="R17" s="173"/>
      <c r="S17" s="173"/>
      <c r="T17" s="173"/>
      <c r="U17" s="173"/>
      <c r="V17" s="173"/>
      <c r="W17" s="173"/>
      <c r="X17" s="173"/>
      <c r="Y17" s="173"/>
      <c r="Z17" s="173"/>
      <c r="AA17" s="173"/>
      <c r="AB17" s="173"/>
      <c r="AC17" s="173"/>
      <c r="AD17" s="173"/>
      <c r="AE17" s="173"/>
      <c r="AF17" s="173"/>
    </row>
    <row r="18">
      <c r="A18" s="3" t="s">
        <v>50</v>
      </c>
      <c r="B18" s="12"/>
      <c r="C18" s="12"/>
      <c r="D18" s="13"/>
      <c r="E18" s="13"/>
      <c r="F18" s="14">
        <v>44659.0</v>
      </c>
      <c r="G18" s="14">
        <v>44780.0</v>
      </c>
      <c r="H18" s="14">
        <v>44718.0</v>
      </c>
      <c r="I18" s="14">
        <v>44598.0</v>
      </c>
      <c r="J18" s="14">
        <v>44625.0</v>
      </c>
      <c r="K18" s="3"/>
      <c r="L18" s="3" t="s">
        <v>328</v>
      </c>
    </row>
    <row r="19">
      <c r="B19" s="12"/>
      <c r="C19" s="12"/>
      <c r="D19" s="13"/>
      <c r="E19" s="13"/>
      <c r="F19" s="13"/>
      <c r="G19" s="176">
        <v>44659.0</v>
      </c>
      <c r="H19" s="176">
        <v>44749.0</v>
      </c>
      <c r="I19" s="176">
        <v>44779.0</v>
      </c>
      <c r="J19" s="176">
        <v>44625.0</v>
      </c>
      <c r="K19" s="3"/>
      <c r="L19" s="3" t="s">
        <v>329</v>
      </c>
      <c r="O19" s="3"/>
    </row>
    <row r="20">
      <c r="B20" s="12"/>
      <c r="C20" s="12"/>
      <c r="D20" s="13"/>
      <c r="E20" s="13"/>
      <c r="F20" s="13"/>
      <c r="G20" s="13"/>
      <c r="H20" s="62"/>
      <c r="I20" s="62"/>
      <c r="J20" s="4"/>
      <c r="O20" s="3" t="s">
        <v>330</v>
      </c>
    </row>
    <row r="21" hidden="1">
      <c r="B21" s="15" t="s">
        <v>52</v>
      </c>
      <c r="C21" s="16"/>
      <c r="D21" s="16"/>
      <c r="E21" s="16"/>
      <c r="F21" s="17" t="s">
        <v>53</v>
      </c>
      <c r="G21" s="18"/>
      <c r="H21" s="18"/>
      <c r="I21" s="18"/>
      <c r="J21" s="18"/>
      <c r="K21" s="3"/>
      <c r="L21" s="3"/>
    </row>
    <row r="22" hidden="1">
      <c r="A22" s="3"/>
      <c r="B22" s="16" t="s">
        <v>28</v>
      </c>
      <c r="C22" s="16"/>
      <c r="D22" s="16"/>
      <c r="E22" s="16"/>
      <c r="F22" s="20" t="s">
        <v>207</v>
      </c>
      <c r="G22" s="20">
        <v>0.085534</v>
      </c>
      <c r="H22" s="20">
        <v>-0.09657</v>
      </c>
      <c r="I22" s="20">
        <v>-0.074</v>
      </c>
      <c r="J22" s="18"/>
      <c r="K22" s="31"/>
      <c r="L22" s="31" t="s">
        <v>164</v>
      </c>
    </row>
    <row r="23" hidden="1">
      <c r="A23" s="3"/>
      <c r="B23" s="16" t="s">
        <v>55</v>
      </c>
      <c r="C23" s="16"/>
      <c r="D23" s="16"/>
      <c r="E23" s="16"/>
      <c r="F23" s="20" t="s">
        <v>208</v>
      </c>
      <c r="G23" s="20">
        <v>0.0891</v>
      </c>
      <c r="H23" s="20">
        <v>0.015935</v>
      </c>
      <c r="I23" s="20">
        <v>-0.00482</v>
      </c>
      <c r="J23" s="86">
        <v>-0.022</v>
      </c>
      <c r="K23" s="3"/>
      <c r="L23" s="3" t="s">
        <v>56</v>
      </c>
    </row>
    <row r="24" hidden="1">
      <c r="A24" s="3"/>
      <c r="B24" s="16" t="s">
        <v>57</v>
      </c>
      <c r="C24" s="16"/>
      <c r="D24" s="16"/>
      <c r="E24" s="16"/>
      <c r="F24" s="57" t="s">
        <v>209</v>
      </c>
      <c r="G24" s="20">
        <v>0.166436</v>
      </c>
      <c r="H24" s="20">
        <v>-0.21198</v>
      </c>
      <c r="I24" s="20">
        <v>-0.40366</v>
      </c>
      <c r="J24" s="88">
        <v>-0.267</v>
      </c>
      <c r="K24" s="3"/>
      <c r="L24" s="3" t="s">
        <v>56</v>
      </c>
    </row>
    <row r="25" hidden="1">
      <c r="A25" s="3"/>
      <c r="B25" s="16" t="s">
        <v>58</v>
      </c>
      <c r="C25" s="16"/>
      <c r="D25" s="16"/>
      <c r="E25" s="16"/>
      <c r="F25" s="20" t="s">
        <v>210</v>
      </c>
      <c r="G25" s="20">
        <v>0.09644</v>
      </c>
      <c r="H25" s="20">
        <v>-0.01752</v>
      </c>
      <c r="I25" s="20">
        <v>0.090012</v>
      </c>
      <c r="J25" s="88">
        <v>-0.051</v>
      </c>
      <c r="K25" s="3"/>
      <c r="L25" s="3" t="s">
        <v>56</v>
      </c>
    </row>
    <row r="26" hidden="1">
      <c r="A26" s="3"/>
      <c r="B26" s="16" t="s">
        <v>60</v>
      </c>
      <c r="C26" s="16"/>
      <c r="D26" s="16"/>
      <c r="E26" s="16"/>
      <c r="F26" s="20" t="s">
        <v>211</v>
      </c>
      <c r="G26" s="20">
        <v>0.136107</v>
      </c>
      <c r="H26" s="20">
        <v>0.038548</v>
      </c>
      <c r="I26" s="20">
        <v>-0.09601</v>
      </c>
      <c r="J26" s="88">
        <v>-0.099</v>
      </c>
      <c r="K26" s="3"/>
      <c r="L26" s="3" t="s">
        <v>56</v>
      </c>
    </row>
    <row r="27" hidden="1">
      <c r="A27" s="3"/>
      <c r="B27" s="16" t="s">
        <v>62</v>
      </c>
      <c r="C27" s="16"/>
      <c r="D27" s="16"/>
      <c r="E27" s="16"/>
      <c r="F27" s="18">
        <f t="shared" ref="F27:J27" si="1">F50</f>
        <v>72.8</v>
      </c>
      <c r="G27" s="18">
        <f t="shared" si="1"/>
        <v>86.2</v>
      </c>
      <c r="H27" s="18">
        <f t="shared" si="1"/>
        <v>86</v>
      </c>
      <c r="I27" s="18">
        <f t="shared" si="1"/>
        <v>89.2</v>
      </c>
      <c r="J27" s="89">
        <f t="shared" si="1"/>
        <v>88.1</v>
      </c>
      <c r="K27" s="3"/>
      <c r="L27" s="3" t="s">
        <v>63</v>
      </c>
    </row>
    <row r="28" hidden="1">
      <c r="A28" s="3"/>
      <c r="B28" s="16" t="s">
        <v>64</v>
      </c>
      <c r="C28" s="16"/>
      <c r="D28" s="16"/>
      <c r="E28" s="16"/>
      <c r="F28" s="95">
        <v>0.09</v>
      </c>
      <c r="G28" s="20">
        <v>0.08</v>
      </c>
      <c r="H28" s="20">
        <v>0.07</v>
      </c>
      <c r="I28" s="20">
        <v>0.07</v>
      </c>
      <c r="J28" s="86">
        <v>0.07</v>
      </c>
      <c r="K28" s="3"/>
      <c r="L28" s="3" t="s">
        <v>65</v>
      </c>
    </row>
    <row r="29" hidden="1">
      <c r="A29" s="3"/>
      <c r="B29" s="16" t="s">
        <v>66</v>
      </c>
      <c r="C29" s="16"/>
      <c r="D29" s="16"/>
      <c r="E29" s="16"/>
      <c r="F29" s="21">
        <v>0.042</v>
      </c>
      <c r="G29" s="21">
        <v>0.042</v>
      </c>
      <c r="H29" s="21">
        <v>0.042</v>
      </c>
      <c r="I29" s="21">
        <v>0.042</v>
      </c>
      <c r="J29" s="88">
        <v>0.042</v>
      </c>
      <c r="K29" s="3"/>
      <c r="L29" s="3" t="s">
        <v>67</v>
      </c>
    </row>
    <row r="30" hidden="1">
      <c r="A30" s="3"/>
      <c r="B30" s="16" t="s">
        <v>68</v>
      </c>
      <c r="C30" s="16"/>
      <c r="D30" s="16"/>
      <c r="E30" s="16"/>
      <c r="F30" s="21">
        <v>0.024</v>
      </c>
      <c r="G30" s="21">
        <v>0.024</v>
      </c>
      <c r="H30" s="21">
        <v>0.024</v>
      </c>
      <c r="I30" s="21">
        <v>0.024</v>
      </c>
      <c r="J30" s="88">
        <v>0.024</v>
      </c>
      <c r="K30" s="3"/>
      <c r="L30" s="3" t="s">
        <v>67</v>
      </c>
    </row>
    <row r="31">
      <c r="F31" s="3" t="s">
        <v>15</v>
      </c>
      <c r="G31" s="177">
        <v>76.6</v>
      </c>
      <c r="H31" s="177">
        <v>76.3</v>
      </c>
      <c r="I31" s="177">
        <v>78.8</v>
      </c>
      <c r="J31" s="177">
        <v>76.6</v>
      </c>
      <c r="O31" s="178" t="s">
        <v>331</v>
      </c>
      <c r="P31" s="179" t="s">
        <v>81</v>
      </c>
      <c r="Q31" s="179" t="s">
        <v>114</v>
      </c>
    </row>
    <row r="32">
      <c r="A32" s="31" t="s">
        <v>245</v>
      </c>
      <c r="B32" s="3"/>
      <c r="C32" s="3"/>
      <c r="D32" s="3"/>
      <c r="F32" s="4"/>
      <c r="G32" s="4"/>
      <c r="H32" s="4"/>
      <c r="I32" s="4"/>
      <c r="J32" s="4"/>
      <c r="K32" s="3"/>
      <c r="L32" s="3"/>
      <c r="M32" s="3"/>
      <c r="N32" s="3"/>
      <c r="O32" s="180" t="s">
        <v>332</v>
      </c>
      <c r="P32" s="181" t="s">
        <v>333</v>
      </c>
      <c r="Q32" s="181" t="s">
        <v>334</v>
      </c>
    </row>
    <row r="33">
      <c r="A33" s="3" t="s">
        <v>28</v>
      </c>
      <c r="B33" s="10" t="s">
        <v>69</v>
      </c>
      <c r="C33" s="167">
        <v>61.0</v>
      </c>
      <c r="D33" s="167">
        <v>69.0</v>
      </c>
      <c r="E33" s="167">
        <v>73.0</v>
      </c>
      <c r="F33" s="167">
        <v>79.0</v>
      </c>
      <c r="G33" s="193">
        <v>88.0</v>
      </c>
      <c r="H33" s="193">
        <v>81.0</v>
      </c>
      <c r="I33" s="193">
        <v>74.0</v>
      </c>
      <c r="J33" s="193">
        <v>66.0</v>
      </c>
      <c r="K33" s="193">
        <v>66.0</v>
      </c>
      <c r="L33" s="182" t="s">
        <v>247</v>
      </c>
      <c r="O33" s="180" t="s">
        <v>335</v>
      </c>
      <c r="P33" s="181" t="s">
        <v>336</v>
      </c>
      <c r="Q33" s="181" t="s">
        <v>337</v>
      </c>
    </row>
    <row r="34">
      <c r="A34" s="22" t="s">
        <v>74</v>
      </c>
      <c r="B34" s="10" t="s">
        <v>75</v>
      </c>
      <c r="C34" s="193">
        <v>169.0</v>
      </c>
      <c r="D34" s="193">
        <v>202.0</v>
      </c>
      <c r="E34" s="193">
        <v>278.0</v>
      </c>
      <c r="F34" s="193">
        <v>374.0</v>
      </c>
      <c r="G34" s="193">
        <v>368.0</v>
      </c>
      <c r="H34" s="193">
        <v>267.0</v>
      </c>
      <c r="I34" s="193">
        <v>309.0</v>
      </c>
      <c r="J34" s="193">
        <v>298.0</v>
      </c>
      <c r="K34" s="193">
        <v>262.0</v>
      </c>
      <c r="L34" s="3" t="s">
        <v>309</v>
      </c>
      <c r="O34" s="180" t="s">
        <v>338</v>
      </c>
      <c r="P34" s="181" t="s">
        <v>339</v>
      </c>
      <c r="Q34" s="181" t="s">
        <v>337</v>
      </c>
    </row>
    <row r="35">
      <c r="A35" s="22" t="s">
        <v>74</v>
      </c>
      <c r="B35" s="10" t="s">
        <v>248</v>
      </c>
      <c r="C35" s="123">
        <f t="shared" ref="C35:K35" si="2">C34/35.3</f>
        <v>4.787535411</v>
      </c>
      <c r="D35" s="123">
        <f t="shared" si="2"/>
        <v>5.722379603</v>
      </c>
      <c r="E35" s="123">
        <f t="shared" si="2"/>
        <v>7.875354108</v>
      </c>
      <c r="F35" s="123">
        <f t="shared" si="2"/>
        <v>10.59490085</v>
      </c>
      <c r="G35" s="123">
        <f t="shared" si="2"/>
        <v>10.42492918</v>
      </c>
      <c r="H35" s="123">
        <f t="shared" si="2"/>
        <v>7.563739377</v>
      </c>
      <c r="I35" s="123">
        <f t="shared" si="2"/>
        <v>8.753541076</v>
      </c>
      <c r="J35" s="123">
        <f t="shared" si="2"/>
        <v>8.441926346</v>
      </c>
      <c r="K35" s="123">
        <f t="shared" si="2"/>
        <v>7.422096317</v>
      </c>
      <c r="L35" s="3" t="s">
        <v>309</v>
      </c>
      <c r="M35" s="124"/>
      <c r="N35" s="124"/>
      <c r="O35" s="180" t="s">
        <v>340</v>
      </c>
      <c r="P35" s="181" t="s">
        <v>341</v>
      </c>
      <c r="Q35" s="181" t="s">
        <v>337</v>
      </c>
    </row>
    <row r="36">
      <c r="A36" s="3" t="s">
        <v>249</v>
      </c>
      <c r="B36" s="10" t="s">
        <v>248</v>
      </c>
      <c r="C36" s="11">
        <v>6.8</v>
      </c>
      <c r="D36" s="11">
        <v>8.7</v>
      </c>
      <c r="E36" s="11">
        <v>16.9</v>
      </c>
      <c r="F36" s="11">
        <v>29.0</v>
      </c>
      <c r="G36" s="11">
        <v>29.0</v>
      </c>
      <c r="H36" s="11">
        <v>15.0</v>
      </c>
      <c r="I36" s="11">
        <v>11.0</v>
      </c>
      <c r="J36" s="11">
        <v>15.0</v>
      </c>
      <c r="K36" s="11">
        <v>15.0</v>
      </c>
      <c r="L36" s="125" t="s">
        <v>250</v>
      </c>
      <c r="O36" s="180" t="s">
        <v>171</v>
      </c>
      <c r="P36" s="181" t="s">
        <v>342</v>
      </c>
      <c r="Q36" s="181" t="s">
        <v>337</v>
      </c>
    </row>
    <row r="37">
      <c r="A37" s="3"/>
      <c r="B37" s="10"/>
      <c r="C37" s="126"/>
      <c r="D37" s="126"/>
      <c r="E37" s="126"/>
      <c r="F37" s="11"/>
      <c r="G37" s="11">
        <v>29.0</v>
      </c>
      <c r="H37" s="11">
        <v>29.0</v>
      </c>
      <c r="I37" s="11">
        <v>28.5</v>
      </c>
      <c r="J37" s="11">
        <v>29.5</v>
      </c>
      <c r="K37" s="127"/>
      <c r="L37" s="127" t="s">
        <v>251</v>
      </c>
      <c r="O37" s="180" t="s">
        <v>343</v>
      </c>
      <c r="P37" s="181" t="s">
        <v>344</v>
      </c>
      <c r="Q37" s="181" t="s">
        <v>337</v>
      </c>
    </row>
    <row r="38">
      <c r="A38" s="3" t="s">
        <v>252</v>
      </c>
      <c r="B38" s="10" t="s">
        <v>248</v>
      </c>
      <c r="C38" s="128">
        <f t="shared" ref="C38:K38" si="3">14%*C33</f>
        <v>8.54</v>
      </c>
      <c r="D38" s="128">
        <f t="shared" si="3"/>
        <v>9.66</v>
      </c>
      <c r="E38" s="128">
        <f t="shared" si="3"/>
        <v>10.22</v>
      </c>
      <c r="F38" s="128">
        <f t="shared" si="3"/>
        <v>11.06</v>
      </c>
      <c r="G38" s="128">
        <f t="shared" si="3"/>
        <v>12.32</v>
      </c>
      <c r="H38" s="128">
        <f t="shared" si="3"/>
        <v>11.34</v>
      </c>
      <c r="I38" s="128">
        <f t="shared" si="3"/>
        <v>10.36</v>
      </c>
      <c r="J38" s="128">
        <f t="shared" si="3"/>
        <v>9.24</v>
      </c>
      <c r="K38" s="128">
        <f t="shared" si="3"/>
        <v>9.24</v>
      </c>
      <c r="L38" s="127" t="s">
        <v>253</v>
      </c>
      <c r="O38" s="180" t="s">
        <v>345</v>
      </c>
      <c r="P38" s="181" t="s">
        <v>346</v>
      </c>
      <c r="Q38" s="181" t="s">
        <v>334</v>
      </c>
    </row>
    <row r="39">
      <c r="A39" s="3" t="s">
        <v>254</v>
      </c>
      <c r="B39" s="10" t="s">
        <v>248</v>
      </c>
      <c r="C39" s="128">
        <f>0.8*C36 + 0.2*C38</f>
        <v>7.148</v>
      </c>
      <c r="D39" s="128">
        <f t="shared" ref="D39:K39" si="4">0.8*D36+0.2*D38</f>
        <v>8.892</v>
      </c>
      <c r="E39" s="128">
        <f t="shared" si="4"/>
        <v>15.564</v>
      </c>
      <c r="F39" s="128">
        <f t="shared" si="4"/>
        <v>25.412</v>
      </c>
      <c r="G39" s="128">
        <f t="shared" si="4"/>
        <v>25.664</v>
      </c>
      <c r="H39" s="128">
        <f t="shared" si="4"/>
        <v>14.268</v>
      </c>
      <c r="I39" s="128">
        <f t="shared" si="4"/>
        <v>10.872</v>
      </c>
      <c r="J39" s="128">
        <f t="shared" si="4"/>
        <v>13.848</v>
      </c>
      <c r="K39" s="128">
        <f t="shared" si="4"/>
        <v>13.848</v>
      </c>
      <c r="L39" s="127" t="s">
        <v>255</v>
      </c>
      <c r="M39" s="22"/>
      <c r="O39" s="180" t="s">
        <v>347</v>
      </c>
      <c r="P39" s="181" t="s">
        <v>344</v>
      </c>
      <c r="Q39" s="181" t="s">
        <v>334</v>
      </c>
    </row>
    <row r="40">
      <c r="A40" s="129" t="s">
        <v>256</v>
      </c>
      <c r="B40" s="130"/>
      <c r="C40" s="131">
        <f t="shared" ref="C40:K40" si="5">C39-C35</f>
        <v>2.360464589</v>
      </c>
      <c r="D40" s="131">
        <f t="shared" si="5"/>
        <v>3.169620397</v>
      </c>
      <c r="E40" s="131">
        <f t="shared" si="5"/>
        <v>7.688645892</v>
      </c>
      <c r="F40" s="131">
        <f t="shared" si="5"/>
        <v>14.81709915</v>
      </c>
      <c r="G40" s="131">
        <f t="shared" si="5"/>
        <v>15.23907082</v>
      </c>
      <c r="H40" s="131">
        <f t="shared" si="5"/>
        <v>6.704260623</v>
      </c>
      <c r="I40" s="131">
        <f t="shared" si="5"/>
        <v>2.118458924</v>
      </c>
      <c r="J40" s="131">
        <f t="shared" si="5"/>
        <v>5.406073654</v>
      </c>
      <c r="K40" s="131">
        <f t="shared" si="5"/>
        <v>6.425903683</v>
      </c>
      <c r="L40" s="129" t="s">
        <v>257</v>
      </c>
      <c r="M40" s="130"/>
      <c r="N40" s="130"/>
      <c r="O40" s="180" t="s">
        <v>348</v>
      </c>
      <c r="P40" s="181" t="s">
        <v>349</v>
      </c>
      <c r="Q40" s="181" t="s">
        <v>334</v>
      </c>
      <c r="R40" s="130"/>
      <c r="S40" s="130"/>
      <c r="T40" s="130"/>
      <c r="U40" s="130"/>
      <c r="V40" s="130"/>
      <c r="W40" s="130"/>
      <c r="X40" s="130"/>
      <c r="Y40" s="130"/>
      <c r="Z40" s="130"/>
      <c r="AA40" s="130"/>
      <c r="AB40" s="130"/>
      <c r="AC40" s="130"/>
      <c r="AD40" s="130"/>
      <c r="AE40" s="130"/>
      <c r="AF40" s="130"/>
    </row>
    <row r="41">
      <c r="O41" s="180" t="s">
        <v>350</v>
      </c>
      <c r="P41" s="181" t="s">
        <v>351</v>
      </c>
      <c r="Q41" s="181" t="s">
        <v>352</v>
      </c>
    </row>
    <row r="42">
      <c r="A42" s="22" t="s">
        <v>76</v>
      </c>
      <c r="B42" s="10" t="s">
        <v>77</v>
      </c>
      <c r="C42" s="63">
        <v>1038.0</v>
      </c>
      <c r="D42" s="63">
        <v>1394.0</v>
      </c>
      <c r="E42" s="63">
        <v>1785.0</v>
      </c>
      <c r="F42" s="63">
        <v>1863.0</v>
      </c>
      <c r="G42" s="63">
        <v>1364.0</v>
      </c>
      <c r="H42" s="63">
        <v>1249.0</v>
      </c>
      <c r="I42" s="63">
        <v>1511.0</v>
      </c>
      <c r="J42" s="63">
        <v>1478.0</v>
      </c>
      <c r="K42" s="63">
        <v>1423.0</v>
      </c>
      <c r="L42" s="3" t="s">
        <v>54</v>
      </c>
      <c r="O42" s="180" t="s">
        <v>353</v>
      </c>
      <c r="P42" s="181" t="s">
        <v>354</v>
      </c>
      <c r="Q42" s="181" t="s">
        <v>352</v>
      </c>
    </row>
    <row r="43">
      <c r="A43" s="132"/>
      <c r="B43" s="132"/>
      <c r="C43" s="133"/>
      <c r="D43" s="133"/>
      <c r="E43" s="133"/>
      <c r="F43" s="133"/>
      <c r="G43" s="133"/>
      <c r="H43" s="133"/>
      <c r="I43" s="133"/>
      <c r="J43" s="133"/>
      <c r="K43" s="134"/>
      <c r="L43" s="134"/>
      <c r="M43" s="134"/>
      <c r="N43" s="134"/>
      <c r="O43" s="180" t="s">
        <v>355</v>
      </c>
      <c r="P43" s="181" t="s">
        <v>356</v>
      </c>
      <c r="Q43" s="181" t="s">
        <v>357</v>
      </c>
      <c r="R43" s="134"/>
      <c r="S43" s="134"/>
      <c r="T43" s="134"/>
      <c r="U43" s="134"/>
      <c r="V43" s="134"/>
      <c r="W43" s="134"/>
      <c r="X43" s="134"/>
      <c r="Y43" s="134"/>
      <c r="Z43" s="134"/>
      <c r="AA43" s="134"/>
      <c r="AB43" s="134"/>
      <c r="AC43" s="134"/>
      <c r="AD43" s="134"/>
      <c r="AE43" s="134"/>
      <c r="AF43" s="134"/>
    </row>
    <row r="44">
      <c r="A44" s="194" t="s">
        <v>78</v>
      </c>
      <c r="B44" s="195" t="s">
        <v>79</v>
      </c>
      <c r="C44" s="64">
        <v>99.3</v>
      </c>
      <c r="D44" s="64">
        <v>110.5</v>
      </c>
      <c r="E44" s="64">
        <v>104.3</v>
      </c>
      <c r="F44" s="64">
        <v>99.9</v>
      </c>
      <c r="G44" s="64">
        <v>98.2</v>
      </c>
      <c r="H44" s="64">
        <v>97.1</v>
      </c>
      <c r="I44" s="64">
        <v>94.8</v>
      </c>
      <c r="J44" s="64">
        <v>96.8</v>
      </c>
      <c r="K44" s="64">
        <v>103.5</v>
      </c>
    </row>
    <row r="45">
      <c r="A45" s="194" t="s">
        <v>80</v>
      </c>
      <c r="B45" s="194" t="s">
        <v>79</v>
      </c>
      <c r="C45" s="64">
        <v>97.2</v>
      </c>
      <c r="D45" s="64">
        <v>128.1</v>
      </c>
      <c r="E45" s="64">
        <v>110.3</v>
      </c>
      <c r="F45" s="64">
        <v>101.0</v>
      </c>
      <c r="G45" s="64">
        <v>100.0</v>
      </c>
      <c r="H45" s="64">
        <v>90.0</v>
      </c>
      <c r="I45" s="64">
        <v>90.0</v>
      </c>
      <c r="J45" s="64">
        <v>90.0</v>
      </c>
      <c r="K45" s="64">
        <v>101.5</v>
      </c>
    </row>
    <row r="46">
      <c r="A46" s="194" t="s">
        <v>81</v>
      </c>
      <c r="B46" s="194" t="s">
        <v>79</v>
      </c>
      <c r="C46" s="64">
        <v>105.5</v>
      </c>
      <c r="D46" s="64">
        <v>106.0</v>
      </c>
      <c r="E46" s="64">
        <v>106.8</v>
      </c>
      <c r="F46" s="64">
        <v>108.3</v>
      </c>
      <c r="G46" s="64">
        <v>99.6</v>
      </c>
      <c r="H46" s="64">
        <v>90.2</v>
      </c>
      <c r="I46" s="64">
        <v>90.2</v>
      </c>
      <c r="J46" s="64">
        <v>90.1</v>
      </c>
      <c r="K46" s="64">
        <v>103.0</v>
      </c>
      <c r="L46" s="3" t="s">
        <v>381</v>
      </c>
    </row>
    <row r="47">
      <c r="A47" s="3" t="s">
        <v>259</v>
      </c>
      <c r="B47" s="3" t="s">
        <v>260</v>
      </c>
      <c r="C47" s="196">
        <v>22.0</v>
      </c>
      <c r="D47" s="196">
        <v>17.0</v>
      </c>
      <c r="E47" s="196">
        <v>36.0</v>
      </c>
      <c r="F47" s="196">
        <v>47.0</v>
      </c>
      <c r="G47" s="196">
        <v>43.0</v>
      </c>
      <c r="H47" s="196">
        <v>55.0</v>
      </c>
      <c r="I47" s="196">
        <v>23.0</v>
      </c>
      <c r="J47" s="196">
        <v>38.0</v>
      </c>
      <c r="K47" s="196">
        <v>21.0</v>
      </c>
    </row>
    <row r="50">
      <c r="A50" s="3" t="s">
        <v>137</v>
      </c>
      <c r="B50" s="11"/>
      <c r="C50" s="63">
        <v>74.4</v>
      </c>
      <c r="D50" s="63">
        <v>73.6</v>
      </c>
      <c r="E50" s="63">
        <v>72.8</v>
      </c>
      <c r="F50" s="63">
        <v>72.8</v>
      </c>
      <c r="G50" s="63">
        <v>86.2</v>
      </c>
      <c r="H50" s="63">
        <v>86.0</v>
      </c>
      <c r="I50" s="63">
        <v>89.2</v>
      </c>
      <c r="J50" s="63">
        <v>88.1</v>
      </c>
      <c r="K50" s="63">
        <v>95.4</v>
      </c>
      <c r="L50" s="169" t="s">
        <v>311</v>
      </c>
    </row>
    <row r="54">
      <c r="C54" s="35">
        <f t="shared" ref="C54:J54" si="6">VALUE(MID(C3,1,2))</f>
        <v>72</v>
      </c>
      <c r="D54" s="35">
        <f t="shared" si="6"/>
        <v>72</v>
      </c>
      <c r="E54" s="35">
        <f t="shared" si="6"/>
        <v>71</v>
      </c>
      <c r="F54" s="35">
        <f t="shared" si="6"/>
        <v>71</v>
      </c>
      <c r="G54" s="35">
        <f t="shared" si="6"/>
        <v>74</v>
      </c>
      <c r="H54" s="35">
        <f t="shared" si="6"/>
        <v>74</v>
      </c>
      <c r="I54" s="35">
        <f t="shared" si="6"/>
        <v>75</v>
      </c>
      <c r="J54" s="35">
        <f t="shared" si="6"/>
        <v>74</v>
      </c>
    </row>
    <row r="55">
      <c r="C55" s="35">
        <f t="shared" ref="C55:J55" si="7">VALUE(MID(C4,1,2))</f>
        <v>87</v>
      </c>
      <c r="D55" s="35">
        <f t="shared" si="7"/>
        <v>87</v>
      </c>
      <c r="E55" s="35">
        <f t="shared" si="7"/>
        <v>85</v>
      </c>
      <c r="F55" s="35">
        <f t="shared" si="7"/>
        <v>81</v>
      </c>
      <c r="G55" s="35">
        <f t="shared" si="7"/>
        <v>85</v>
      </c>
      <c r="H55" s="35">
        <f t="shared" si="7"/>
        <v>85</v>
      </c>
      <c r="I55" s="35">
        <f t="shared" si="7"/>
        <v>86</v>
      </c>
      <c r="J55" s="35">
        <f t="shared" si="7"/>
        <v>85</v>
      </c>
    </row>
    <row r="56">
      <c r="C56" s="35">
        <f t="shared" ref="C56:J56" si="8">VALUE(MID(C3,4,2))</f>
        <v>77</v>
      </c>
      <c r="D56" s="35">
        <f t="shared" si="8"/>
        <v>77</v>
      </c>
      <c r="E56" s="35">
        <f t="shared" si="8"/>
        <v>76</v>
      </c>
      <c r="F56" s="35">
        <f t="shared" si="8"/>
        <v>75</v>
      </c>
      <c r="G56" s="35">
        <f t="shared" si="8"/>
        <v>79</v>
      </c>
      <c r="H56" s="35">
        <f t="shared" si="8"/>
        <v>79</v>
      </c>
      <c r="I56" s="35">
        <f t="shared" si="8"/>
        <v>80</v>
      </c>
      <c r="J56" s="35">
        <f t="shared" si="8"/>
        <v>79</v>
      </c>
    </row>
    <row r="57">
      <c r="C57" s="35">
        <f t="shared" ref="C57:J57" si="9">VALUE(MID(C4,4,2))</f>
        <v>92</v>
      </c>
      <c r="D57" s="35">
        <f t="shared" si="9"/>
        <v>92</v>
      </c>
      <c r="E57" s="35">
        <f t="shared" si="9"/>
        <v>90</v>
      </c>
      <c r="F57" s="35">
        <f t="shared" si="9"/>
        <v>85</v>
      </c>
      <c r="G57" s="35">
        <f t="shared" si="9"/>
        <v>90</v>
      </c>
      <c r="H57" s="35">
        <f t="shared" si="9"/>
        <v>90</v>
      </c>
      <c r="I57" s="35">
        <f t="shared" si="9"/>
        <v>91</v>
      </c>
      <c r="J57" s="35">
        <f t="shared" si="9"/>
        <v>90</v>
      </c>
    </row>
    <row r="58">
      <c r="C58" s="35">
        <f t="shared" ref="C58:J58" si="10">AVERAGE(C54,C56)</f>
        <v>74.5</v>
      </c>
      <c r="D58" s="35">
        <f t="shared" si="10"/>
        <v>74.5</v>
      </c>
      <c r="E58" s="35">
        <f t="shared" si="10"/>
        <v>73.5</v>
      </c>
      <c r="F58" s="35">
        <f t="shared" si="10"/>
        <v>73</v>
      </c>
      <c r="G58" s="35">
        <f t="shared" si="10"/>
        <v>76.5</v>
      </c>
      <c r="H58" s="35">
        <f t="shared" si="10"/>
        <v>76.5</v>
      </c>
      <c r="I58" s="35">
        <f t="shared" si="10"/>
        <v>77.5</v>
      </c>
      <c r="J58" s="35">
        <f t="shared" si="10"/>
        <v>76.5</v>
      </c>
    </row>
    <row r="59">
      <c r="C59" s="35">
        <f t="shared" ref="C59:J59" si="11">AVERAGE(C55,C57)</f>
        <v>89.5</v>
      </c>
      <c r="D59" s="35">
        <f t="shared" si="11"/>
        <v>89.5</v>
      </c>
      <c r="E59" s="35">
        <f t="shared" si="11"/>
        <v>87.5</v>
      </c>
      <c r="F59" s="35">
        <f t="shared" si="11"/>
        <v>83</v>
      </c>
      <c r="G59" s="35">
        <f t="shared" si="11"/>
        <v>87.5</v>
      </c>
      <c r="H59" s="35">
        <f t="shared" si="11"/>
        <v>87.5</v>
      </c>
      <c r="I59" s="35">
        <f t="shared" si="11"/>
        <v>88.5</v>
      </c>
      <c r="J59" s="35">
        <f t="shared" si="11"/>
        <v>87.5</v>
      </c>
    </row>
    <row r="60">
      <c r="A60" s="3" t="s">
        <v>151</v>
      </c>
      <c r="C60" s="59">
        <f t="shared" ref="C60:J60" si="12">C59/C58</f>
        <v>1.201342282</v>
      </c>
      <c r="D60" s="59">
        <f t="shared" si="12"/>
        <v>1.201342282</v>
      </c>
      <c r="E60" s="59">
        <f t="shared" si="12"/>
        <v>1.19047619</v>
      </c>
      <c r="F60" s="59">
        <f t="shared" si="12"/>
        <v>1.136986301</v>
      </c>
      <c r="G60" s="59">
        <f t="shared" si="12"/>
        <v>1.14379085</v>
      </c>
      <c r="H60" s="59">
        <f t="shared" si="12"/>
        <v>1.14379085</v>
      </c>
      <c r="I60" s="59">
        <f t="shared" si="12"/>
        <v>1.141935484</v>
      </c>
      <c r="J60" s="59">
        <f t="shared" si="12"/>
        <v>1.14379085</v>
      </c>
    </row>
    <row r="64">
      <c r="A64" s="66"/>
      <c r="B64" s="66"/>
      <c r="C64" s="66"/>
      <c r="D64" s="66"/>
      <c r="E64" s="66"/>
      <c r="F64" s="66"/>
      <c r="G64" s="66"/>
      <c r="H64" s="66"/>
      <c r="I64" s="66"/>
      <c r="J64" s="66"/>
      <c r="K64" s="66"/>
      <c r="L64" s="66"/>
      <c r="M64" s="66"/>
      <c r="N64" s="66"/>
      <c r="O64" s="66"/>
      <c r="P64" s="66"/>
    </row>
    <row r="65">
      <c r="A65" s="66"/>
      <c r="B65" s="18" t="s">
        <v>167</v>
      </c>
      <c r="C65" s="18" t="s">
        <v>168</v>
      </c>
      <c r="D65" s="67" t="s">
        <v>169</v>
      </c>
      <c r="E65" s="18" t="s">
        <v>170</v>
      </c>
      <c r="F65" s="18" t="s">
        <v>171</v>
      </c>
      <c r="G65" s="67" t="s">
        <v>172</v>
      </c>
      <c r="H65" s="18" t="s">
        <v>173</v>
      </c>
      <c r="I65" s="18" t="s">
        <v>174</v>
      </c>
      <c r="J65" s="67" t="s">
        <v>175</v>
      </c>
      <c r="K65" s="18"/>
      <c r="L65" s="18" t="s">
        <v>176</v>
      </c>
      <c r="M65" s="18" t="s">
        <v>177</v>
      </c>
      <c r="N65" s="67" t="s">
        <v>178</v>
      </c>
      <c r="O65" s="66"/>
      <c r="P65" s="66"/>
    </row>
    <row r="66">
      <c r="A66" s="68">
        <v>2021.0</v>
      </c>
      <c r="B66" s="69">
        <v>0.67</v>
      </c>
      <c r="C66" s="69">
        <v>0.78</v>
      </c>
      <c r="D66" s="69">
        <v>0.66</v>
      </c>
      <c r="E66" s="69">
        <v>0.58</v>
      </c>
      <c r="F66" s="69">
        <v>0.74</v>
      </c>
      <c r="G66" s="69">
        <v>0.69</v>
      </c>
      <c r="H66" s="98">
        <v>0.31</v>
      </c>
      <c r="I66" s="98">
        <v>0.17</v>
      </c>
      <c r="J66" s="98">
        <v>0.6</v>
      </c>
      <c r="K66" s="98"/>
      <c r="L66" s="170">
        <v>1.11</v>
      </c>
      <c r="M66" s="170">
        <v>0.96</v>
      </c>
      <c r="N66" s="183">
        <v>0.82</v>
      </c>
      <c r="O66" s="73"/>
      <c r="P66" s="74"/>
    </row>
    <row r="67">
      <c r="A67" s="75" t="s">
        <v>179</v>
      </c>
      <c r="B67" s="91">
        <v>5.19</v>
      </c>
      <c r="C67" s="76">
        <v>5.67</v>
      </c>
      <c r="D67" s="76">
        <v>5.79</v>
      </c>
      <c r="E67" s="76">
        <v>5.53</v>
      </c>
      <c r="F67" s="76">
        <v>6.02</v>
      </c>
      <c r="G67" s="76">
        <v>6.5</v>
      </c>
      <c r="H67" s="77">
        <v>6.46</v>
      </c>
      <c r="I67" s="77">
        <v>6.68</v>
      </c>
      <c r="J67" s="135">
        <v>7.4</v>
      </c>
      <c r="K67" s="135"/>
      <c r="L67" s="135">
        <v>8.13</v>
      </c>
      <c r="M67" s="77">
        <v>8.4</v>
      </c>
      <c r="N67" s="184">
        <v>8.39</v>
      </c>
      <c r="O67" s="79"/>
      <c r="P67" s="80">
        <v>2021.0</v>
      </c>
    </row>
    <row r="68">
      <c r="A68" s="66"/>
      <c r="B68" s="66"/>
      <c r="C68" s="66"/>
      <c r="D68" s="66"/>
      <c r="E68" s="66"/>
      <c r="F68" s="66"/>
      <c r="G68" s="66"/>
      <c r="H68" s="66"/>
      <c r="I68" s="66"/>
      <c r="J68" s="66"/>
      <c r="K68" s="66"/>
      <c r="L68" s="66"/>
      <c r="M68" s="66"/>
      <c r="N68" s="66"/>
      <c r="O68" s="81"/>
    </row>
    <row r="69">
      <c r="A69" s="18" t="s">
        <v>181</v>
      </c>
      <c r="B69" s="18">
        <v>0.6</v>
      </c>
      <c r="C69" s="18">
        <v>0.4</v>
      </c>
      <c r="D69" s="18">
        <v>0.5</v>
      </c>
      <c r="E69" s="18">
        <v>0.4</v>
      </c>
      <c r="F69" s="18">
        <v>0.4</v>
      </c>
      <c r="G69" s="18">
        <v>0.4</v>
      </c>
      <c r="H69" s="18">
        <v>0.5</v>
      </c>
      <c r="I69" s="18">
        <v>0.0</v>
      </c>
      <c r="J69" s="18">
        <v>0.2</v>
      </c>
      <c r="K69" s="18"/>
      <c r="L69" s="18">
        <v>0.4</v>
      </c>
      <c r="M69" s="18">
        <v>0.5</v>
      </c>
      <c r="N69" s="18">
        <v>0.5</v>
      </c>
      <c r="O69" s="66"/>
      <c r="P69" s="66"/>
    </row>
    <row r="70">
      <c r="A70" s="18" t="s">
        <v>182</v>
      </c>
      <c r="B70" s="18">
        <v>0.5</v>
      </c>
      <c r="C70" s="18">
        <v>0.3</v>
      </c>
      <c r="D70" s="18">
        <v>0.3</v>
      </c>
      <c r="E70" s="18">
        <v>0.4</v>
      </c>
      <c r="F70" s="18">
        <v>0.4</v>
      </c>
      <c r="G70" s="18">
        <v>0.4</v>
      </c>
      <c r="H70" s="18">
        <v>0.2</v>
      </c>
      <c r="I70" s="82">
        <v>-0.1</v>
      </c>
      <c r="J70" s="82">
        <v>-0.1</v>
      </c>
      <c r="K70" s="18"/>
      <c r="L70" s="18">
        <v>0.3</v>
      </c>
      <c r="M70" s="18">
        <v>0.4</v>
      </c>
      <c r="N70" s="18">
        <v>0.6</v>
      </c>
      <c r="O70" s="66"/>
      <c r="P70" s="66"/>
    </row>
    <row r="71">
      <c r="A71" s="66"/>
      <c r="B71" s="18" t="s">
        <v>183</v>
      </c>
      <c r="C71" s="18" t="s">
        <v>184</v>
      </c>
      <c r="D71" s="18" t="s">
        <v>169</v>
      </c>
      <c r="E71" s="18" t="s">
        <v>185</v>
      </c>
      <c r="F71" s="18" t="s">
        <v>186</v>
      </c>
      <c r="G71" s="18" t="s">
        <v>172</v>
      </c>
      <c r="H71" s="18" t="s">
        <v>187</v>
      </c>
      <c r="I71" s="18" t="s">
        <v>188</v>
      </c>
      <c r="J71" s="18" t="s">
        <v>175</v>
      </c>
      <c r="K71" s="18"/>
      <c r="L71" s="18" t="s">
        <v>189</v>
      </c>
      <c r="M71" s="18" t="s">
        <v>190</v>
      </c>
      <c r="N71" s="18" t="s">
        <v>178</v>
      </c>
      <c r="O71" s="66"/>
      <c r="P71" s="66"/>
    </row>
    <row r="72">
      <c r="A72" s="66"/>
      <c r="B72" s="66"/>
      <c r="C72" s="66"/>
      <c r="D72" s="66"/>
      <c r="E72" s="66"/>
      <c r="F72" s="66"/>
      <c r="G72" s="66"/>
      <c r="H72" s="66"/>
      <c r="I72" s="66"/>
      <c r="J72" s="66"/>
      <c r="K72" s="66"/>
      <c r="L72" s="66"/>
      <c r="M72" s="66"/>
      <c r="N72" s="66"/>
      <c r="O72" s="66"/>
      <c r="P72" s="66"/>
    </row>
    <row r="73">
      <c r="A73" s="66"/>
      <c r="B73" s="66"/>
      <c r="C73" s="66"/>
      <c r="D73" s="66"/>
      <c r="E73" s="66"/>
      <c r="F73" s="66"/>
      <c r="G73" s="66"/>
      <c r="H73" s="66"/>
      <c r="I73" s="66"/>
      <c r="J73" s="66"/>
      <c r="K73" s="66"/>
      <c r="L73" s="66"/>
      <c r="M73" s="66"/>
      <c r="N73" s="66"/>
      <c r="O73" s="66"/>
      <c r="P73" s="66"/>
    </row>
    <row r="74">
      <c r="A74" s="66"/>
      <c r="B74" s="18" t="s">
        <v>167</v>
      </c>
      <c r="C74" s="18" t="s">
        <v>168</v>
      </c>
      <c r="D74" s="83" t="s">
        <v>169</v>
      </c>
      <c r="E74" s="18" t="s">
        <v>170</v>
      </c>
      <c r="F74" s="18" t="s">
        <v>171</v>
      </c>
      <c r="G74" s="83" t="s">
        <v>172</v>
      </c>
      <c r="H74" s="18" t="s">
        <v>173</v>
      </c>
      <c r="I74" s="18" t="s">
        <v>174</v>
      </c>
      <c r="J74" s="83" t="s">
        <v>175</v>
      </c>
      <c r="K74" s="18"/>
      <c r="L74" s="18" t="s">
        <v>176</v>
      </c>
      <c r="M74" s="18" t="s">
        <v>177</v>
      </c>
      <c r="N74" s="83" t="s">
        <v>178</v>
      </c>
      <c r="O74" s="66"/>
      <c r="P74" s="66"/>
    </row>
    <row r="75">
      <c r="A75" s="68">
        <v>2022.0</v>
      </c>
      <c r="B75" s="70">
        <v>1.0</v>
      </c>
      <c r="C75" s="70">
        <v>0.5</v>
      </c>
      <c r="D75" s="70">
        <v>0.5</v>
      </c>
      <c r="E75" s="70">
        <v>0.5</v>
      </c>
      <c r="F75" s="70">
        <v>0.4</v>
      </c>
      <c r="G75" s="70">
        <v>0.5</v>
      </c>
      <c r="H75" s="71">
        <v>0.4</v>
      </c>
      <c r="I75" s="71">
        <v>0.0</v>
      </c>
      <c r="J75" s="71">
        <v>0.2</v>
      </c>
      <c r="K75" s="71"/>
      <c r="L75" s="71">
        <v>0.4</v>
      </c>
      <c r="M75" s="71">
        <v>0.5</v>
      </c>
      <c r="N75" s="72">
        <v>0.6</v>
      </c>
      <c r="O75" s="66"/>
      <c r="P75" s="66"/>
    </row>
    <row r="76">
      <c r="A76" s="75" t="s">
        <v>179</v>
      </c>
      <c r="B76" s="91">
        <v>8.75</v>
      </c>
      <c r="C76" s="76">
        <v>8.45</v>
      </c>
      <c r="D76" s="76">
        <v>8.28</v>
      </c>
      <c r="E76" s="76">
        <v>8.19</v>
      </c>
      <c r="F76" s="76">
        <v>7.82</v>
      </c>
      <c r="G76" s="76">
        <v>7.62</v>
      </c>
      <c r="H76" s="77">
        <v>7.72</v>
      </c>
      <c r="I76" s="77">
        <v>7.53</v>
      </c>
      <c r="J76" s="77">
        <v>7.11</v>
      </c>
      <c r="K76" s="77"/>
      <c r="L76" s="77">
        <v>6.35</v>
      </c>
      <c r="M76" s="77">
        <v>5.87</v>
      </c>
      <c r="N76" s="78">
        <v>5.64</v>
      </c>
      <c r="O76" s="79"/>
      <c r="P76" s="80">
        <v>2022.0</v>
      </c>
    </row>
    <row r="78">
      <c r="C78" s="2" t="s">
        <v>0</v>
      </c>
      <c r="D78" s="2" t="s">
        <v>1</v>
      </c>
      <c r="E78" s="2" t="s">
        <v>2</v>
      </c>
      <c r="F78" s="2" t="s">
        <v>3</v>
      </c>
      <c r="G78" s="2" t="s">
        <v>4</v>
      </c>
      <c r="H78" s="2" t="s">
        <v>5</v>
      </c>
      <c r="I78" s="2" t="s">
        <v>6</v>
      </c>
      <c r="J78" s="2" t="s">
        <v>7</v>
      </c>
    </row>
    <row r="79">
      <c r="A79" s="31" t="s">
        <v>382</v>
      </c>
      <c r="B79" s="185"/>
      <c r="C79" s="177">
        <v>74.4</v>
      </c>
      <c r="D79" s="177">
        <v>74.2</v>
      </c>
      <c r="E79" s="177">
        <v>73.5</v>
      </c>
      <c r="F79" s="177">
        <v>72.7</v>
      </c>
      <c r="G79" s="177">
        <v>76.6</v>
      </c>
      <c r="H79" s="177">
        <v>76.3</v>
      </c>
      <c r="I79" s="177">
        <v>78.8</v>
      </c>
      <c r="J79" s="177">
        <v>76.6</v>
      </c>
      <c r="K79" s="186"/>
      <c r="L79" s="186" t="s">
        <v>383</v>
      </c>
    </row>
    <row r="80">
      <c r="A80" s="3" t="s">
        <v>384</v>
      </c>
      <c r="C80" s="187">
        <v>74.4</v>
      </c>
      <c r="D80" s="187">
        <v>74.2</v>
      </c>
      <c r="E80" s="187">
        <v>73.5</v>
      </c>
      <c r="F80" s="187">
        <v>72.7</v>
      </c>
      <c r="G80" s="187">
        <v>87.8</v>
      </c>
      <c r="H80" s="187">
        <v>85.4</v>
      </c>
      <c r="I80" s="187">
        <v>82.7</v>
      </c>
      <c r="J80" s="187">
        <v>80.5</v>
      </c>
      <c r="K80" s="188"/>
      <c r="L80" s="188" t="s">
        <v>385</v>
      </c>
    </row>
  </sheetData>
  <mergeCells count="1">
    <mergeCell ref="O68:P6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1" width="14.5"/>
    <col customWidth="1" min="12" max="12" width="37.0"/>
  </cols>
  <sheetData>
    <row r="1">
      <c r="A1" s="92">
        <v>44748.0</v>
      </c>
      <c r="B1" s="2"/>
      <c r="C1" s="61" t="s">
        <v>0</v>
      </c>
      <c r="D1" s="61" t="s">
        <v>1</v>
      </c>
      <c r="E1" s="61" t="s">
        <v>2</v>
      </c>
      <c r="F1" s="61" t="s">
        <v>3</v>
      </c>
      <c r="G1" s="61" t="s">
        <v>4</v>
      </c>
      <c r="H1" s="61" t="s">
        <v>5</v>
      </c>
      <c r="I1" s="61" t="s">
        <v>6</v>
      </c>
      <c r="J1" s="61" t="s">
        <v>7</v>
      </c>
      <c r="K1" s="61" t="s">
        <v>395</v>
      </c>
      <c r="L1" s="2" t="s">
        <v>8</v>
      </c>
      <c r="M1" s="2" t="s">
        <v>9</v>
      </c>
      <c r="N1" s="2" t="s">
        <v>10</v>
      </c>
      <c r="O1" s="2" t="s">
        <v>11</v>
      </c>
      <c r="P1" s="2" t="s">
        <v>12</v>
      </c>
      <c r="Q1" s="2" t="s">
        <v>13</v>
      </c>
      <c r="R1" s="2" t="s">
        <v>14</v>
      </c>
    </row>
    <row r="2">
      <c r="A2" s="191" t="s">
        <v>390</v>
      </c>
      <c r="B2" s="54"/>
      <c r="C2" s="4"/>
      <c r="D2" s="4"/>
      <c r="E2" s="54"/>
      <c r="F2" s="54"/>
      <c r="G2" s="54"/>
      <c r="H2" s="54"/>
      <c r="J2" s="5"/>
      <c r="M2" s="3"/>
      <c r="O2" s="7"/>
      <c r="P2" s="52"/>
      <c r="Q2" s="3"/>
      <c r="R2" s="52"/>
    </row>
    <row r="3">
      <c r="A3" s="3" t="s">
        <v>15</v>
      </c>
      <c r="B3" s="4"/>
      <c r="C3" s="4" t="s">
        <v>16</v>
      </c>
      <c r="D3" s="4" t="s">
        <v>16</v>
      </c>
      <c r="E3" s="54" t="s">
        <v>152</v>
      </c>
      <c r="F3" s="54" t="s">
        <v>293</v>
      </c>
      <c r="G3" s="54" t="s">
        <v>18</v>
      </c>
      <c r="H3" s="54" t="s">
        <v>18</v>
      </c>
      <c r="I3" s="8" t="s">
        <v>397</v>
      </c>
      <c r="J3" s="8" t="s">
        <v>398</v>
      </c>
      <c r="K3" s="24"/>
      <c r="M3" s="3" t="s">
        <v>20</v>
      </c>
      <c r="O3" s="7" t="s">
        <v>22</v>
      </c>
      <c r="P3" s="52"/>
      <c r="Q3" s="3" t="s">
        <v>23</v>
      </c>
      <c r="R3" s="52"/>
    </row>
    <row r="4">
      <c r="A4" s="3" t="s">
        <v>24</v>
      </c>
      <c r="B4" s="4"/>
      <c r="C4" s="4" t="s">
        <v>25</v>
      </c>
      <c r="D4" s="4" t="s">
        <v>25</v>
      </c>
      <c r="E4" s="54" t="s">
        <v>153</v>
      </c>
      <c r="F4" s="54" t="s">
        <v>295</v>
      </c>
      <c r="G4" s="54" t="s">
        <v>153</v>
      </c>
      <c r="H4" s="54" t="s">
        <v>153</v>
      </c>
      <c r="I4" s="24" t="s">
        <v>154</v>
      </c>
      <c r="J4" s="24" t="s">
        <v>153</v>
      </c>
      <c r="K4" s="24"/>
      <c r="M4" s="3" t="s">
        <v>20</v>
      </c>
      <c r="O4" s="7" t="s">
        <v>22</v>
      </c>
      <c r="P4" s="52"/>
      <c r="Q4" s="3" t="s">
        <v>23</v>
      </c>
      <c r="R4" s="52"/>
    </row>
    <row r="5">
      <c r="A5" s="3" t="s">
        <v>28</v>
      </c>
      <c r="B5" s="4"/>
      <c r="C5" s="4" t="s">
        <v>29</v>
      </c>
      <c r="D5" s="4" t="s">
        <v>139</v>
      </c>
      <c r="E5" s="54" t="s">
        <v>199</v>
      </c>
      <c r="F5" s="54" t="s">
        <v>298</v>
      </c>
      <c r="G5" s="54" t="s">
        <v>391</v>
      </c>
      <c r="H5" s="54" t="s">
        <v>392</v>
      </c>
      <c r="I5" s="24" t="s">
        <v>393</v>
      </c>
      <c r="J5" s="24" t="s">
        <v>394</v>
      </c>
      <c r="K5" s="24"/>
      <c r="M5" s="3" t="s">
        <v>33</v>
      </c>
      <c r="N5" s="3" t="s">
        <v>21</v>
      </c>
      <c r="O5" s="3" t="s">
        <v>23</v>
      </c>
      <c r="P5" s="53"/>
      <c r="R5" s="52"/>
    </row>
    <row r="6" ht="26.25" customHeight="1" collapsed="1">
      <c r="A6" s="3" t="s">
        <v>399</v>
      </c>
      <c r="B6" s="4"/>
      <c r="C6" s="4">
        <v>5.7</v>
      </c>
      <c r="D6" s="54" t="s">
        <v>144</v>
      </c>
      <c r="E6" s="54" t="s">
        <v>201</v>
      </c>
      <c r="F6" s="54" t="s">
        <v>299</v>
      </c>
      <c r="G6" s="54" t="s">
        <v>319</v>
      </c>
      <c r="H6" s="54" t="s">
        <v>304</v>
      </c>
      <c r="I6" s="8" t="s">
        <v>400</v>
      </c>
      <c r="J6" s="8" t="s">
        <v>401</v>
      </c>
      <c r="K6" s="24"/>
      <c r="M6" s="3" t="s">
        <v>20</v>
      </c>
      <c r="O6" s="7" t="s">
        <v>22</v>
      </c>
      <c r="P6" s="53"/>
      <c r="Q6" s="3" t="s">
        <v>23</v>
      </c>
      <c r="R6" s="52"/>
    </row>
    <row r="7" hidden="1" outlineLevel="1">
      <c r="A7" s="3"/>
      <c r="B7" s="4"/>
      <c r="C7" s="4"/>
      <c r="D7" s="54"/>
      <c r="E7" s="111" t="s">
        <v>241</v>
      </c>
      <c r="F7" s="112" t="s">
        <v>236</v>
      </c>
      <c r="G7" s="54" t="s">
        <v>237</v>
      </c>
      <c r="H7" s="54" t="s">
        <v>238</v>
      </c>
      <c r="I7" s="24" t="s">
        <v>239</v>
      </c>
      <c r="J7" s="192"/>
      <c r="K7" s="192"/>
      <c r="M7" s="3"/>
      <c r="O7" s="7"/>
      <c r="P7" s="52"/>
      <c r="Q7" s="3"/>
      <c r="R7" s="52"/>
    </row>
    <row r="8">
      <c r="A8" s="3" t="s">
        <v>402</v>
      </c>
      <c r="B8" s="4"/>
      <c r="C8" s="4"/>
      <c r="D8" s="54"/>
      <c r="E8" s="54"/>
      <c r="F8" s="54"/>
      <c r="G8" s="54"/>
      <c r="H8" s="54"/>
      <c r="I8" s="8" t="s">
        <v>403</v>
      </c>
      <c r="J8" s="197" t="s">
        <v>400</v>
      </c>
      <c r="K8" s="24"/>
      <c r="L8" s="3"/>
      <c r="M8" s="3"/>
      <c r="O8" s="7"/>
      <c r="P8" s="52"/>
      <c r="Q8" s="3"/>
      <c r="R8" s="52"/>
    </row>
    <row r="9">
      <c r="A9" s="3" t="s">
        <v>42</v>
      </c>
      <c r="B9" s="4"/>
      <c r="C9" s="4">
        <v>4.5</v>
      </c>
      <c r="D9" s="54">
        <v>5.5</v>
      </c>
      <c r="E9" s="54" t="s">
        <v>194</v>
      </c>
      <c r="F9" s="54">
        <v>8.5</v>
      </c>
      <c r="G9" s="54" t="s">
        <v>387</v>
      </c>
      <c r="H9" s="54" t="s">
        <v>387</v>
      </c>
      <c r="I9" s="197">
        <v>44812.0</v>
      </c>
      <c r="J9" s="8" t="s">
        <v>404</v>
      </c>
      <c r="K9" s="24"/>
      <c r="L9" s="172" t="s">
        <v>323</v>
      </c>
      <c r="M9" s="3" t="s">
        <v>20</v>
      </c>
      <c r="O9" s="7" t="s">
        <v>22</v>
      </c>
      <c r="P9" s="52" t="s">
        <v>324</v>
      </c>
      <c r="Q9" s="3" t="s">
        <v>23</v>
      </c>
      <c r="R9" s="52"/>
    </row>
    <row r="10">
      <c r="A10" s="3" t="s">
        <v>405</v>
      </c>
      <c r="E10" s="114"/>
      <c r="F10" s="115"/>
      <c r="G10" s="115"/>
      <c r="H10" s="115"/>
      <c r="I10" s="8" t="s">
        <v>406</v>
      </c>
      <c r="J10" s="8" t="s">
        <v>406</v>
      </c>
      <c r="P10" s="55"/>
      <c r="R10" s="55"/>
    </row>
    <row r="11">
      <c r="E11" s="114" t="s">
        <v>241</v>
      </c>
      <c r="F11" s="115" t="s">
        <v>242</v>
      </c>
      <c r="G11" s="115" t="s">
        <v>242</v>
      </c>
      <c r="H11" s="115" t="s">
        <v>194</v>
      </c>
      <c r="I11" s="115" t="s">
        <v>148</v>
      </c>
      <c r="P11" s="55"/>
      <c r="R11" s="55"/>
    </row>
    <row r="12">
      <c r="A12" s="3" t="s">
        <v>47</v>
      </c>
      <c r="C12" s="4">
        <v>5.7</v>
      </c>
      <c r="D12" s="4">
        <v>6.5</v>
      </c>
      <c r="E12" s="62">
        <v>7.4</v>
      </c>
      <c r="F12" s="54">
        <v>8.1</v>
      </c>
      <c r="G12" s="54"/>
      <c r="H12" s="62"/>
      <c r="I12" s="62"/>
      <c r="J12" s="62"/>
      <c r="M12" s="19" t="s">
        <v>396</v>
      </c>
    </row>
    <row r="13">
      <c r="A13" s="3" t="s">
        <v>162</v>
      </c>
      <c r="D13" s="111" t="s">
        <v>241</v>
      </c>
      <c r="E13" s="117">
        <v>7.0</v>
      </c>
      <c r="F13" s="112">
        <v>7.3</v>
      </c>
      <c r="G13" s="112"/>
      <c r="H13" s="112"/>
      <c r="I13" s="117"/>
      <c r="J13" s="112"/>
    </row>
    <row r="14">
      <c r="C14" s="10"/>
      <c r="D14" s="10"/>
      <c r="E14" s="10"/>
      <c r="F14" s="10"/>
      <c r="G14" s="10"/>
      <c r="H14" s="10"/>
      <c r="I14" s="10"/>
      <c r="J14" s="10"/>
    </row>
    <row r="15">
      <c r="E15" s="118">
        <v>74.5</v>
      </c>
      <c r="F15" s="118">
        <v>74.2</v>
      </c>
      <c r="G15" s="118">
        <v>76.5</v>
      </c>
      <c r="H15" s="118">
        <v>77.7</v>
      </c>
      <c r="I15" s="118">
        <v>77.7</v>
      </c>
      <c r="J15" s="118">
        <v>76.5</v>
      </c>
      <c r="K15" s="119"/>
      <c r="L15" s="119" t="s">
        <v>305</v>
      </c>
    </row>
    <row r="16">
      <c r="A16" s="3" t="s">
        <v>48</v>
      </c>
      <c r="C16" s="164">
        <v>74.4</v>
      </c>
      <c r="D16" s="164">
        <v>74.2</v>
      </c>
      <c r="E16" s="164">
        <v>73.5</v>
      </c>
      <c r="F16" s="118">
        <v>72.4</v>
      </c>
      <c r="G16" s="118">
        <v>71.4</v>
      </c>
      <c r="H16" s="118">
        <v>76.4</v>
      </c>
      <c r="I16" s="118">
        <v>78.1</v>
      </c>
      <c r="J16" s="118">
        <v>75.9</v>
      </c>
      <c r="K16" s="119"/>
      <c r="L16" s="119" t="s">
        <v>325</v>
      </c>
    </row>
    <row r="17">
      <c r="A17" s="3" t="s">
        <v>15</v>
      </c>
      <c r="B17" s="11"/>
      <c r="C17" s="63">
        <v>74.4</v>
      </c>
      <c r="D17" s="63">
        <v>74.2</v>
      </c>
      <c r="E17" s="63">
        <v>73.5</v>
      </c>
      <c r="F17" s="93">
        <v>73.65</v>
      </c>
      <c r="G17" s="93">
        <v>87.34</v>
      </c>
      <c r="H17" s="93">
        <v>66.51</v>
      </c>
      <c r="I17" s="63">
        <v>88.0</v>
      </c>
      <c r="J17" s="63">
        <v>86.4</v>
      </c>
      <c r="K17" s="63">
        <v>89.5</v>
      </c>
      <c r="L17" s="6" t="s">
        <v>407</v>
      </c>
    </row>
    <row r="18">
      <c r="A18" s="3"/>
      <c r="B18" s="12"/>
      <c r="C18" s="12"/>
      <c r="D18" s="13"/>
      <c r="E18" s="13"/>
      <c r="F18" s="13"/>
      <c r="G18" s="13"/>
      <c r="H18" s="13"/>
      <c r="I18" s="13"/>
      <c r="J18" s="13"/>
      <c r="K18" s="13"/>
      <c r="L18" s="13"/>
      <c r="M18" s="13"/>
    </row>
    <row r="19">
      <c r="A19" s="119" t="s">
        <v>50</v>
      </c>
      <c r="B19" s="119"/>
      <c r="C19" s="119"/>
      <c r="D19" s="173"/>
      <c r="E19" s="173"/>
      <c r="F19" s="174">
        <v>8.2</v>
      </c>
      <c r="G19" s="175">
        <v>7.0</v>
      </c>
      <c r="H19" s="174">
        <v>44202.0</v>
      </c>
      <c r="I19" s="174">
        <v>44352.0</v>
      </c>
      <c r="J19" s="175">
        <v>4.9</v>
      </c>
      <c r="K19" s="119"/>
      <c r="L19" s="119" t="s">
        <v>327</v>
      </c>
      <c r="M19" s="173"/>
      <c r="N19" s="173"/>
      <c r="O19" s="173"/>
      <c r="P19" s="173"/>
      <c r="Q19" s="173"/>
      <c r="R19" s="173"/>
      <c r="S19" s="173"/>
      <c r="T19" s="173"/>
      <c r="U19" s="173"/>
      <c r="V19" s="173"/>
      <c r="W19" s="173"/>
      <c r="X19" s="173"/>
      <c r="Y19" s="173"/>
      <c r="Z19" s="173"/>
      <c r="AA19" s="173"/>
      <c r="AB19" s="173"/>
      <c r="AC19" s="173"/>
      <c r="AD19" s="173"/>
      <c r="AE19" s="173"/>
      <c r="AF19" s="173"/>
    </row>
    <row r="20">
      <c r="A20" s="3" t="s">
        <v>50</v>
      </c>
      <c r="B20" s="12"/>
      <c r="C20" s="12"/>
      <c r="D20" s="13"/>
      <c r="E20" s="13"/>
      <c r="F20" s="14">
        <v>44659.0</v>
      </c>
      <c r="G20" s="14">
        <v>44780.0</v>
      </c>
      <c r="H20" s="14">
        <v>44718.0</v>
      </c>
      <c r="I20" s="14">
        <v>44598.0</v>
      </c>
      <c r="J20" s="14">
        <v>44625.0</v>
      </c>
      <c r="K20" s="3"/>
      <c r="L20" s="3" t="s">
        <v>328</v>
      </c>
    </row>
    <row r="21">
      <c r="B21" s="12"/>
      <c r="C21" s="12"/>
      <c r="D21" s="13"/>
      <c r="E21" s="13"/>
      <c r="F21" s="13"/>
      <c r="G21" s="176">
        <v>44659.0</v>
      </c>
      <c r="H21" s="176">
        <v>44749.0</v>
      </c>
      <c r="I21" s="176">
        <v>44779.0</v>
      </c>
      <c r="J21" s="176">
        <v>44625.0</v>
      </c>
      <c r="K21" s="3"/>
      <c r="L21" s="3" t="s">
        <v>329</v>
      </c>
      <c r="O21" s="3"/>
    </row>
    <row r="22" collapsed="1">
      <c r="B22" s="12"/>
      <c r="C22" s="12"/>
      <c r="D22" s="13"/>
      <c r="E22" s="13"/>
      <c r="F22" s="13"/>
      <c r="G22" s="13"/>
      <c r="H22" s="62"/>
      <c r="I22" s="62"/>
      <c r="J22" s="4"/>
      <c r="O22" s="3" t="s">
        <v>330</v>
      </c>
    </row>
    <row r="23" hidden="1" outlineLevel="1">
      <c r="B23" s="15" t="s">
        <v>52</v>
      </c>
      <c r="C23" s="16"/>
      <c r="D23" s="16"/>
      <c r="E23" s="16"/>
      <c r="F23" s="17" t="s">
        <v>53</v>
      </c>
      <c r="G23" s="18"/>
      <c r="H23" s="18"/>
      <c r="I23" s="18"/>
      <c r="J23" s="18"/>
      <c r="K23" s="3"/>
      <c r="L23" s="3"/>
    </row>
    <row r="24" hidden="1" outlineLevel="1">
      <c r="A24" s="3"/>
      <c r="B24" s="16" t="s">
        <v>28</v>
      </c>
      <c r="C24" s="16"/>
      <c r="D24" s="16"/>
      <c r="E24" s="16"/>
      <c r="F24" s="20" t="s">
        <v>207</v>
      </c>
      <c r="G24" s="20">
        <v>0.085534</v>
      </c>
      <c r="H24" s="20">
        <v>-0.09657</v>
      </c>
      <c r="I24" s="20">
        <v>-0.074</v>
      </c>
      <c r="J24" s="18"/>
      <c r="K24" s="31"/>
      <c r="L24" s="31" t="s">
        <v>164</v>
      </c>
    </row>
    <row r="25" hidden="1" outlineLevel="1">
      <c r="A25" s="3"/>
      <c r="B25" s="16" t="s">
        <v>55</v>
      </c>
      <c r="C25" s="16"/>
      <c r="D25" s="16"/>
      <c r="E25" s="16"/>
      <c r="F25" s="20" t="s">
        <v>208</v>
      </c>
      <c r="G25" s="20">
        <v>0.0891</v>
      </c>
      <c r="H25" s="20">
        <v>0.015935</v>
      </c>
      <c r="I25" s="20">
        <v>-0.00482</v>
      </c>
      <c r="J25" s="86">
        <v>-0.022</v>
      </c>
      <c r="K25" s="3"/>
      <c r="L25" s="3" t="s">
        <v>56</v>
      </c>
    </row>
    <row r="26" hidden="1" outlineLevel="1">
      <c r="A26" s="3"/>
      <c r="B26" s="16" t="s">
        <v>57</v>
      </c>
      <c r="C26" s="16"/>
      <c r="D26" s="16"/>
      <c r="E26" s="16"/>
      <c r="F26" s="57" t="s">
        <v>209</v>
      </c>
      <c r="G26" s="20">
        <v>0.166436</v>
      </c>
      <c r="H26" s="20">
        <v>-0.21198</v>
      </c>
      <c r="I26" s="20">
        <v>-0.40366</v>
      </c>
      <c r="J26" s="88">
        <v>-0.267</v>
      </c>
      <c r="K26" s="3"/>
      <c r="L26" s="3" t="s">
        <v>56</v>
      </c>
    </row>
    <row r="27" hidden="1" outlineLevel="1">
      <c r="A27" s="3"/>
      <c r="B27" s="16" t="s">
        <v>58</v>
      </c>
      <c r="C27" s="16"/>
      <c r="D27" s="16"/>
      <c r="E27" s="16"/>
      <c r="F27" s="20" t="s">
        <v>210</v>
      </c>
      <c r="G27" s="20">
        <v>0.09644</v>
      </c>
      <c r="H27" s="20">
        <v>-0.01752</v>
      </c>
      <c r="I27" s="20">
        <v>0.090012</v>
      </c>
      <c r="J27" s="88">
        <v>-0.051</v>
      </c>
      <c r="K27" s="3"/>
      <c r="L27" s="3" t="s">
        <v>56</v>
      </c>
    </row>
    <row r="28" hidden="1" outlineLevel="1">
      <c r="A28" s="3"/>
      <c r="B28" s="16" t="s">
        <v>60</v>
      </c>
      <c r="C28" s="16"/>
      <c r="D28" s="16"/>
      <c r="E28" s="16"/>
      <c r="F28" s="20" t="s">
        <v>211</v>
      </c>
      <c r="G28" s="20">
        <v>0.136107</v>
      </c>
      <c r="H28" s="20">
        <v>0.038548</v>
      </c>
      <c r="I28" s="20">
        <v>-0.09601</v>
      </c>
      <c r="J28" s="88">
        <v>-0.099</v>
      </c>
      <c r="K28" s="3"/>
      <c r="L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t="s">
        <v>63</v>
      </c>
    </row>
    <row r="30" hidden="1" outlineLevel="1">
      <c r="A30" s="3"/>
      <c r="B30" s="16" t="s">
        <v>64</v>
      </c>
      <c r="C30" s="16"/>
      <c r="D30" s="16"/>
      <c r="E30" s="16"/>
      <c r="F30" s="95">
        <v>0.09</v>
      </c>
      <c r="G30" s="20">
        <v>0.08</v>
      </c>
      <c r="H30" s="20">
        <v>0.07</v>
      </c>
      <c r="I30" s="20">
        <v>0.07</v>
      </c>
      <c r="J30" s="86">
        <v>0.07</v>
      </c>
      <c r="K30" s="3"/>
      <c r="L30" s="3" t="s">
        <v>65</v>
      </c>
    </row>
    <row r="31" hidden="1" outlineLevel="1">
      <c r="A31" s="3"/>
      <c r="B31" s="16" t="s">
        <v>66</v>
      </c>
      <c r="C31" s="16"/>
      <c r="D31" s="16"/>
      <c r="E31" s="16"/>
      <c r="F31" s="21">
        <v>0.042</v>
      </c>
      <c r="G31" s="21">
        <v>0.042</v>
      </c>
      <c r="H31" s="21">
        <v>0.042</v>
      </c>
      <c r="I31" s="21">
        <v>0.042</v>
      </c>
      <c r="J31" s="88">
        <v>0.042</v>
      </c>
      <c r="K31" s="3"/>
      <c r="L31" s="3" t="s">
        <v>67</v>
      </c>
    </row>
    <row r="32" hidden="1" outlineLevel="1">
      <c r="A32" s="3"/>
      <c r="B32" s="16" t="s">
        <v>68</v>
      </c>
      <c r="C32" s="16"/>
      <c r="D32" s="16"/>
      <c r="E32" s="16"/>
      <c r="F32" s="21">
        <v>0.024</v>
      </c>
      <c r="G32" s="21">
        <v>0.024</v>
      </c>
      <c r="H32" s="21">
        <v>0.024</v>
      </c>
      <c r="I32" s="21">
        <v>0.024</v>
      </c>
      <c r="J32" s="88">
        <v>0.024</v>
      </c>
      <c r="K32" s="3"/>
      <c r="L32" s="3" t="s">
        <v>67</v>
      </c>
    </row>
    <row r="33">
      <c r="F33" s="3" t="s">
        <v>15</v>
      </c>
      <c r="G33" s="177">
        <v>85.6</v>
      </c>
      <c r="H33" s="177">
        <v>66.5</v>
      </c>
      <c r="I33" s="198">
        <v>63.0</v>
      </c>
      <c r="J33" s="198">
        <v>65.0</v>
      </c>
      <c r="L33" s="6" t="s">
        <v>408</v>
      </c>
      <c r="O33" s="178" t="s">
        <v>331</v>
      </c>
      <c r="P33" s="179" t="s">
        <v>81</v>
      </c>
      <c r="Q33" s="179" t="s">
        <v>114</v>
      </c>
    </row>
    <row r="34">
      <c r="A34" s="31"/>
      <c r="B34" s="3"/>
      <c r="C34" s="3"/>
      <c r="D34" s="3"/>
      <c r="F34" s="3" t="s">
        <v>15</v>
      </c>
      <c r="G34" s="177">
        <v>85.6</v>
      </c>
      <c r="H34" s="177">
        <v>66.5</v>
      </c>
      <c r="I34" s="198">
        <v>68.3</v>
      </c>
      <c r="J34" s="198">
        <v>76.7</v>
      </c>
      <c r="K34" s="3"/>
      <c r="L34" s="6" t="s">
        <v>409</v>
      </c>
      <c r="M34" s="3"/>
      <c r="N34" s="3"/>
      <c r="O34" s="180"/>
      <c r="P34" s="181"/>
      <c r="Q34" s="181"/>
    </row>
    <row r="35">
      <c r="A35" s="31" t="s">
        <v>245</v>
      </c>
      <c r="B35" s="3"/>
      <c r="C35" s="3"/>
      <c r="D35" s="3"/>
      <c r="F35" s="4"/>
      <c r="G35" s="4"/>
      <c r="H35" s="4"/>
      <c r="I35" s="4"/>
      <c r="J35" s="4"/>
      <c r="K35" s="3"/>
      <c r="L35" s="3"/>
      <c r="M35" s="3"/>
      <c r="N35" s="3"/>
      <c r="O35" s="180" t="s">
        <v>332</v>
      </c>
      <c r="P35" s="181" t="s">
        <v>333</v>
      </c>
      <c r="Q35" s="181" t="s">
        <v>334</v>
      </c>
    </row>
    <row r="36">
      <c r="A36" s="3" t="s">
        <v>28</v>
      </c>
      <c r="B36" s="10" t="s">
        <v>69</v>
      </c>
      <c r="C36" s="167">
        <v>61.0</v>
      </c>
      <c r="D36" s="167">
        <v>69.0</v>
      </c>
      <c r="E36" s="167">
        <v>73.0</v>
      </c>
      <c r="F36" s="167">
        <v>79.0</v>
      </c>
      <c r="G36" s="193">
        <v>88.0</v>
      </c>
      <c r="H36" s="193">
        <v>81.0</v>
      </c>
      <c r="I36" s="193">
        <v>74.0</v>
      </c>
      <c r="J36" s="193">
        <v>66.0</v>
      </c>
      <c r="K36" s="193">
        <v>66.0</v>
      </c>
      <c r="L36" s="122" t="s">
        <v>247</v>
      </c>
      <c r="O36" s="180" t="s">
        <v>335</v>
      </c>
      <c r="P36" s="181" t="s">
        <v>336</v>
      </c>
      <c r="Q36" s="181" t="s">
        <v>337</v>
      </c>
    </row>
    <row r="37">
      <c r="A37" s="22" t="s">
        <v>74</v>
      </c>
      <c r="B37" s="10" t="s">
        <v>75</v>
      </c>
      <c r="C37" s="193">
        <v>169.0</v>
      </c>
      <c r="D37" s="193">
        <v>202.0</v>
      </c>
      <c r="E37" s="193">
        <v>278.0</v>
      </c>
      <c r="F37" s="193">
        <v>374.0</v>
      </c>
      <c r="G37" s="193">
        <v>368.0</v>
      </c>
      <c r="H37" s="193">
        <v>267.0</v>
      </c>
      <c r="I37" s="193">
        <v>309.0</v>
      </c>
      <c r="J37" s="193">
        <v>298.0</v>
      </c>
      <c r="K37" s="193">
        <v>262.0</v>
      </c>
      <c r="L37" s="3" t="s">
        <v>309</v>
      </c>
      <c r="O37" s="180" t="s">
        <v>338</v>
      </c>
      <c r="P37" s="181" t="s">
        <v>339</v>
      </c>
      <c r="Q37" s="181" t="s">
        <v>337</v>
      </c>
    </row>
    <row r="38">
      <c r="A38" s="22" t="s">
        <v>74</v>
      </c>
      <c r="B38" s="10" t="s">
        <v>248</v>
      </c>
      <c r="C38" s="123">
        <f t="shared" ref="C38:K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f t="shared" si="2"/>
        <v>7.422096317</v>
      </c>
      <c r="L38" s="3" t="s">
        <v>309</v>
      </c>
      <c r="M38" s="124"/>
      <c r="N38" s="124"/>
      <c r="O38" s="180" t="s">
        <v>340</v>
      </c>
      <c r="P38" s="181" t="s">
        <v>341</v>
      </c>
      <c r="Q38" s="181" t="s">
        <v>337</v>
      </c>
    </row>
    <row r="39">
      <c r="A39" s="3" t="s">
        <v>249</v>
      </c>
      <c r="B39" s="10" t="s">
        <v>248</v>
      </c>
      <c r="C39" s="11">
        <v>6.8</v>
      </c>
      <c r="D39" s="11">
        <v>8.7</v>
      </c>
      <c r="E39" s="11">
        <v>16.9</v>
      </c>
      <c r="F39" s="11">
        <v>29.0</v>
      </c>
      <c r="G39" s="11">
        <v>29.0</v>
      </c>
      <c r="H39" s="11">
        <v>15.0</v>
      </c>
      <c r="I39" s="11">
        <v>11.0</v>
      </c>
      <c r="J39" s="11">
        <v>15.0</v>
      </c>
      <c r="K39" s="11">
        <v>15.0</v>
      </c>
      <c r="L39" s="125" t="s">
        <v>250</v>
      </c>
      <c r="O39" s="180" t="s">
        <v>171</v>
      </c>
      <c r="P39" s="181" t="s">
        <v>342</v>
      </c>
      <c r="Q39" s="181" t="s">
        <v>337</v>
      </c>
    </row>
    <row r="40">
      <c r="A40" s="3"/>
      <c r="B40" s="10"/>
      <c r="C40" s="126"/>
      <c r="D40" s="126"/>
      <c r="E40" s="126"/>
      <c r="F40" s="11"/>
      <c r="G40" s="11">
        <v>29.0</v>
      </c>
      <c r="H40" s="11">
        <v>29.0</v>
      </c>
      <c r="I40" s="11">
        <v>28.5</v>
      </c>
      <c r="J40" s="11">
        <v>29.5</v>
      </c>
      <c r="K40" s="127"/>
      <c r="L40" s="127" t="s">
        <v>251</v>
      </c>
      <c r="O40" s="180" t="s">
        <v>343</v>
      </c>
      <c r="P40" s="181" t="s">
        <v>344</v>
      </c>
      <c r="Q40" s="181" t="s">
        <v>337</v>
      </c>
    </row>
    <row r="41">
      <c r="A41" s="3" t="s">
        <v>252</v>
      </c>
      <c r="B41" s="10" t="s">
        <v>248</v>
      </c>
      <c r="C41" s="128">
        <f t="shared" ref="C41:K41" si="3">14%*C36</f>
        <v>8.54</v>
      </c>
      <c r="D41" s="128">
        <f t="shared" si="3"/>
        <v>9.66</v>
      </c>
      <c r="E41" s="128">
        <f t="shared" si="3"/>
        <v>10.22</v>
      </c>
      <c r="F41" s="128">
        <f t="shared" si="3"/>
        <v>11.06</v>
      </c>
      <c r="G41" s="128">
        <f t="shared" si="3"/>
        <v>12.32</v>
      </c>
      <c r="H41" s="128">
        <f t="shared" si="3"/>
        <v>11.34</v>
      </c>
      <c r="I41" s="128">
        <f t="shared" si="3"/>
        <v>10.36</v>
      </c>
      <c r="J41" s="128">
        <f t="shared" si="3"/>
        <v>9.24</v>
      </c>
      <c r="K41" s="128">
        <f t="shared" si="3"/>
        <v>9.24</v>
      </c>
      <c r="L41" s="127" t="s">
        <v>253</v>
      </c>
      <c r="O41" s="180" t="s">
        <v>345</v>
      </c>
      <c r="P41" s="181" t="s">
        <v>346</v>
      </c>
      <c r="Q41" s="181" t="s">
        <v>334</v>
      </c>
    </row>
    <row r="42">
      <c r="A42" s="3" t="s">
        <v>254</v>
      </c>
      <c r="B42" s="10" t="s">
        <v>248</v>
      </c>
      <c r="C42" s="128">
        <f>0.8*C39 + 0.2*C41</f>
        <v>7.148</v>
      </c>
      <c r="D42" s="128">
        <f t="shared" ref="D42:K42" si="4">0.8*D39+0.2*D41</f>
        <v>8.892</v>
      </c>
      <c r="E42" s="128">
        <f t="shared" si="4"/>
        <v>15.564</v>
      </c>
      <c r="F42" s="128">
        <f t="shared" si="4"/>
        <v>25.412</v>
      </c>
      <c r="G42" s="128">
        <f t="shared" si="4"/>
        <v>25.664</v>
      </c>
      <c r="H42" s="128">
        <f t="shared" si="4"/>
        <v>14.268</v>
      </c>
      <c r="I42" s="128">
        <f t="shared" si="4"/>
        <v>10.872</v>
      </c>
      <c r="J42" s="128">
        <f t="shared" si="4"/>
        <v>13.848</v>
      </c>
      <c r="K42" s="128">
        <f t="shared" si="4"/>
        <v>13.848</v>
      </c>
      <c r="L42" s="127" t="s">
        <v>255</v>
      </c>
      <c r="M42" s="22"/>
      <c r="O42" s="180" t="s">
        <v>347</v>
      </c>
      <c r="P42" s="181" t="s">
        <v>344</v>
      </c>
      <c r="Q42" s="181" t="s">
        <v>334</v>
      </c>
    </row>
    <row r="43">
      <c r="A43" s="129" t="s">
        <v>256</v>
      </c>
      <c r="B43" s="130"/>
      <c r="C43" s="131">
        <f t="shared" ref="C43:K43" si="5">C42-C38</f>
        <v>2.360464589</v>
      </c>
      <c r="D43" s="131">
        <f t="shared" si="5"/>
        <v>3.169620397</v>
      </c>
      <c r="E43" s="131">
        <f t="shared" si="5"/>
        <v>7.688645892</v>
      </c>
      <c r="F43" s="131">
        <f t="shared" si="5"/>
        <v>14.81709915</v>
      </c>
      <c r="G43" s="131">
        <f t="shared" si="5"/>
        <v>15.23907082</v>
      </c>
      <c r="H43" s="131">
        <f t="shared" si="5"/>
        <v>6.704260623</v>
      </c>
      <c r="I43" s="131">
        <f t="shared" si="5"/>
        <v>2.118458924</v>
      </c>
      <c r="J43" s="131">
        <f t="shared" si="5"/>
        <v>5.406073654</v>
      </c>
      <c r="K43" s="131">
        <f t="shared" si="5"/>
        <v>6.425903683</v>
      </c>
      <c r="L43" s="129" t="s">
        <v>257</v>
      </c>
      <c r="M43" s="130"/>
      <c r="N43" s="130"/>
      <c r="O43" s="180" t="s">
        <v>348</v>
      </c>
      <c r="P43" s="181" t="s">
        <v>349</v>
      </c>
      <c r="Q43" s="181" t="s">
        <v>334</v>
      </c>
      <c r="R43" s="130"/>
      <c r="S43" s="130"/>
      <c r="T43" s="130"/>
      <c r="U43" s="130"/>
      <c r="V43" s="130"/>
      <c r="W43" s="130"/>
      <c r="X43" s="130"/>
      <c r="Y43" s="130"/>
      <c r="Z43" s="130"/>
      <c r="AA43" s="130"/>
      <c r="AB43" s="130"/>
      <c r="AC43" s="130"/>
      <c r="AD43" s="130"/>
      <c r="AE43" s="130"/>
      <c r="AF43" s="130"/>
    </row>
    <row r="44">
      <c r="O44" s="180" t="s">
        <v>350</v>
      </c>
      <c r="P44" s="181" t="s">
        <v>351</v>
      </c>
      <c r="Q44" s="181" t="s">
        <v>352</v>
      </c>
    </row>
    <row r="45">
      <c r="A45" s="22" t="s">
        <v>76</v>
      </c>
      <c r="B45" s="10" t="s">
        <v>77</v>
      </c>
      <c r="C45" s="63">
        <v>1038.0</v>
      </c>
      <c r="D45" s="63">
        <v>1394.0</v>
      </c>
      <c r="E45" s="63">
        <v>1785.0</v>
      </c>
      <c r="F45" s="63">
        <v>1863.0</v>
      </c>
      <c r="G45" s="63">
        <v>1364.0</v>
      </c>
      <c r="H45" s="63">
        <v>1249.0</v>
      </c>
      <c r="I45" s="63">
        <v>1511.0</v>
      </c>
      <c r="J45" s="63">
        <v>1478.0</v>
      </c>
      <c r="K45" s="63">
        <v>1423.0</v>
      </c>
      <c r="L45" s="3" t="s">
        <v>54</v>
      </c>
      <c r="O45" s="180" t="s">
        <v>353</v>
      </c>
      <c r="P45" s="181" t="s">
        <v>354</v>
      </c>
      <c r="Q45" s="181" t="s">
        <v>352</v>
      </c>
    </row>
    <row r="46">
      <c r="A46" s="132"/>
      <c r="B46" s="132"/>
      <c r="C46" s="133"/>
      <c r="D46" s="133"/>
      <c r="E46" s="133"/>
      <c r="F46" s="133"/>
      <c r="G46" s="133"/>
      <c r="H46" s="133"/>
      <c r="I46" s="133"/>
      <c r="J46" s="133"/>
      <c r="K46" s="134"/>
      <c r="L46" s="134"/>
      <c r="M46" s="134"/>
      <c r="N46" s="134"/>
      <c r="O46" s="180" t="s">
        <v>355</v>
      </c>
      <c r="P46" s="181" t="s">
        <v>356</v>
      </c>
      <c r="Q46" s="181" t="s">
        <v>357</v>
      </c>
      <c r="R46" s="134"/>
      <c r="S46" s="134"/>
      <c r="T46" s="134"/>
      <c r="U46" s="134"/>
      <c r="V46" s="134"/>
      <c r="W46" s="134"/>
      <c r="X46" s="134"/>
      <c r="Y46" s="134"/>
      <c r="Z46" s="134"/>
      <c r="AA46" s="134"/>
      <c r="AB46" s="134"/>
      <c r="AC46" s="134"/>
      <c r="AD46" s="134"/>
      <c r="AE46" s="134"/>
      <c r="AF46" s="134"/>
    </row>
    <row r="47">
      <c r="A47" s="194" t="s">
        <v>78</v>
      </c>
      <c r="B47" s="195" t="s">
        <v>79</v>
      </c>
      <c r="C47" s="64">
        <v>99.3</v>
      </c>
      <c r="D47" s="64">
        <v>110.5</v>
      </c>
      <c r="E47" s="64">
        <v>104.3</v>
      </c>
      <c r="F47" s="64">
        <v>99.9</v>
      </c>
      <c r="G47" s="64">
        <v>98.2</v>
      </c>
      <c r="H47" s="64">
        <v>97.1</v>
      </c>
      <c r="I47" s="64">
        <v>94.8</v>
      </c>
      <c r="J47" s="64">
        <v>96.8</v>
      </c>
      <c r="K47" s="64">
        <v>103.5</v>
      </c>
    </row>
    <row r="48">
      <c r="A48" s="194" t="s">
        <v>80</v>
      </c>
      <c r="B48" s="194" t="s">
        <v>79</v>
      </c>
      <c r="C48" s="64">
        <v>97.2</v>
      </c>
      <c r="D48" s="64">
        <v>128.1</v>
      </c>
      <c r="E48" s="64">
        <v>110.3</v>
      </c>
      <c r="F48" s="64">
        <v>101.0</v>
      </c>
      <c r="G48" s="64">
        <v>100.0</v>
      </c>
      <c r="H48" s="64">
        <v>90.0</v>
      </c>
      <c r="I48" s="64">
        <v>90.0</v>
      </c>
      <c r="J48" s="64">
        <v>90.0</v>
      </c>
      <c r="K48" s="64">
        <v>101.5</v>
      </c>
    </row>
    <row r="49">
      <c r="A49" s="194" t="s">
        <v>81</v>
      </c>
      <c r="B49" s="194" t="s">
        <v>79</v>
      </c>
      <c r="C49" s="64">
        <v>105.5</v>
      </c>
      <c r="D49" s="64">
        <v>106.0</v>
      </c>
      <c r="E49" s="64">
        <v>106.8</v>
      </c>
      <c r="F49" s="64">
        <v>108.3</v>
      </c>
      <c r="G49" s="64">
        <v>99.6</v>
      </c>
      <c r="H49" s="64">
        <v>90.2</v>
      </c>
      <c r="I49" s="64">
        <v>90.2</v>
      </c>
      <c r="J49" s="64">
        <v>90.1</v>
      </c>
      <c r="K49" s="64">
        <v>103.0</v>
      </c>
      <c r="L49" s="3" t="s">
        <v>381</v>
      </c>
    </row>
    <row r="50">
      <c r="A50" s="3" t="s">
        <v>259</v>
      </c>
      <c r="B50" s="3" t="s">
        <v>260</v>
      </c>
      <c r="C50" s="196">
        <v>22.0</v>
      </c>
      <c r="D50" s="196">
        <v>17.0</v>
      </c>
      <c r="E50" s="196">
        <v>36.0</v>
      </c>
      <c r="F50" s="196">
        <v>47.0</v>
      </c>
      <c r="G50" s="196">
        <v>43.0</v>
      </c>
      <c r="H50" s="196">
        <v>55.0</v>
      </c>
      <c r="I50" s="196">
        <v>23.0</v>
      </c>
      <c r="J50" s="196">
        <v>38.0</v>
      </c>
      <c r="K50" s="196">
        <v>21.0</v>
      </c>
    </row>
    <row r="53">
      <c r="A53" s="3" t="s">
        <v>137</v>
      </c>
      <c r="B53" s="11"/>
      <c r="C53" s="63">
        <v>74.4</v>
      </c>
      <c r="D53" s="63">
        <v>73.6</v>
      </c>
      <c r="E53" s="63">
        <v>72.8</v>
      </c>
      <c r="F53" s="63">
        <v>72.8</v>
      </c>
      <c r="G53" s="63">
        <v>86.2</v>
      </c>
      <c r="H53" s="63">
        <v>86.0</v>
      </c>
      <c r="I53" s="63">
        <v>89.2</v>
      </c>
      <c r="J53" s="63">
        <v>88.1</v>
      </c>
      <c r="K53" s="63">
        <v>95.4</v>
      </c>
      <c r="L53" s="169" t="s">
        <v>311</v>
      </c>
    </row>
    <row r="57">
      <c r="C57" s="35">
        <f t="shared" ref="C57:J57" si="6">VALUE(MID(C3,1,2))</f>
        <v>72</v>
      </c>
      <c r="D57" s="35">
        <f t="shared" si="6"/>
        <v>72</v>
      </c>
      <c r="E57" s="35">
        <f t="shared" si="6"/>
        <v>71</v>
      </c>
      <c r="F57" s="35">
        <f t="shared" si="6"/>
        <v>71</v>
      </c>
      <c r="G57" s="35">
        <f t="shared" si="6"/>
        <v>74</v>
      </c>
      <c r="H57" s="35">
        <f t="shared" si="6"/>
        <v>74</v>
      </c>
      <c r="I57" s="35">
        <f t="shared" si="6"/>
        <v>60</v>
      </c>
      <c r="J57" s="35">
        <f t="shared" si="6"/>
        <v>62</v>
      </c>
    </row>
    <row r="58">
      <c r="C58" s="35">
        <f t="shared" ref="C58:J58" si="7">VALUE(MID(C4,1,2))</f>
        <v>87</v>
      </c>
      <c r="D58" s="35">
        <f t="shared" si="7"/>
        <v>87</v>
      </c>
      <c r="E58" s="35">
        <f t="shared" si="7"/>
        <v>85</v>
      </c>
      <c r="F58" s="35">
        <f t="shared" si="7"/>
        <v>81</v>
      </c>
      <c r="G58" s="35">
        <f t="shared" si="7"/>
        <v>85</v>
      </c>
      <c r="H58" s="35">
        <f t="shared" si="7"/>
        <v>85</v>
      </c>
      <c r="I58" s="35">
        <f t="shared" si="7"/>
        <v>86</v>
      </c>
      <c r="J58" s="35">
        <f t="shared" si="7"/>
        <v>85</v>
      </c>
    </row>
    <row r="59">
      <c r="C59" s="35">
        <f t="shared" ref="C59:J59" si="8">VALUE(MID(C3,4,2))</f>
        <v>77</v>
      </c>
      <c r="D59" s="35">
        <f t="shared" si="8"/>
        <v>77</v>
      </c>
      <c r="E59" s="35">
        <f t="shared" si="8"/>
        <v>76</v>
      </c>
      <c r="F59" s="35">
        <f t="shared" si="8"/>
        <v>75</v>
      </c>
      <c r="G59" s="35">
        <f t="shared" si="8"/>
        <v>79</v>
      </c>
      <c r="H59" s="35">
        <f t="shared" si="8"/>
        <v>79</v>
      </c>
      <c r="I59" s="35">
        <f t="shared" si="8"/>
        <v>65</v>
      </c>
      <c r="J59" s="35">
        <f t="shared" si="8"/>
        <v>67</v>
      </c>
    </row>
    <row r="60">
      <c r="C60" s="35">
        <f t="shared" ref="C60:J60" si="9">VALUE(MID(C4,4,2))</f>
        <v>92</v>
      </c>
      <c r="D60" s="35">
        <f t="shared" si="9"/>
        <v>92</v>
      </c>
      <c r="E60" s="35">
        <f t="shared" si="9"/>
        <v>90</v>
      </c>
      <c r="F60" s="35">
        <f t="shared" si="9"/>
        <v>85</v>
      </c>
      <c r="G60" s="35">
        <f t="shared" si="9"/>
        <v>90</v>
      </c>
      <c r="H60" s="35">
        <f t="shared" si="9"/>
        <v>90</v>
      </c>
      <c r="I60" s="35">
        <f t="shared" si="9"/>
        <v>91</v>
      </c>
      <c r="J60" s="35">
        <f t="shared" si="9"/>
        <v>90</v>
      </c>
    </row>
    <row r="61">
      <c r="C61" s="35">
        <f t="shared" ref="C61:J61" si="10">AVERAGE(C57,C59)</f>
        <v>74.5</v>
      </c>
      <c r="D61" s="35">
        <f t="shared" si="10"/>
        <v>74.5</v>
      </c>
      <c r="E61" s="35">
        <f t="shared" si="10"/>
        <v>73.5</v>
      </c>
      <c r="F61" s="35">
        <f t="shared" si="10"/>
        <v>73</v>
      </c>
      <c r="G61" s="35">
        <f t="shared" si="10"/>
        <v>76.5</v>
      </c>
      <c r="H61" s="35">
        <f t="shared" si="10"/>
        <v>76.5</v>
      </c>
      <c r="I61" s="35">
        <f t="shared" si="10"/>
        <v>62.5</v>
      </c>
      <c r="J61" s="35">
        <f t="shared" si="10"/>
        <v>64.5</v>
      </c>
    </row>
    <row r="62">
      <c r="C62" s="35">
        <f t="shared" ref="C62:J62" si="11">AVERAGE(C58,C60)</f>
        <v>89.5</v>
      </c>
      <c r="D62" s="35">
        <f t="shared" si="11"/>
        <v>89.5</v>
      </c>
      <c r="E62" s="35">
        <f t="shared" si="11"/>
        <v>87.5</v>
      </c>
      <c r="F62" s="35">
        <f t="shared" si="11"/>
        <v>83</v>
      </c>
      <c r="G62" s="35">
        <f t="shared" si="11"/>
        <v>87.5</v>
      </c>
      <c r="H62" s="35">
        <f t="shared" si="11"/>
        <v>87.5</v>
      </c>
      <c r="I62" s="35">
        <f t="shared" si="11"/>
        <v>88.5</v>
      </c>
      <c r="J62" s="35">
        <f t="shared" si="11"/>
        <v>87.5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1.416</v>
      </c>
      <c r="J63" s="59">
        <f t="shared" si="12"/>
        <v>1.356589147</v>
      </c>
    </row>
    <row r="67">
      <c r="A67" s="66"/>
      <c r="B67" s="66"/>
      <c r="C67" s="66"/>
      <c r="D67" s="66"/>
      <c r="E67" s="66"/>
      <c r="F67" s="66"/>
      <c r="G67" s="66"/>
      <c r="H67" s="66"/>
      <c r="I67" s="66"/>
      <c r="J67" s="66"/>
      <c r="K67" s="66"/>
      <c r="L67" s="66"/>
      <c r="M67" s="66"/>
      <c r="N67" s="66"/>
      <c r="O67" s="66"/>
      <c r="P67" s="66"/>
    </row>
    <row r="68">
      <c r="A68" s="66"/>
      <c r="B68" s="18" t="s">
        <v>167</v>
      </c>
      <c r="C68" s="18" t="s">
        <v>168</v>
      </c>
      <c r="D68" s="67" t="s">
        <v>169</v>
      </c>
      <c r="E68" s="18" t="s">
        <v>170</v>
      </c>
      <c r="F68" s="18" t="s">
        <v>171</v>
      </c>
      <c r="G68" s="67" t="s">
        <v>172</v>
      </c>
      <c r="H68" s="18" t="s">
        <v>173</v>
      </c>
      <c r="I68" s="18" t="s">
        <v>174</v>
      </c>
      <c r="J68" s="67" t="s">
        <v>175</v>
      </c>
      <c r="K68" s="18"/>
      <c r="L68" s="18" t="s">
        <v>176</v>
      </c>
      <c r="M68" s="18" t="s">
        <v>177</v>
      </c>
      <c r="N68" s="67" t="s">
        <v>178</v>
      </c>
      <c r="O68" s="66"/>
      <c r="P68" s="66"/>
    </row>
    <row r="69">
      <c r="A69" s="68">
        <v>2021.0</v>
      </c>
      <c r="B69" s="69">
        <v>0.67</v>
      </c>
      <c r="C69" s="69">
        <v>0.78</v>
      </c>
      <c r="D69" s="69">
        <v>0.66</v>
      </c>
      <c r="E69" s="69">
        <v>0.58</v>
      </c>
      <c r="F69" s="69">
        <v>0.74</v>
      </c>
      <c r="G69" s="69">
        <v>0.69</v>
      </c>
      <c r="H69" s="98">
        <v>0.31</v>
      </c>
      <c r="I69" s="98">
        <v>0.17</v>
      </c>
      <c r="J69" s="98">
        <v>0.6</v>
      </c>
      <c r="K69" s="98"/>
      <c r="L69" s="170">
        <v>1.11</v>
      </c>
      <c r="M69" s="170">
        <v>0.96</v>
      </c>
      <c r="N69" s="183">
        <v>0.82</v>
      </c>
      <c r="O69" s="73"/>
      <c r="P69" s="74"/>
    </row>
    <row r="70">
      <c r="A70" s="75" t="s">
        <v>179</v>
      </c>
      <c r="B70" s="91">
        <v>5.19</v>
      </c>
      <c r="C70" s="76">
        <v>5.67</v>
      </c>
      <c r="D70" s="76">
        <v>5.79</v>
      </c>
      <c r="E70" s="76">
        <v>5.53</v>
      </c>
      <c r="F70" s="76">
        <v>6.02</v>
      </c>
      <c r="G70" s="76">
        <v>6.5</v>
      </c>
      <c r="H70" s="77">
        <v>6.46</v>
      </c>
      <c r="I70" s="77">
        <v>6.68</v>
      </c>
      <c r="J70" s="135">
        <v>7.4</v>
      </c>
      <c r="K70" s="135"/>
      <c r="L70" s="135">
        <v>8.13</v>
      </c>
      <c r="M70" s="77">
        <v>8.4</v>
      </c>
      <c r="N70" s="184">
        <v>8.39</v>
      </c>
      <c r="O70" s="79"/>
      <c r="P70" s="80">
        <v>2021.0</v>
      </c>
    </row>
    <row r="71">
      <c r="A71" s="66"/>
      <c r="B71" s="66"/>
      <c r="C71" s="66"/>
      <c r="D71" s="66"/>
      <c r="E71" s="66"/>
      <c r="F71" s="66"/>
      <c r="G71" s="66"/>
      <c r="H71" s="66"/>
      <c r="I71" s="66"/>
      <c r="J71" s="66"/>
      <c r="K71" s="66"/>
      <c r="L71" s="66"/>
      <c r="M71" s="66"/>
      <c r="N71" s="66"/>
      <c r="O71" s="81"/>
    </row>
    <row r="72">
      <c r="A72" s="18" t="s">
        <v>181</v>
      </c>
      <c r="B72" s="18">
        <v>0.6</v>
      </c>
      <c r="C72" s="18">
        <v>0.4</v>
      </c>
      <c r="D72" s="18">
        <v>0.5</v>
      </c>
      <c r="E72" s="18">
        <v>0.4</v>
      </c>
      <c r="F72" s="18">
        <v>0.4</v>
      </c>
      <c r="G72" s="18">
        <v>0.4</v>
      </c>
      <c r="H72" s="18">
        <v>0.5</v>
      </c>
      <c r="I72" s="18">
        <v>0.0</v>
      </c>
      <c r="J72" s="18">
        <v>0.2</v>
      </c>
      <c r="K72" s="18"/>
      <c r="L72" s="18">
        <v>0.4</v>
      </c>
      <c r="M72" s="18">
        <v>0.5</v>
      </c>
      <c r="N72" s="18">
        <v>0.5</v>
      </c>
      <c r="O72" s="66"/>
      <c r="P72" s="66"/>
    </row>
    <row r="73">
      <c r="A73" s="18" t="s">
        <v>182</v>
      </c>
      <c r="B73" s="18">
        <v>0.5</v>
      </c>
      <c r="C73" s="18">
        <v>0.3</v>
      </c>
      <c r="D73" s="18">
        <v>0.3</v>
      </c>
      <c r="E73" s="18">
        <v>0.4</v>
      </c>
      <c r="F73" s="18">
        <v>0.4</v>
      </c>
      <c r="G73" s="18">
        <v>0.4</v>
      </c>
      <c r="H73" s="18">
        <v>0.2</v>
      </c>
      <c r="I73" s="82">
        <v>-0.1</v>
      </c>
      <c r="J73" s="82">
        <v>-0.1</v>
      </c>
      <c r="K73" s="18"/>
      <c r="L73" s="18">
        <v>0.3</v>
      </c>
      <c r="M73" s="18">
        <v>0.4</v>
      </c>
      <c r="N73" s="18">
        <v>0.6</v>
      </c>
      <c r="O73" s="66"/>
      <c r="P73" s="66"/>
    </row>
    <row r="74">
      <c r="A74" s="66"/>
      <c r="B74" s="18" t="s">
        <v>183</v>
      </c>
      <c r="C74" s="18" t="s">
        <v>184</v>
      </c>
      <c r="D74" s="18" t="s">
        <v>169</v>
      </c>
      <c r="E74" s="18" t="s">
        <v>185</v>
      </c>
      <c r="F74" s="18" t="s">
        <v>186</v>
      </c>
      <c r="G74" s="18" t="s">
        <v>172</v>
      </c>
      <c r="H74" s="18" t="s">
        <v>187</v>
      </c>
      <c r="I74" s="18" t="s">
        <v>188</v>
      </c>
      <c r="J74" s="18" t="s">
        <v>175</v>
      </c>
      <c r="K74" s="18"/>
      <c r="L74" s="18" t="s">
        <v>189</v>
      </c>
      <c r="M74" s="18" t="s">
        <v>190</v>
      </c>
      <c r="N74" s="18" t="s">
        <v>178</v>
      </c>
      <c r="O74" s="66"/>
      <c r="P74" s="66"/>
    </row>
    <row r="75">
      <c r="A75" s="66"/>
      <c r="B75" s="66"/>
      <c r="C75" s="66"/>
      <c r="D75" s="66"/>
      <c r="E75" s="66"/>
      <c r="F75" s="66"/>
      <c r="G75" s="66"/>
      <c r="H75" s="66"/>
      <c r="I75" s="66"/>
      <c r="J75" s="66"/>
      <c r="K75" s="66"/>
      <c r="L75" s="66"/>
      <c r="M75" s="66"/>
      <c r="N75" s="66"/>
      <c r="O75" s="66"/>
      <c r="P75" s="66"/>
    </row>
    <row r="76">
      <c r="A76" s="66"/>
      <c r="B76" s="66"/>
      <c r="C76" s="66"/>
      <c r="D76" s="66"/>
      <c r="E76" s="66"/>
      <c r="F76" s="66"/>
      <c r="G76" s="66"/>
      <c r="H76" s="66"/>
      <c r="I76" s="66"/>
      <c r="J76" s="66"/>
      <c r="K76" s="66"/>
      <c r="L76" s="66"/>
      <c r="M76" s="66"/>
      <c r="N76" s="66"/>
      <c r="O76" s="66"/>
      <c r="P76" s="66"/>
    </row>
    <row r="77">
      <c r="A77" s="66"/>
      <c r="B77" s="18" t="s">
        <v>167</v>
      </c>
      <c r="C77" s="18" t="s">
        <v>168</v>
      </c>
      <c r="D77" s="83" t="s">
        <v>169</v>
      </c>
      <c r="E77" s="18" t="s">
        <v>170</v>
      </c>
      <c r="F77" s="18" t="s">
        <v>171</v>
      </c>
      <c r="G77" s="83" t="s">
        <v>172</v>
      </c>
      <c r="H77" s="18" t="s">
        <v>173</v>
      </c>
      <c r="I77" s="18" t="s">
        <v>174</v>
      </c>
      <c r="J77" s="83" t="s">
        <v>175</v>
      </c>
      <c r="K77" s="18"/>
      <c r="L77" s="18" t="s">
        <v>176</v>
      </c>
      <c r="M77" s="18" t="s">
        <v>177</v>
      </c>
      <c r="N77" s="83" t="s">
        <v>178</v>
      </c>
      <c r="O77" s="66"/>
      <c r="P77" s="66"/>
    </row>
    <row r="78">
      <c r="A78" s="68">
        <v>2022.0</v>
      </c>
      <c r="B78" s="70">
        <v>1.0</v>
      </c>
      <c r="C78" s="70">
        <v>0.5</v>
      </c>
      <c r="D78" s="70">
        <v>0.5</v>
      </c>
      <c r="E78" s="70">
        <v>0.5</v>
      </c>
      <c r="F78" s="70">
        <v>0.4</v>
      </c>
      <c r="G78" s="70">
        <v>0.5</v>
      </c>
      <c r="H78" s="71">
        <v>0.4</v>
      </c>
      <c r="I78" s="71">
        <v>0.0</v>
      </c>
      <c r="J78" s="71">
        <v>0.2</v>
      </c>
      <c r="K78" s="71"/>
      <c r="L78" s="71">
        <v>0.4</v>
      </c>
      <c r="M78" s="71">
        <v>0.5</v>
      </c>
      <c r="N78" s="72">
        <v>0.6</v>
      </c>
      <c r="O78" s="66"/>
      <c r="P78" s="66"/>
    </row>
    <row r="79">
      <c r="A79" s="75" t="s">
        <v>179</v>
      </c>
      <c r="B79" s="91">
        <v>8.75</v>
      </c>
      <c r="C79" s="76">
        <v>8.45</v>
      </c>
      <c r="D79" s="76">
        <v>8.28</v>
      </c>
      <c r="E79" s="76">
        <v>8.19</v>
      </c>
      <c r="F79" s="76">
        <v>7.82</v>
      </c>
      <c r="G79" s="76">
        <v>7.62</v>
      </c>
      <c r="H79" s="77">
        <v>7.72</v>
      </c>
      <c r="I79" s="77">
        <v>7.53</v>
      </c>
      <c r="J79" s="77">
        <v>7.11</v>
      </c>
      <c r="K79" s="77"/>
      <c r="L79" s="77">
        <v>6.35</v>
      </c>
      <c r="M79" s="77">
        <v>5.87</v>
      </c>
      <c r="N79" s="78">
        <v>5.64</v>
      </c>
      <c r="O79" s="79"/>
      <c r="P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c r="L82" s="186" t="s">
        <v>383</v>
      </c>
    </row>
    <row r="83">
      <c r="A83" s="3" t="s">
        <v>384</v>
      </c>
      <c r="C83" s="187">
        <v>74.4</v>
      </c>
      <c r="D83" s="187">
        <v>74.2</v>
      </c>
      <c r="E83" s="187">
        <v>73.5</v>
      </c>
      <c r="F83" s="187">
        <v>72.7</v>
      </c>
      <c r="G83" s="187">
        <v>87.8</v>
      </c>
      <c r="H83" s="187">
        <v>85.4</v>
      </c>
      <c r="I83" s="187">
        <v>82.7</v>
      </c>
      <c r="J83" s="187">
        <v>80.5</v>
      </c>
      <c r="K83" s="188"/>
      <c r="L83" s="188" t="s">
        <v>385</v>
      </c>
    </row>
  </sheetData>
  <mergeCells count="1">
    <mergeCell ref="O71:P7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1" width="14.5"/>
    <col customWidth="1" min="12" max="12" width="14.75"/>
  </cols>
  <sheetData>
    <row r="1">
      <c r="A1" s="92">
        <v>44771.0</v>
      </c>
      <c r="B1" s="2"/>
      <c r="C1" s="61" t="s">
        <v>0</v>
      </c>
      <c r="D1" s="61" t="s">
        <v>1</v>
      </c>
      <c r="E1" s="61" t="s">
        <v>2</v>
      </c>
      <c r="F1" s="61" t="s">
        <v>3</v>
      </c>
      <c r="G1" s="61" t="s">
        <v>4</v>
      </c>
      <c r="H1" s="61" t="s">
        <v>5</v>
      </c>
      <c r="I1" s="61" t="s">
        <v>6</v>
      </c>
      <c r="J1" s="61" t="s">
        <v>7</v>
      </c>
      <c r="K1" s="61" t="s">
        <v>395</v>
      </c>
      <c r="L1" s="2" t="s">
        <v>8</v>
      </c>
      <c r="M1" s="2" t="s">
        <v>9</v>
      </c>
      <c r="N1" s="2" t="s">
        <v>10</v>
      </c>
      <c r="O1" s="2" t="s">
        <v>11</v>
      </c>
      <c r="P1" s="2" t="s">
        <v>12</v>
      </c>
      <c r="Q1" s="2" t="s">
        <v>13</v>
      </c>
      <c r="R1" s="2" t="s">
        <v>14</v>
      </c>
    </row>
    <row r="2">
      <c r="A2" s="191"/>
      <c r="B2" s="54"/>
      <c r="C2" s="4"/>
      <c r="D2" s="4"/>
      <c r="E2" s="54"/>
      <c r="F2" s="54"/>
      <c r="G2" s="54"/>
      <c r="H2" s="54"/>
      <c r="J2" s="5"/>
      <c r="M2" s="3"/>
      <c r="O2" s="7"/>
      <c r="P2" s="52"/>
      <c r="Q2" s="3"/>
      <c r="R2" s="52"/>
    </row>
    <row r="3">
      <c r="A3" s="3" t="s">
        <v>15</v>
      </c>
      <c r="B3" s="4"/>
      <c r="C3" s="4" t="s">
        <v>16</v>
      </c>
      <c r="D3" s="4" t="s">
        <v>16</v>
      </c>
      <c r="E3" s="54" t="s">
        <v>152</v>
      </c>
      <c r="F3" s="54" t="s">
        <v>293</v>
      </c>
      <c r="G3" s="54" t="s">
        <v>18</v>
      </c>
      <c r="H3" s="54" t="s">
        <v>18</v>
      </c>
      <c r="I3" s="8" t="s">
        <v>397</v>
      </c>
      <c r="J3" s="8" t="s">
        <v>398</v>
      </c>
      <c r="K3" s="24"/>
      <c r="O3" s="7"/>
      <c r="P3" s="52"/>
      <c r="R3" s="52"/>
    </row>
    <row r="4">
      <c r="A4" s="3" t="s">
        <v>24</v>
      </c>
      <c r="B4" s="4"/>
      <c r="C4" s="4" t="s">
        <v>25</v>
      </c>
      <c r="D4" s="4" t="s">
        <v>25</v>
      </c>
      <c r="E4" s="54" t="s">
        <v>153</v>
      </c>
      <c r="F4" s="54" t="s">
        <v>295</v>
      </c>
      <c r="G4" s="54" t="s">
        <v>153</v>
      </c>
      <c r="H4" s="54" t="s">
        <v>153</v>
      </c>
      <c r="I4" s="24" t="s">
        <v>154</v>
      </c>
      <c r="J4" s="24" t="s">
        <v>153</v>
      </c>
      <c r="K4" s="24"/>
      <c r="O4" s="7"/>
      <c r="P4" s="52"/>
      <c r="R4" s="52"/>
    </row>
    <row r="5">
      <c r="A5" s="3" t="s">
        <v>28</v>
      </c>
      <c r="B5" s="4"/>
      <c r="C5" s="4" t="s">
        <v>29</v>
      </c>
      <c r="D5" s="4" t="s">
        <v>139</v>
      </c>
      <c r="E5" s="54" t="s">
        <v>199</v>
      </c>
      <c r="F5" s="54" t="s">
        <v>298</v>
      </c>
      <c r="G5" s="54" t="s">
        <v>391</v>
      </c>
      <c r="H5" s="54" t="s">
        <v>392</v>
      </c>
      <c r="I5" s="8" t="s">
        <v>410</v>
      </c>
      <c r="J5" s="8" t="s">
        <v>411</v>
      </c>
      <c r="K5" s="24"/>
      <c r="L5" s="3" t="s">
        <v>412</v>
      </c>
      <c r="P5" s="53"/>
      <c r="R5" s="52"/>
    </row>
    <row r="6" ht="26.25" customHeight="1" collapsed="1">
      <c r="A6" s="3" t="s">
        <v>399</v>
      </c>
      <c r="B6" s="4"/>
      <c r="C6" s="4">
        <v>5.7</v>
      </c>
      <c r="D6" s="54" t="s">
        <v>144</v>
      </c>
      <c r="E6" s="54" t="s">
        <v>201</v>
      </c>
      <c r="F6" s="54" t="s">
        <v>299</v>
      </c>
      <c r="G6" s="54" t="s">
        <v>319</v>
      </c>
      <c r="H6" s="54" t="s">
        <v>304</v>
      </c>
      <c r="I6" s="8" t="s">
        <v>400</v>
      </c>
      <c r="J6" s="8" t="s">
        <v>401</v>
      </c>
      <c r="K6" s="24"/>
      <c r="O6" s="7"/>
      <c r="P6" s="53"/>
      <c r="R6" s="52"/>
    </row>
    <row r="7" hidden="1" outlineLevel="1">
      <c r="A7" s="3"/>
      <c r="B7" s="4"/>
      <c r="C7" s="4"/>
      <c r="D7" s="54"/>
      <c r="E7" s="111" t="s">
        <v>241</v>
      </c>
      <c r="F7" s="112" t="s">
        <v>236</v>
      </c>
      <c r="G7" s="54" t="s">
        <v>237</v>
      </c>
      <c r="H7" s="54" t="s">
        <v>238</v>
      </c>
      <c r="I7" s="24" t="s">
        <v>239</v>
      </c>
      <c r="J7" s="192"/>
      <c r="K7" s="192"/>
      <c r="O7" s="7"/>
      <c r="P7" s="52"/>
      <c r="R7" s="52"/>
    </row>
    <row r="8">
      <c r="A8" s="3" t="s">
        <v>402</v>
      </c>
      <c r="B8" s="4"/>
      <c r="C8" s="4"/>
      <c r="D8" s="54"/>
      <c r="E8" s="54"/>
      <c r="F8" s="54"/>
      <c r="G8" s="54"/>
      <c r="H8" s="54"/>
      <c r="I8" s="8" t="s">
        <v>403</v>
      </c>
      <c r="J8" s="197" t="s">
        <v>400</v>
      </c>
      <c r="K8" s="24"/>
      <c r="L8" s="3"/>
      <c r="O8" s="7"/>
      <c r="P8" s="52"/>
      <c r="R8" s="52"/>
    </row>
    <row r="9">
      <c r="A9" s="3" t="s">
        <v>413</v>
      </c>
      <c r="B9" s="4"/>
      <c r="C9" s="4">
        <v>4.5</v>
      </c>
      <c r="D9" s="54">
        <v>5.5</v>
      </c>
      <c r="E9" s="54" t="s">
        <v>194</v>
      </c>
      <c r="F9" s="54">
        <v>8.5</v>
      </c>
      <c r="G9" s="54" t="s">
        <v>387</v>
      </c>
      <c r="H9" s="54" t="s">
        <v>387</v>
      </c>
      <c r="I9" s="197">
        <v>44780.0</v>
      </c>
      <c r="J9" s="8" t="s">
        <v>414</v>
      </c>
      <c r="K9" s="24"/>
      <c r="L9" s="172" t="s">
        <v>323</v>
      </c>
      <c r="O9" s="7"/>
      <c r="P9" s="52"/>
      <c r="R9" s="52"/>
    </row>
    <row r="10">
      <c r="A10" s="3" t="s">
        <v>405</v>
      </c>
      <c r="E10" s="114"/>
      <c r="F10" s="115"/>
      <c r="G10" s="115"/>
      <c r="H10" s="115"/>
      <c r="I10" s="8" t="s">
        <v>406</v>
      </c>
      <c r="J10" s="8" t="s">
        <v>406</v>
      </c>
      <c r="P10" s="55"/>
      <c r="R10" s="55"/>
    </row>
    <row r="11">
      <c r="E11" s="114" t="s">
        <v>241</v>
      </c>
      <c r="F11" s="115" t="s">
        <v>242</v>
      </c>
      <c r="G11" s="115" t="s">
        <v>242</v>
      </c>
      <c r="H11" s="115" t="s">
        <v>194</v>
      </c>
      <c r="I11" s="115" t="s">
        <v>148</v>
      </c>
      <c r="K11" s="3" t="s">
        <v>415</v>
      </c>
      <c r="P11" s="55"/>
      <c r="R11" s="55"/>
    </row>
    <row r="12">
      <c r="A12" s="3" t="s">
        <v>47</v>
      </c>
      <c r="C12" s="4">
        <v>5.7</v>
      </c>
      <c r="D12" s="4">
        <v>6.5</v>
      </c>
      <c r="E12" s="62">
        <v>7.4</v>
      </c>
      <c r="F12" s="54">
        <v>8.1</v>
      </c>
      <c r="G12" s="54"/>
      <c r="H12" s="62"/>
      <c r="I12" s="62"/>
      <c r="J12" s="62"/>
      <c r="M12" s="19" t="s">
        <v>396</v>
      </c>
    </row>
    <row r="13">
      <c r="A13" s="3" t="s">
        <v>162</v>
      </c>
      <c r="D13" s="111" t="s">
        <v>241</v>
      </c>
      <c r="E13" s="117">
        <v>7.0</v>
      </c>
      <c r="F13" s="112">
        <v>7.3</v>
      </c>
      <c r="G13" s="112"/>
      <c r="H13" s="112"/>
      <c r="I13" s="117"/>
      <c r="J13" s="112"/>
    </row>
    <row r="14">
      <c r="C14" s="10"/>
      <c r="D14" s="10"/>
      <c r="E14" s="10"/>
      <c r="F14" s="10"/>
      <c r="G14" s="10"/>
      <c r="H14" s="10"/>
      <c r="I14" s="10"/>
      <c r="J14" s="10"/>
    </row>
    <row r="15">
      <c r="E15" s="118">
        <v>74.5</v>
      </c>
      <c r="F15" s="118">
        <v>74.2</v>
      </c>
      <c r="G15" s="118">
        <v>76.5</v>
      </c>
      <c r="H15" s="118">
        <v>77.7</v>
      </c>
      <c r="I15" s="118">
        <v>77.7</v>
      </c>
      <c r="J15" s="118">
        <v>76.5</v>
      </c>
      <c r="K15" s="119"/>
      <c r="L15" s="119" t="s">
        <v>305</v>
      </c>
    </row>
    <row r="16">
      <c r="A16" s="3" t="s">
        <v>48</v>
      </c>
      <c r="C16" s="164">
        <v>74.4</v>
      </c>
      <c r="D16" s="164">
        <v>74.2</v>
      </c>
      <c r="E16" s="164">
        <v>73.5</v>
      </c>
      <c r="F16" s="118">
        <v>72.4</v>
      </c>
      <c r="G16" s="118">
        <v>71.4</v>
      </c>
      <c r="H16" s="118">
        <v>76.4</v>
      </c>
      <c r="I16" s="118">
        <v>78.1</v>
      </c>
      <c r="J16" s="118">
        <v>75.9</v>
      </c>
      <c r="K16" s="119"/>
      <c r="L16" s="119" t="s">
        <v>325</v>
      </c>
    </row>
    <row r="17">
      <c r="A17" s="3" t="s">
        <v>15</v>
      </c>
      <c r="B17" s="11"/>
      <c r="C17" s="63">
        <v>74.4</v>
      </c>
      <c r="D17" s="63">
        <v>74.2</v>
      </c>
      <c r="E17" s="63">
        <v>73.5</v>
      </c>
      <c r="F17" s="93">
        <v>73.65</v>
      </c>
      <c r="G17" s="93">
        <v>87.34</v>
      </c>
      <c r="H17" s="93">
        <v>66.51</v>
      </c>
      <c r="I17" s="63">
        <v>88.0</v>
      </c>
      <c r="J17" s="63">
        <v>86.4</v>
      </c>
      <c r="K17" s="63">
        <v>89.5</v>
      </c>
      <c r="L17" s="6" t="s">
        <v>407</v>
      </c>
    </row>
    <row r="18">
      <c r="A18" s="3"/>
      <c r="B18" s="12"/>
      <c r="C18" s="12"/>
      <c r="D18" s="13"/>
      <c r="E18" s="13"/>
      <c r="F18" s="13"/>
      <c r="G18" s="13"/>
      <c r="H18" s="13"/>
      <c r="I18" s="13"/>
      <c r="J18" s="13"/>
      <c r="K18" s="13"/>
      <c r="L18" s="13"/>
      <c r="M18" s="13"/>
    </row>
    <row r="19">
      <c r="A19" s="119" t="s">
        <v>50</v>
      </c>
      <c r="B19" s="119"/>
      <c r="C19" s="119"/>
      <c r="D19" s="173"/>
      <c r="E19" s="173"/>
      <c r="F19" s="174">
        <v>8.2</v>
      </c>
      <c r="G19" s="175">
        <v>7.0</v>
      </c>
      <c r="H19" s="174">
        <v>44202.0</v>
      </c>
      <c r="I19" s="174">
        <v>44352.0</v>
      </c>
      <c r="J19" s="175">
        <v>4.9</v>
      </c>
      <c r="K19" s="119"/>
      <c r="L19" s="119" t="s">
        <v>327</v>
      </c>
      <c r="M19" s="173"/>
      <c r="N19" s="173"/>
      <c r="O19" s="173"/>
      <c r="P19" s="173"/>
      <c r="Q19" s="173"/>
      <c r="R19" s="173"/>
      <c r="S19" s="173"/>
      <c r="T19" s="173"/>
      <c r="U19" s="173"/>
      <c r="V19" s="173"/>
      <c r="W19" s="173"/>
      <c r="X19" s="173"/>
      <c r="Y19" s="173"/>
      <c r="Z19" s="173"/>
      <c r="AA19" s="173"/>
      <c r="AB19" s="173"/>
      <c r="AC19" s="173"/>
      <c r="AD19" s="173"/>
      <c r="AE19" s="173"/>
      <c r="AF19" s="173"/>
    </row>
    <row r="20">
      <c r="A20" s="3" t="s">
        <v>50</v>
      </c>
      <c r="B20" s="12"/>
      <c r="C20" s="12"/>
      <c r="D20" s="13"/>
      <c r="E20" s="13"/>
      <c r="F20" s="14">
        <v>44659.0</v>
      </c>
      <c r="G20" s="14">
        <v>44780.0</v>
      </c>
      <c r="H20" s="14">
        <v>44718.0</v>
      </c>
      <c r="I20" s="14">
        <v>44598.0</v>
      </c>
      <c r="J20" s="14">
        <v>44625.0</v>
      </c>
      <c r="K20" s="3"/>
      <c r="L20" s="3" t="s">
        <v>328</v>
      </c>
    </row>
    <row r="21">
      <c r="B21" s="12"/>
      <c r="C21" s="12"/>
      <c r="D21" s="13"/>
      <c r="E21" s="13"/>
      <c r="F21" s="13"/>
      <c r="G21" s="176">
        <v>44659.0</v>
      </c>
      <c r="H21" s="176">
        <v>44749.0</v>
      </c>
      <c r="I21" s="176">
        <v>44779.0</v>
      </c>
      <c r="J21" s="176">
        <v>44625.0</v>
      </c>
      <c r="K21" s="3"/>
      <c r="L21" s="3" t="s">
        <v>329</v>
      </c>
      <c r="O21" s="3"/>
    </row>
    <row r="22" collapsed="1">
      <c r="B22" s="12"/>
      <c r="C22" s="12"/>
      <c r="D22" s="13"/>
      <c r="E22" s="13"/>
      <c r="F22" s="13"/>
      <c r="G22" s="13"/>
      <c r="H22" s="62"/>
      <c r="I22" s="62"/>
      <c r="J22" s="4"/>
      <c r="O22" s="3" t="s">
        <v>330</v>
      </c>
    </row>
    <row r="23" hidden="1" outlineLevel="1">
      <c r="B23" s="15" t="s">
        <v>52</v>
      </c>
      <c r="C23" s="16"/>
      <c r="D23" s="16"/>
      <c r="E23" s="16"/>
      <c r="F23" s="17" t="s">
        <v>53</v>
      </c>
      <c r="G23" s="18"/>
      <c r="H23" s="18"/>
      <c r="I23" s="18"/>
      <c r="J23" s="18"/>
      <c r="K23" s="3"/>
      <c r="L23" s="3"/>
    </row>
    <row r="24" hidden="1" outlineLevel="1">
      <c r="A24" s="3"/>
      <c r="B24" s="16" t="s">
        <v>28</v>
      </c>
      <c r="C24" s="16"/>
      <c r="D24" s="16"/>
      <c r="E24" s="16"/>
      <c r="F24" s="20" t="s">
        <v>207</v>
      </c>
      <c r="G24" s="20">
        <v>0.085534</v>
      </c>
      <c r="H24" s="20">
        <v>-0.09657</v>
      </c>
      <c r="I24" s="20">
        <v>-0.074</v>
      </c>
      <c r="J24" s="18"/>
      <c r="K24" s="31"/>
      <c r="L24" s="31" t="s">
        <v>164</v>
      </c>
    </row>
    <row r="25" hidden="1" outlineLevel="1">
      <c r="A25" s="3"/>
      <c r="B25" s="16" t="s">
        <v>55</v>
      </c>
      <c r="C25" s="16"/>
      <c r="D25" s="16"/>
      <c r="E25" s="16"/>
      <c r="F25" s="20" t="s">
        <v>208</v>
      </c>
      <c r="G25" s="20">
        <v>0.0891</v>
      </c>
      <c r="H25" s="20">
        <v>0.015935</v>
      </c>
      <c r="I25" s="20">
        <v>-0.00482</v>
      </c>
      <c r="J25" s="86">
        <v>-0.022</v>
      </c>
      <c r="K25" s="3"/>
      <c r="L25" s="3" t="s">
        <v>56</v>
      </c>
    </row>
    <row r="26" hidden="1" outlineLevel="1">
      <c r="A26" s="3"/>
      <c r="B26" s="16" t="s">
        <v>57</v>
      </c>
      <c r="C26" s="16"/>
      <c r="D26" s="16"/>
      <c r="E26" s="16"/>
      <c r="F26" s="57" t="s">
        <v>209</v>
      </c>
      <c r="G26" s="20">
        <v>0.166436</v>
      </c>
      <c r="H26" s="20">
        <v>-0.21198</v>
      </c>
      <c r="I26" s="20">
        <v>-0.40366</v>
      </c>
      <c r="J26" s="88">
        <v>-0.267</v>
      </c>
      <c r="K26" s="3"/>
      <c r="L26" s="3" t="s">
        <v>56</v>
      </c>
    </row>
    <row r="27" hidden="1" outlineLevel="1">
      <c r="A27" s="3"/>
      <c r="B27" s="16" t="s">
        <v>58</v>
      </c>
      <c r="C27" s="16"/>
      <c r="D27" s="16"/>
      <c r="E27" s="16"/>
      <c r="F27" s="20" t="s">
        <v>210</v>
      </c>
      <c r="G27" s="20">
        <v>0.09644</v>
      </c>
      <c r="H27" s="20">
        <v>-0.01752</v>
      </c>
      <c r="I27" s="20">
        <v>0.090012</v>
      </c>
      <c r="J27" s="88">
        <v>-0.051</v>
      </c>
      <c r="K27" s="3"/>
      <c r="L27" s="3" t="s">
        <v>56</v>
      </c>
    </row>
    <row r="28" hidden="1" outlineLevel="1">
      <c r="A28" s="3"/>
      <c r="B28" s="16" t="s">
        <v>60</v>
      </c>
      <c r="C28" s="16"/>
      <c r="D28" s="16"/>
      <c r="E28" s="16"/>
      <c r="F28" s="20" t="s">
        <v>211</v>
      </c>
      <c r="G28" s="20">
        <v>0.136107</v>
      </c>
      <c r="H28" s="20">
        <v>0.038548</v>
      </c>
      <c r="I28" s="20">
        <v>-0.09601</v>
      </c>
      <c r="J28" s="88">
        <v>-0.099</v>
      </c>
      <c r="K28" s="3"/>
      <c r="L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t="s">
        <v>63</v>
      </c>
    </row>
    <row r="30" hidden="1" outlineLevel="1">
      <c r="A30" s="3"/>
      <c r="B30" s="16" t="s">
        <v>64</v>
      </c>
      <c r="C30" s="16"/>
      <c r="D30" s="16"/>
      <c r="E30" s="16"/>
      <c r="F30" s="95">
        <v>0.09</v>
      </c>
      <c r="G30" s="20">
        <v>0.08</v>
      </c>
      <c r="H30" s="20">
        <v>0.07</v>
      </c>
      <c r="I30" s="20">
        <v>0.07</v>
      </c>
      <c r="J30" s="86">
        <v>0.07</v>
      </c>
      <c r="K30" s="3"/>
      <c r="L30" s="3" t="s">
        <v>65</v>
      </c>
    </row>
    <row r="31" hidden="1" outlineLevel="1">
      <c r="A31" s="3"/>
      <c r="B31" s="16" t="s">
        <v>66</v>
      </c>
      <c r="C31" s="16"/>
      <c r="D31" s="16"/>
      <c r="E31" s="16"/>
      <c r="F31" s="21">
        <v>0.042</v>
      </c>
      <c r="G31" s="21">
        <v>0.042</v>
      </c>
      <c r="H31" s="21">
        <v>0.042</v>
      </c>
      <c r="I31" s="21">
        <v>0.042</v>
      </c>
      <c r="J31" s="88">
        <v>0.042</v>
      </c>
      <c r="K31" s="3"/>
      <c r="L31" s="3" t="s">
        <v>67</v>
      </c>
    </row>
    <row r="32" hidden="1" outlineLevel="1">
      <c r="A32" s="3"/>
      <c r="B32" s="16" t="s">
        <v>68</v>
      </c>
      <c r="C32" s="16"/>
      <c r="D32" s="16"/>
      <c r="E32" s="16"/>
      <c r="F32" s="21">
        <v>0.024</v>
      </c>
      <c r="G32" s="21">
        <v>0.024</v>
      </c>
      <c r="H32" s="21">
        <v>0.024</v>
      </c>
      <c r="I32" s="21">
        <v>0.024</v>
      </c>
      <c r="J32" s="88">
        <v>0.024</v>
      </c>
      <c r="K32" s="3"/>
      <c r="L32" s="3" t="s">
        <v>67</v>
      </c>
    </row>
    <row r="33">
      <c r="F33" s="3" t="s">
        <v>15</v>
      </c>
      <c r="G33" s="177">
        <v>85.6</v>
      </c>
      <c r="H33" s="177">
        <v>66.5</v>
      </c>
      <c r="I33" s="198">
        <v>63.0</v>
      </c>
      <c r="J33" s="198">
        <v>65.0</v>
      </c>
      <c r="L33" s="6" t="s">
        <v>408</v>
      </c>
      <c r="O33" s="178" t="s">
        <v>331</v>
      </c>
      <c r="P33" s="179" t="s">
        <v>81</v>
      </c>
      <c r="Q33" s="179" t="s">
        <v>114</v>
      </c>
    </row>
    <row r="34">
      <c r="A34" s="31"/>
      <c r="B34" s="3"/>
      <c r="C34" s="3"/>
      <c r="D34" s="3"/>
      <c r="F34" s="3" t="s">
        <v>15</v>
      </c>
      <c r="G34" s="177">
        <v>85.6</v>
      </c>
      <c r="H34" s="177">
        <v>66.5</v>
      </c>
      <c r="I34" s="198">
        <v>68.3</v>
      </c>
      <c r="J34" s="198">
        <v>76.7</v>
      </c>
      <c r="K34" s="3"/>
      <c r="L34" s="6" t="s">
        <v>409</v>
      </c>
      <c r="M34" s="3"/>
      <c r="N34" s="3"/>
      <c r="O34" s="180"/>
      <c r="P34" s="181"/>
      <c r="Q34" s="181"/>
    </row>
    <row r="35">
      <c r="A35" s="31" t="s">
        <v>245</v>
      </c>
      <c r="B35" s="3"/>
      <c r="C35" s="3"/>
      <c r="D35" s="3"/>
      <c r="F35" s="4"/>
      <c r="G35" s="4"/>
      <c r="H35" s="4"/>
      <c r="I35" s="4"/>
      <c r="J35" s="4"/>
      <c r="K35" s="3"/>
      <c r="L35" s="3"/>
      <c r="M35" s="3"/>
      <c r="N35" s="3"/>
      <c r="O35" s="180" t="s">
        <v>332</v>
      </c>
      <c r="P35" s="181" t="s">
        <v>333</v>
      </c>
      <c r="Q35" s="181" t="s">
        <v>334</v>
      </c>
    </row>
    <row r="36">
      <c r="A36" s="3" t="s">
        <v>28</v>
      </c>
      <c r="B36" s="10" t="s">
        <v>69</v>
      </c>
      <c r="C36" s="167">
        <v>61.0</v>
      </c>
      <c r="D36" s="167">
        <v>69.0</v>
      </c>
      <c r="E36" s="167">
        <v>73.0</v>
      </c>
      <c r="F36" s="167">
        <v>79.0</v>
      </c>
      <c r="G36" s="193">
        <v>88.0</v>
      </c>
      <c r="H36" s="193">
        <v>81.0</v>
      </c>
      <c r="I36" s="193">
        <v>74.0</v>
      </c>
      <c r="J36" s="193">
        <v>66.0</v>
      </c>
      <c r="K36" s="193">
        <v>66.0</v>
      </c>
      <c r="L36" s="122" t="s">
        <v>247</v>
      </c>
      <c r="O36" s="180" t="s">
        <v>335</v>
      </c>
      <c r="P36" s="181" t="s">
        <v>336</v>
      </c>
      <c r="Q36" s="181" t="s">
        <v>337</v>
      </c>
    </row>
    <row r="37">
      <c r="A37" s="22" t="s">
        <v>74</v>
      </c>
      <c r="B37" s="10" t="s">
        <v>75</v>
      </c>
      <c r="C37" s="193">
        <v>169.0</v>
      </c>
      <c r="D37" s="193">
        <v>202.0</v>
      </c>
      <c r="E37" s="193">
        <v>278.0</v>
      </c>
      <c r="F37" s="193">
        <v>374.0</v>
      </c>
      <c r="G37" s="193">
        <v>368.0</v>
      </c>
      <c r="H37" s="193">
        <v>267.0</v>
      </c>
      <c r="I37" s="193">
        <v>309.0</v>
      </c>
      <c r="J37" s="193">
        <v>298.0</v>
      </c>
      <c r="K37" s="193">
        <v>262.0</v>
      </c>
      <c r="L37" s="3" t="s">
        <v>309</v>
      </c>
      <c r="O37" s="180" t="s">
        <v>338</v>
      </c>
      <c r="P37" s="181" t="s">
        <v>339</v>
      </c>
      <c r="Q37" s="181" t="s">
        <v>337</v>
      </c>
    </row>
    <row r="38">
      <c r="A38" s="22" t="s">
        <v>74</v>
      </c>
      <c r="B38" s="10" t="s">
        <v>248</v>
      </c>
      <c r="C38" s="123">
        <f t="shared" ref="C38:K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f t="shared" si="2"/>
        <v>7.422096317</v>
      </c>
      <c r="L38" s="3" t="s">
        <v>309</v>
      </c>
      <c r="M38" s="124"/>
      <c r="N38" s="124"/>
      <c r="O38" s="180" t="s">
        <v>340</v>
      </c>
      <c r="P38" s="181" t="s">
        <v>341</v>
      </c>
      <c r="Q38" s="181" t="s">
        <v>337</v>
      </c>
    </row>
    <row r="39">
      <c r="A39" s="3" t="s">
        <v>249</v>
      </c>
      <c r="B39" s="10" t="s">
        <v>248</v>
      </c>
      <c r="C39" s="11">
        <v>6.8</v>
      </c>
      <c r="D39" s="11">
        <v>8.7</v>
      </c>
      <c r="E39" s="11">
        <v>16.9</v>
      </c>
      <c r="F39" s="11">
        <v>29.0</v>
      </c>
      <c r="G39" s="11">
        <v>29.0</v>
      </c>
      <c r="H39" s="11">
        <v>15.0</v>
      </c>
      <c r="I39" s="11">
        <v>11.0</v>
      </c>
      <c r="J39" s="11">
        <v>15.0</v>
      </c>
      <c r="K39" s="11">
        <v>15.0</v>
      </c>
      <c r="L39" s="125" t="s">
        <v>250</v>
      </c>
      <c r="O39" s="180" t="s">
        <v>171</v>
      </c>
      <c r="P39" s="181" t="s">
        <v>342</v>
      </c>
      <c r="Q39" s="181" t="s">
        <v>337</v>
      </c>
    </row>
    <row r="40">
      <c r="A40" s="3"/>
      <c r="B40" s="10"/>
      <c r="C40" s="126"/>
      <c r="D40" s="126"/>
      <c r="E40" s="126"/>
      <c r="F40" s="11"/>
      <c r="G40" s="11">
        <v>29.0</v>
      </c>
      <c r="H40" s="11">
        <v>29.0</v>
      </c>
      <c r="I40" s="11">
        <v>28.5</v>
      </c>
      <c r="J40" s="11">
        <v>29.5</v>
      </c>
      <c r="K40" s="127"/>
      <c r="L40" s="127" t="s">
        <v>251</v>
      </c>
      <c r="O40" s="180" t="s">
        <v>343</v>
      </c>
      <c r="P40" s="181" t="s">
        <v>344</v>
      </c>
      <c r="Q40" s="181" t="s">
        <v>337</v>
      </c>
    </row>
    <row r="41">
      <c r="A41" s="3" t="s">
        <v>252</v>
      </c>
      <c r="B41" s="10" t="s">
        <v>248</v>
      </c>
      <c r="C41" s="128">
        <f t="shared" ref="C41:K41" si="3">14%*C36</f>
        <v>8.54</v>
      </c>
      <c r="D41" s="128">
        <f t="shared" si="3"/>
        <v>9.66</v>
      </c>
      <c r="E41" s="128">
        <f t="shared" si="3"/>
        <v>10.22</v>
      </c>
      <c r="F41" s="128">
        <f t="shared" si="3"/>
        <v>11.06</v>
      </c>
      <c r="G41" s="128">
        <f t="shared" si="3"/>
        <v>12.32</v>
      </c>
      <c r="H41" s="128">
        <f t="shared" si="3"/>
        <v>11.34</v>
      </c>
      <c r="I41" s="128">
        <f t="shared" si="3"/>
        <v>10.36</v>
      </c>
      <c r="J41" s="128">
        <f t="shared" si="3"/>
        <v>9.24</v>
      </c>
      <c r="K41" s="128">
        <f t="shared" si="3"/>
        <v>9.24</v>
      </c>
      <c r="L41" s="127" t="s">
        <v>253</v>
      </c>
      <c r="O41" s="180" t="s">
        <v>345</v>
      </c>
      <c r="P41" s="181" t="s">
        <v>346</v>
      </c>
      <c r="Q41" s="181" t="s">
        <v>334</v>
      </c>
    </row>
    <row r="42">
      <c r="A42" s="3" t="s">
        <v>254</v>
      </c>
      <c r="B42" s="10" t="s">
        <v>248</v>
      </c>
      <c r="C42" s="128">
        <f>0.8*C39 + 0.2*C41</f>
        <v>7.148</v>
      </c>
      <c r="D42" s="128">
        <f t="shared" ref="D42:K42" si="4">0.8*D39+0.2*D41</f>
        <v>8.892</v>
      </c>
      <c r="E42" s="128">
        <f t="shared" si="4"/>
        <v>15.564</v>
      </c>
      <c r="F42" s="128">
        <f t="shared" si="4"/>
        <v>25.412</v>
      </c>
      <c r="G42" s="128">
        <f t="shared" si="4"/>
        <v>25.664</v>
      </c>
      <c r="H42" s="128">
        <f t="shared" si="4"/>
        <v>14.268</v>
      </c>
      <c r="I42" s="128">
        <f t="shared" si="4"/>
        <v>10.872</v>
      </c>
      <c r="J42" s="128">
        <f t="shared" si="4"/>
        <v>13.848</v>
      </c>
      <c r="K42" s="128">
        <f t="shared" si="4"/>
        <v>13.848</v>
      </c>
      <c r="L42" s="127" t="s">
        <v>255</v>
      </c>
      <c r="M42" s="22"/>
      <c r="O42" s="180" t="s">
        <v>347</v>
      </c>
      <c r="P42" s="181" t="s">
        <v>344</v>
      </c>
      <c r="Q42" s="181" t="s">
        <v>334</v>
      </c>
    </row>
    <row r="43">
      <c r="A43" s="129" t="s">
        <v>256</v>
      </c>
      <c r="B43" s="130"/>
      <c r="C43" s="131">
        <f t="shared" ref="C43:K43" si="5">C42-C38</f>
        <v>2.360464589</v>
      </c>
      <c r="D43" s="131">
        <f t="shared" si="5"/>
        <v>3.169620397</v>
      </c>
      <c r="E43" s="131">
        <f t="shared" si="5"/>
        <v>7.688645892</v>
      </c>
      <c r="F43" s="131">
        <f t="shared" si="5"/>
        <v>14.81709915</v>
      </c>
      <c r="G43" s="131">
        <f t="shared" si="5"/>
        <v>15.23907082</v>
      </c>
      <c r="H43" s="131">
        <f t="shared" si="5"/>
        <v>6.704260623</v>
      </c>
      <c r="I43" s="131">
        <f t="shared" si="5"/>
        <v>2.118458924</v>
      </c>
      <c r="J43" s="131">
        <f t="shared" si="5"/>
        <v>5.406073654</v>
      </c>
      <c r="K43" s="131">
        <f t="shared" si="5"/>
        <v>6.425903683</v>
      </c>
      <c r="L43" s="129" t="s">
        <v>257</v>
      </c>
      <c r="M43" s="130"/>
      <c r="N43" s="130"/>
      <c r="O43" s="180" t="s">
        <v>348</v>
      </c>
      <c r="P43" s="181" t="s">
        <v>349</v>
      </c>
      <c r="Q43" s="181" t="s">
        <v>334</v>
      </c>
      <c r="R43" s="130"/>
      <c r="S43" s="130"/>
      <c r="T43" s="130"/>
      <c r="U43" s="130"/>
      <c r="V43" s="130"/>
      <c r="W43" s="130"/>
      <c r="X43" s="130"/>
      <c r="Y43" s="130"/>
      <c r="Z43" s="130"/>
      <c r="AA43" s="130"/>
      <c r="AB43" s="130"/>
      <c r="AC43" s="130"/>
      <c r="AD43" s="130"/>
      <c r="AE43" s="130"/>
      <c r="AF43" s="130"/>
    </row>
    <row r="44">
      <c r="O44" s="180" t="s">
        <v>350</v>
      </c>
      <c r="P44" s="181" t="s">
        <v>351</v>
      </c>
      <c r="Q44" s="181" t="s">
        <v>352</v>
      </c>
    </row>
    <row r="45">
      <c r="A45" s="22" t="s">
        <v>76</v>
      </c>
      <c r="B45" s="10" t="s">
        <v>77</v>
      </c>
      <c r="C45" s="63">
        <v>1038.0</v>
      </c>
      <c r="D45" s="63">
        <v>1394.0</v>
      </c>
      <c r="E45" s="63">
        <v>1785.0</v>
      </c>
      <c r="F45" s="63">
        <v>1863.0</v>
      </c>
      <c r="G45" s="63">
        <v>1364.0</v>
      </c>
      <c r="H45" s="63">
        <v>1249.0</v>
      </c>
      <c r="I45" s="63">
        <v>1511.0</v>
      </c>
      <c r="J45" s="63">
        <v>1478.0</v>
      </c>
      <c r="K45" s="63">
        <v>1423.0</v>
      </c>
      <c r="L45" s="3" t="s">
        <v>54</v>
      </c>
      <c r="O45" s="180" t="s">
        <v>353</v>
      </c>
      <c r="P45" s="181" t="s">
        <v>354</v>
      </c>
      <c r="Q45" s="181" t="s">
        <v>352</v>
      </c>
    </row>
    <row r="46">
      <c r="A46" s="132"/>
      <c r="B46" s="132"/>
      <c r="C46" s="133"/>
      <c r="D46" s="133"/>
      <c r="E46" s="133"/>
      <c r="F46" s="133"/>
      <c r="G46" s="133"/>
      <c r="H46" s="133"/>
      <c r="I46" s="133"/>
      <c r="J46" s="133"/>
      <c r="K46" s="134"/>
      <c r="L46" s="134"/>
      <c r="M46" s="134"/>
      <c r="N46" s="134"/>
      <c r="O46" s="180" t="s">
        <v>355</v>
      </c>
      <c r="P46" s="181" t="s">
        <v>356</v>
      </c>
      <c r="Q46" s="181" t="s">
        <v>357</v>
      </c>
      <c r="R46" s="134"/>
      <c r="S46" s="134"/>
      <c r="T46" s="134"/>
      <c r="U46" s="134"/>
      <c r="V46" s="134"/>
      <c r="W46" s="134"/>
      <c r="X46" s="134"/>
      <c r="Y46" s="134"/>
      <c r="Z46" s="134"/>
      <c r="AA46" s="134"/>
      <c r="AB46" s="134"/>
      <c r="AC46" s="134"/>
      <c r="AD46" s="134"/>
      <c r="AE46" s="134"/>
      <c r="AF46" s="134"/>
    </row>
    <row r="47">
      <c r="A47" s="194" t="s">
        <v>78</v>
      </c>
      <c r="B47" s="195" t="s">
        <v>79</v>
      </c>
      <c r="C47" s="64">
        <v>99.3</v>
      </c>
      <c r="D47" s="64">
        <v>110.5</v>
      </c>
      <c r="E47" s="64">
        <v>104.3</v>
      </c>
      <c r="F47" s="64">
        <v>99.9</v>
      </c>
      <c r="G47" s="64">
        <v>98.2</v>
      </c>
      <c r="H47" s="64">
        <v>97.1</v>
      </c>
      <c r="I47" s="64">
        <v>94.8</v>
      </c>
      <c r="J47" s="64">
        <v>96.8</v>
      </c>
      <c r="K47" s="64">
        <v>103.5</v>
      </c>
    </row>
    <row r="48">
      <c r="A48" s="194" t="s">
        <v>80</v>
      </c>
      <c r="B48" s="194" t="s">
        <v>79</v>
      </c>
      <c r="C48" s="64">
        <v>97.2</v>
      </c>
      <c r="D48" s="64">
        <v>128.1</v>
      </c>
      <c r="E48" s="64">
        <v>110.3</v>
      </c>
      <c r="F48" s="64">
        <v>101.0</v>
      </c>
      <c r="G48" s="64">
        <v>100.0</v>
      </c>
      <c r="H48" s="64">
        <v>90.0</v>
      </c>
      <c r="I48" s="64">
        <v>90.0</v>
      </c>
      <c r="J48" s="64">
        <v>90.0</v>
      </c>
      <c r="K48" s="64">
        <v>101.5</v>
      </c>
    </row>
    <row r="49">
      <c r="A49" s="194" t="s">
        <v>81</v>
      </c>
      <c r="B49" s="194" t="s">
        <v>79</v>
      </c>
      <c r="C49" s="64">
        <v>105.5</v>
      </c>
      <c r="D49" s="64">
        <v>106.0</v>
      </c>
      <c r="E49" s="64">
        <v>106.8</v>
      </c>
      <c r="F49" s="64">
        <v>108.3</v>
      </c>
      <c r="G49" s="64">
        <v>99.6</v>
      </c>
      <c r="H49" s="64">
        <v>90.2</v>
      </c>
      <c r="I49" s="64">
        <v>90.2</v>
      </c>
      <c r="J49" s="64">
        <v>90.1</v>
      </c>
      <c r="K49" s="64">
        <v>103.0</v>
      </c>
      <c r="L49" s="3" t="s">
        <v>381</v>
      </c>
    </row>
    <row r="50">
      <c r="A50" s="3" t="s">
        <v>259</v>
      </c>
      <c r="B50" s="3" t="s">
        <v>260</v>
      </c>
      <c r="C50" s="196">
        <v>22.0</v>
      </c>
      <c r="D50" s="196">
        <v>17.0</v>
      </c>
      <c r="E50" s="196">
        <v>36.0</v>
      </c>
      <c r="F50" s="196">
        <v>47.0</v>
      </c>
      <c r="G50" s="196">
        <v>43.0</v>
      </c>
      <c r="H50" s="196">
        <v>55.0</v>
      </c>
      <c r="I50" s="196">
        <v>23.0</v>
      </c>
      <c r="J50" s="196">
        <v>38.0</v>
      </c>
      <c r="K50" s="196">
        <v>21.0</v>
      </c>
    </row>
    <row r="53">
      <c r="A53" s="3" t="s">
        <v>137</v>
      </c>
      <c r="B53" s="11"/>
      <c r="C53" s="63">
        <v>74.4</v>
      </c>
      <c r="D53" s="63">
        <v>73.6</v>
      </c>
      <c r="E53" s="63">
        <v>72.8</v>
      </c>
      <c r="F53" s="63">
        <v>72.8</v>
      </c>
      <c r="G53" s="63">
        <v>86.2</v>
      </c>
      <c r="H53" s="63">
        <v>86.0</v>
      </c>
      <c r="I53" s="63">
        <v>89.2</v>
      </c>
      <c r="J53" s="63">
        <v>88.1</v>
      </c>
      <c r="K53" s="63">
        <v>95.4</v>
      </c>
      <c r="L53" s="169" t="s">
        <v>311</v>
      </c>
    </row>
    <row r="57">
      <c r="C57" s="35">
        <f t="shared" ref="C57:J57" si="6">VALUE(MID(C3,1,2))</f>
        <v>72</v>
      </c>
      <c r="D57" s="35">
        <f t="shared" si="6"/>
        <v>72</v>
      </c>
      <c r="E57" s="35">
        <f t="shared" si="6"/>
        <v>71</v>
      </c>
      <c r="F57" s="35">
        <f t="shared" si="6"/>
        <v>71</v>
      </c>
      <c r="G57" s="35">
        <f t="shared" si="6"/>
        <v>74</v>
      </c>
      <c r="H57" s="35">
        <f t="shared" si="6"/>
        <v>74</v>
      </c>
      <c r="I57" s="35">
        <f t="shared" si="6"/>
        <v>60</v>
      </c>
      <c r="J57" s="35">
        <f t="shared" si="6"/>
        <v>62</v>
      </c>
    </row>
    <row r="58">
      <c r="C58" s="35">
        <f t="shared" ref="C58:J58" si="7">VALUE(MID(C4,1,2))</f>
        <v>87</v>
      </c>
      <c r="D58" s="35">
        <f t="shared" si="7"/>
        <v>87</v>
      </c>
      <c r="E58" s="35">
        <f t="shared" si="7"/>
        <v>85</v>
      </c>
      <c r="F58" s="35">
        <f t="shared" si="7"/>
        <v>81</v>
      </c>
      <c r="G58" s="35">
        <f t="shared" si="7"/>
        <v>85</v>
      </c>
      <c r="H58" s="35">
        <f t="shared" si="7"/>
        <v>85</v>
      </c>
      <c r="I58" s="35">
        <f t="shared" si="7"/>
        <v>86</v>
      </c>
      <c r="J58" s="35">
        <f t="shared" si="7"/>
        <v>85</v>
      </c>
    </row>
    <row r="59">
      <c r="C59" s="35">
        <f t="shared" ref="C59:J59" si="8">VALUE(MID(C3,4,2))</f>
        <v>77</v>
      </c>
      <c r="D59" s="35">
        <f t="shared" si="8"/>
        <v>77</v>
      </c>
      <c r="E59" s="35">
        <f t="shared" si="8"/>
        <v>76</v>
      </c>
      <c r="F59" s="35">
        <f t="shared" si="8"/>
        <v>75</v>
      </c>
      <c r="G59" s="35">
        <f t="shared" si="8"/>
        <v>79</v>
      </c>
      <c r="H59" s="35">
        <f t="shared" si="8"/>
        <v>79</v>
      </c>
      <c r="I59" s="35">
        <f t="shared" si="8"/>
        <v>65</v>
      </c>
      <c r="J59" s="35">
        <f t="shared" si="8"/>
        <v>67</v>
      </c>
    </row>
    <row r="60">
      <c r="C60" s="35">
        <f t="shared" ref="C60:J60" si="9">VALUE(MID(C4,4,2))</f>
        <v>92</v>
      </c>
      <c r="D60" s="35">
        <f t="shared" si="9"/>
        <v>92</v>
      </c>
      <c r="E60" s="35">
        <f t="shared" si="9"/>
        <v>90</v>
      </c>
      <c r="F60" s="35">
        <f t="shared" si="9"/>
        <v>85</v>
      </c>
      <c r="G60" s="35">
        <f t="shared" si="9"/>
        <v>90</v>
      </c>
      <c r="H60" s="35">
        <f t="shared" si="9"/>
        <v>90</v>
      </c>
      <c r="I60" s="35">
        <f t="shared" si="9"/>
        <v>91</v>
      </c>
      <c r="J60" s="35">
        <f t="shared" si="9"/>
        <v>90</v>
      </c>
    </row>
    <row r="61">
      <c r="C61" s="35">
        <f t="shared" ref="C61:J61" si="10">AVERAGE(C57,C59)</f>
        <v>74.5</v>
      </c>
      <c r="D61" s="35">
        <f t="shared" si="10"/>
        <v>74.5</v>
      </c>
      <c r="E61" s="35">
        <f t="shared" si="10"/>
        <v>73.5</v>
      </c>
      <c r="F61" s="35">
        <f t="shared" si="10"/>
        <v>73</v>
      </c>
      <c r="G61" s="35">
        <f t="shared" si="10"/>
        <v>76.5</v>
      </c>
      <c r="H61" s="35">
        <f t="shared" si="10"/>
        <v>76.5</v>
      </c>
      <c r="I61" s="35">
        <f t="shared" si="10"/>
        <v>62.5</v>
      </c>
      <c r="J61" s="35">
        <f t="shared" si="10"/>
        <v>64.5</v>
      </c>
    </row>
    <row r="62">
      <c r="C62" s="35">
        <f t="shared" ref="C62:J62" si="11">AVERAGE(C58,C60)</f>
        <v>89.5</v>
      </c>
      <c r="D62" s="35">
        <f t="shared" si="11"/>
        <v>89.5</v>
      </c>
      <c r="E62" s="35">
        <f t="shared" si="11"/>
        <v>87.5</v>
      </c>
      <c r="F62" s="35">
        <f t="shared" si="11"/>
        <v>83</v>
      </c>
      <c r="G62" s="35">
        <f t="shared" si="11"/>
        <v>87.5</v>
      </c>
      <c r="H62" s="35">
        <f t="shared" si="11"/>
        <v>87.5</v>
      </c>
      <c r="I62" s="35">
        <f t="shared" si="11"/>
        <v>88.5</v>
      </c>
      <c r="J62" s="35">
        <f t="shared" si="11"/>
        <v>87.5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1.416</v>
      </c>
      <c r="J63" s="59">
        <f t="shared" si="12"/>
        <v>1.356589147</v>
      </c>
    </row>
    <row r="67">
      <c r="A67" s="66"/>
      <c r="B67" s="66"/>
      <c r="C67" s="66"/>
      <c r="D67" s="66"/>
      <c r="E67" s="66"/>
      <c r="F67" s="66"/>
      <c r="G67" s="66"/>
      <c r="H67" s="66"/>
      <c r="I67" s="66"/>
      <c r="J67" s="66"/>
      <c r="K67" s="66"/>
      <c r="L67" s="66"/>
      <c r="M67" s="66"/>
      <c r="N67" s="66"/>
      <c r="O67" s="66"/>
      <c r="P67" s="66"/>
    </row>
    <row r="68">
      <c r="A68" s="66"/>
      <c r="B68" s="18" t="s">
        <v>167</v>
      </c>
      <c r="C68" s="18" t="s">
        <v>168</v>
      </c>
      <c r="D68" s="67" t="s">
        <v>169</v>
      </c>
      <c r="E68" s="18" t="s">
        <v>170</v>
      </c>
      <c r="F68" s="18" t="s">
        <v>171</v>
      </c>
      <c r="G68" s="67" t="s">
        <v>172</v>
      </c>
      <c r="H68" s="18" t="s">
        <v>173</v>
      </c>
      <c r="I68" s="18" t="s">
        <v>174</v>
      </c>
      <c r="J68" s="67" t="s">
        <v>175</v>
      </c>
      <c r="K68" s="18" t="s">
        <v>176</v>
      </c>
      <c r="L68" s="18" t="s">
        <v>177</v>
      </c>
      <c r="M68" s="67" t="s">
        <v>178</v>
      </c>
      <c r="N68" s="66"/>
      <c r="O68" s="66"/>
    </row>
    <row r="69">
      <c r="A69" s="68">
        <v>2021.0</v>
      </c>
      <c r="B69" s="69">
        <v>0.67</v>
      </c>
      <c r="C69" s="69">
        <v>0.78</v>
      </c>
      <c r="D69" s="69">
        <v>0.66</v>
      </c>
      <c r="E69" s="69">
        <v>0.58</v>
      </c>
      <c r="F69" s="69">
        <v>0.74</v>
      </c>
      <c r="G69" s="69">
        <v>0.69</v>
      </c>
      <c r="H69" s="98">
        <v>0.31</v>
      </c>
      <c r="I69" s="98">
        <v>0.17</v>
      </c>
      <c r="J69" s="98">
        <v>0.6</v>
      </c>
      <c r="K69" s="170">
        <v>1.11</v>
      </c>
      <c r="L69" s="170">
        <v>0.96</v>
      </c>
      <c r="M69" s="183">
        <v>0.82</v>
      </c>
      <c r="N69" s="73"/>
      <c r="O69" s="74"/>
    </row>
    <row r="70">
      <c r="A70" s="75" t="s">
        <v>179</v>
      </c>
      <c r="B70" s="91">
        <v>5.19</v>
      </c>
      <c r="C70" s="76">
        <v>5.67</v>
      </c>
      <c r="D70" s="76">
        <v>5.79</v>
      </c>
      <c r="E70" s="76">
        <v>5.53</v>
      </c>
      <c r="F70" s="76">
        <v>6.02</v>
      </c>
      <c r="G70" s="76">
        <v>6.5</v>
      </c>
      <c r="H70" s="77">
        <v>6.46</v>
      </c>
      <c r="I70" s="77">
        <v>6.68</v>
      </c>
      <c r="J70" s="135">
        <v>7.4</v>
      </c>
      <c r="K70" s="135">
        <v>8.13</v>
      </c>
      <c r="L70" s="77">
        <v>8.4</v>
      </c>
      <c r="M70" s="184">
        <v>8.39</v>
      </c>
      <c r="N70" s="79"/>
      <c r="O70" s="80">
        <v>2021.0</v>
      </c>
    </row>
    <row r="71">
      <c r="A71" s="66"/>
      <c r="B71" s="66"/>
      <c r="C71" s="66"/>
      <c r="D71" s="66"/>
      <c r="E71" s="66"/>
      <c r="F71" s="66"/>
      <c r="G71" s="66"/>
      <c r="H71" s="66"/>
      <c r="I71" s="66"/>
      <c r="J71" s="66"/>
      <c r="K71" s="66"/>
      <c r="L71" s="66"/>
      <c r="M71" s="66"/>
      <c r="N71" s="81"/>
    </row>
    <row r="72">
      <c r="A72" s="18" t="s">
        <v>181</v>
      </c>
      <c r="B72" s="18">
        <v>0.6</v>
      </c>
      <c r="C72" s="18">
        <v>0.4</v>
      </c>
      <c r="D72" s="18">
        <v>0.5</v>
      </c>
      <c r="E72" s="18">
        <v>0.4</v>
      </c>
      <c r="F72" s="18">
        <v>0.4</v>
      </c>
      <c r="G72" s="18">
        <v>0.4</v>
      </c>
      <c r="H72" s="18">
        <v>0.5</v>
      </c>
      <c r="I72" s="18">
        <v>0.0</v>
      </c>
      <c r="J72" s="18">
        <v>0.2</v>
      </c>
      <c r="K72" s="18">
        <v>0.4</v>
      </c>
      <c r="L72" s="18">
        <v>0.5</v>
      </c>
      <c r="M72" s="18">
        <v>0.5</v>
      </c>
      <c r="N72" s="66"/>
      <c r="O72" s="66"/>
    </row>
    <row r="73">
      <c r="A73" s="18" t="s">
        <v>182</v>
      </c>
      <c r="B73" s="18">
        <v>0.5</v>
      </c>
      <c r="C73" s="18">
        <v>0.3</v>
      </c>
      <c r="D73" s="18">
        <v>0.3</v>
      </c>
      <c r="E73" s="18">
        <v>0.4</v>
      </c>
      <c r="F73" s="18">
        <v>0.4</v>
      </c>
      <c r="G73" s="18">
        <v>0.4</v>
      </c>
      <c r="H73" s="18">
        <v>0.2</v>
      </c>
      <c r="I73" s="82">
        <v>-0.1</v>
      </c>
      <c r="J73" s="82">
        <v>-0.1</v>
      </c>
      <c r="K73" s="18">
        <v>0.3</v>
      </c>
      <c r="L73" s="18">
        <v>0.4</v>
      </c>
      <c r="M73" s="18">
        <v>0.6</v>
      </c>
      <c r="N73" s="66"/>
      <c r="O73" s="66"/>
    </row>
    <row r="74">
      <c r="A74" s="66"/>
      <c r="B74" s="18" t="s">
        <v>183</v>
      </c>
      <c r="C74" s="18" t="s">
        <v>184</v>
      </c>
      <c r="D74" s="18" t="s">
        <v>169</v>
      </c>
      <c r="E74" s="18" t="s">
        <v>185</v>
      </c>
      <c r="F74" s="18" t="s">
        <v>186</v>
      </c>
      <c r="G74" s="18" t="s">
        <v>172</v>
      </c>
      <c r="H74" s="18" t="s">
        <v>187</v>
      </c>
      <c r="I74" s="18" t="s">
        <v>188</v>
      </c>
      <c r="J74" s="18" t="s">
        <v>175</v>
      </c>
      <c r="K74" s="18" t="s">
        <v>189</v>
      </c>
      <c r="L74" s="18" t="s">
        <v>190</v>
      </c>
      <c r="M74" s="18" t="s">
        <v>178</v>
      </c>
      <c r="N74" s="66"/>
      <c r="O74" s="66"/>
    </row>
    <row r="75">
      <c r="A75" s="66"/>
      <c r="B75" s="199">
        <v>0.0099</v>
      </c>
      <c r="C75" s="199">
        <v>0.0117</v>
      </c>
      <c r="D75" s="199">
        <v>0.0761</v>
      </c>
      <c r="E75" s="199">
        <v>0.0156</v>
      </c>
      <c r="F75" s="199">
        <v>0.0012</v>
      </c>
      <c r="G75" s="199">
        <v>-0.0035</v>
      </c>
      <c r="H75" s="199">
        <v>0.007</v>
      </c>
      <c r="I75" s="200">
        <f t="shared" ref="I75:M75" si="13"> (12% - SUM( $B$75:$H$75 ) ) * I73 / SUM( $I$73:$M$73 )</f>
        <v>-0.0001818181818</v>
      </c>
      <c r="J75" s="200">
        <f t="shared" si="13"/>
        <v>-0.0001818181818</v>
      </c>
      <c r="K75" s="200">
        <f t="shared" si="13"/>
        <v>0.0005454545455</v>
      </c>
      <c r="L75" s="200">
        <f t="shared" si="13"/>
        <v>0.0007272727273</v>
      </c>
      <c r="M75" s="200">
        <f t="shared" si="13"/>
        <v>0.001090909091</v>
      </c>
      <c r="N75" s="66"/>
      <c r="O75" s="201">
        <f> SUM( B75:M75 )</f>
        <v>0.12</v>
      </c>
    </row>
    <row r="76">
      <c r="A76" s="66"/>
      <c r="B76" s="66"/>
      <c r="C76" s="66"/>
      <c r="D76" s="66"/>
      <c r="E76" s="66"/>
      <c r="F76" s="66"/>
      <c r="G76" s="66"/>
      <c r="H76" s="66"/>
      <c r="I76" s="66"/>
      <c r="J76" s="66"/>
      <c r="K76" s="66"/>
      <c r="L76" s="66"/>
      <c r="M76" s="66"/>
      <c r="N76" s="66"/>
      <c r="O76" s="66"/>
    </row>
    <row r="77">
      <c r="A77" s="66"/>
      <c r="B77" s="18" t="s">
        <v>167</v>
      </c>
      <c r="C77" s="18" t="s">
        <v>168</v>
      </c>
      <c r="D77" s="83" t="s">
        <v>169</v>
      </c>
      <c r="E77" s="18" t="s">
        <v>170</v>
      </c>
      <c r="F77" s="18" t="s">
        <v>171</v>
      </c>
      <c r="G77" s="83" t="s">
        <v>172</v>
      </c>
      <c r="H77" s="18" t="s">
        <v>173</v>
      </c>
      <c r="I77" s="18" t="s">
        <v>174</v>
      </c>
      <c r="J77" s="83" t="s">
        <v>175</v>
      </c>
      <c r="K77" s="18" t="s">
        <v>176</v>
      </c>
      <c r="L77" s="18" t="s">
        <v>177</v>
      </c>
      <c r="M77" s="83" t="s">
        <v>178</v>
      </c>
      <c r="N77" s="66"/>
      <c r="O77" s="66"/>
    </row>
    <row r="78">
      <c r="A78" s="68">
        <v>2022.0</v>
      </c>
      <c r="B78" s="70">
        <v>1.0</v>
      </c>
      <c r="C78" s="70">
        <v>0.5</v>
      </c>
      <c r="D78" s="70">
        <v>0.5</v>
      </c>
      <c r="E78" s="70">
        <v>0.5</v>
      </c>
      <c r="F78" s="70">
        <v>0.4</v>
      </c>
      <c r="G78" s="70">
        <v>0.5</v>
      </c>
      <c r="H78" s="71">
        <v>0.4</v>
      </c>
      <c r="I78" s="71">
        <v>0.0</v>
      </c>
      <c r="J78" s="71">
        <v>0.2</v>
      </c>
      <c r="K78" s="71">
        <v>0.4</v>
      </c>
      <c r="L78" s="71">
        <v>0.5</v>
      </c>
      <c r="M78" s="72">
        <v>0.6</v>
      </c>
      <c r="N78" s="66"/>
      <c r="O78" s="66"/>
    </row>
    <row r="79">
      <c r="A79" s="75" t="s">
        <v>179</v>
      </c>
      <c r="B79" s="91">
        <v>8.75</v>
      </c>
      <c r="C79" s="76">
        <v>8.45</v>
      </c>
      <c r="D79" s="76">
        <v>8.28</v>
      </c>
      <c r="E79" s="76">
        <v>8.19</v>
      </c>
      <c r="F79" s="76">
        <v>7.82</v>
      </c>
      <c r="G79" s="76">
        <v>7.62</v>
      </c>
      <c r="H79" s="77">
        <v>7.72</v>
      </c>
      <c r="I79" s="77">
        <v>7.53</v>
      </c>
      <c r="J79" s="77">
        <v>7.11</v>
      </c>
      <c r="K79" s="77">
        <v>6.35</v>
      </c>
      <c r="L79" s="77">
        <v>5.87</v>
      </c>
      <c r="M79" s="78">
        <v>5.64</v>
      </c>
      <c r="N79" s="79"/>
      <c r="O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t="s">
        <v>383</v>
      </c>
    </row>
    <row r="83">
      <c r="A83" s="3" t="s">
        <v>384</v>
      </c>
      <c r="C83" s="187">
        <v>74.4</v>
      </c>
      <c r="D83" s="187">
        <v>74.2</v>
      </c>
      <c r="E83" s="187">
        <v>73.5</v>
      </c>
      <c r="F83" s="187">
        <v>72.7</v>
      </c>
      <c r="G83" s="187">
        <v>87.8</v>
      </c>
      <c r="H83" s="187">
        <v>85.4</v>
      </c>
      <c r="I83" s="187">
        <v>82.7</v>
      </c>
      <c r="J83" s="187">
        <v>80.5</v>
      </c>
      <c r="K83" s="188" t="s">
        <v>385</v>
      </c>
    </row>
  </sheetData>
  <mergeCells count="1">
    <mergeCell ref="N71:O7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1" width="14.5"/>
    <col customWidth="1" min="12" max="12" width="14.75"/>
  </cols>
  <sheetData>
    <row r="1">
      <c r="A1" s="92">
        <v>44799.0</v>
      </c>
      <c r="B1" s="2"/>
      <c r="C1" s="61" t="s">
        <v>0</v>
      </c>
      <c r="D1" s="61" t="s">
        <v>1</v>
      </c>
      <c r="E1" s="61" t="s">
        <v>2</v>
      </c>
      <c r="F1" s="61" t="s">
        <v>3</v>
      </c>
      <c r="G1" s="61" t="s">
        <v>4</v>
      </c>
      <c r="H1" s="61" t="s">
        <v>5</v>
      </c>
      <c r="I1" s="61" t="s">
        <v>6</v>
      </c>
      <c r="J1" s="61" t="s">
        <v>7</v>
      </c>
      <c r="K1" s="61">
        <v>2023.0</v>
      </c>
      <c r="L1" s="2" t="s">
        <v>8</v>
      </c>
      <c r="M1" s="2" t="s">
        <v>9</v>
      </c>
      <c r="N1" s="2" t="s">
        <v>10</v>
      </c>
      <c r="O1" s="2" t="s">
        <v>11</v>
      </c>
      <c r="P1" s="2" t="s">
        <v>12</v>
      </c>
      <c r="Q1" s="2" t="s">
        <v>13</v>
      </c>
      <c r="R1" s="2" t="s">
        <v>14</v>
      </c>
    </row>
    <row r="2">
      <c r="A2" s="191"/>
      <c r="B2" s="54"/>
      <c r="C2" s="4"/>
      <c r="D2" s="4"/>
      <c r="E2" s="54"/>
      <c r="F2" s="54"/>
      <c r="G2" s="54"/>
      <c r="H2" s="54"/>
      <c r="J2" s="5"/>
      <c r="M2" s="3"/>
      <c r="O2" s="7"/>
      <c r="P2" s="52"/>
      <c r="Q2" s="3"/>
      <c r="R2" s="52"/>
    </row>
    <row r="3">
      <c r="A3" s="3" t="s">
        <v>15</v>
      </c>
      <c r="B3" s="4"/>
      <c r="C3" s="4" t="s">
        <v>16</v>
      </c>
      <c r="D3" s="4" t="s">
        <v>16</v>
      </c>
      <c r="E3" s="54" t="s">
        <v>152</v>
      </c>
      <c r="F3" s="54" t="s">
        <v>293</v>
      </c>
      <c r="G3" s="54" t="s">
        <v>18</v>
      </c>
      <c r="H3" s="54" t="s">
        <v>18</v>
      </c>
      <c r="I3" s="8" t="s">
        <v>416</v>
      </c>
      <c r="J3" s="8" t="s">
        <v>417</v>
      </c>
      <c r="K3" s="8">
        <v>70.0</v>
      </c>
      <c r="O3" s="7"/>
      <c r="P3" s="52"/>
      <c r="R3" s="52"/>
    </row>
    <row r="4">
      <c r="A4" s="3" t="s">
        <v>24</v>
      </c>
      <c r="B4" s="4"/>
      <c r="C4" s="4" t="s">
        <v>25</v>
      </c>
      <c r="D4" s="4" t="s">
        <v>25</v>
      </c>
      <c r="E4" s="54" t="s">
        <v>153</v>
      </c>
      <c r="F4" s="54" t="s">
        <v>295</v>
      </c>
      <c r="G4" s="54" t="s">
        <v>153</v>
      </c>
      <c r="H4" s="54" t="s">
        <v>153</v>
      </c>
      <c r="I4" s="8" t="s">
        <v>416</v>
      </c>
      <c r="J4" s="8" t="s">
        <v>417</v>
      </c>
      <c r="K4" s="8">
        <v>70.0</v>
      </c>
      <c r="L4" s="3" t="s">
        <v>412</v>
      </c>
      <c r="O4" s="7"/>
      <c r="P4" s="52"/>
      <c r="R4" s="52"/>
    </row>
    <row r="5">
      <c r="A5" s="3" t="s">
        <v>28</v>
      </c>
      <c r="B5" s="4"/>
      <c r="C5" s="4" t="s">
        <v>29</v>
      </c>
      <c r="D5" s="4" t="s">
        <v>139</v>
      </c>
      <c r="E5" s="54" t="s">
        <v>199</v>
      </c>
      <c r="F5" s="54" t="s">
        <v>298</v>
      </c>
      <c r="G5" s="54" t="s">
        <v>391</v>
      </c>
      <c r="H5" s="54" t="s">
        <v>392</v>
      </c>
      <c r="I5" s="8" t="s">
        <v>410</v>
      </c>
      <c r="J5" s="8" t="s">
        <v>411</v>
      </c>
      <c r="K5" s="8">
        <v>80.0</v>
      </c>
      <c r="L5" s="3" t="s">
        <v>418</v>
      </c>
      <c r="P5" s="53"/>
      <c r="R5" s="52"/>
    </row>
    <row r="6" ht="26.25" customHeight="1" collapsed="1">
      <c r="A6" s="3" t="s">
        <v>399</v>
      </c>
      <c r="B6" s="4"/>
      <c r="C6" s="4">
        <v>5.7</v>
      </c>
      <c r="D6" s="54" t="s">
        <v>144</v>
      </c>
      <c r="E6" s="54" t="s">
        <v>201</v>
      </c>
      <c r="F6" s="54" t="s">
        <v>299</v>
      </c>
      <c r="G6" s="54" t="s">
        <v>319</v>
      </c>
      <c r="H6" s="54" t="s">
        <v>304</v>
      </c>
      <c r="I6" s="8" t="s">
        <v>400</v>
      </c>
      <c r="J6" s="8" t="s">
        <v>401</v>
      </c>
      <c r="K6" s="197">
        <v>44747.0</v>
      </c>
      <c r="O6" s="7"/>
      <c r="P6" s="53"/>
      <c r="R6" s="52"/>
    </row>
    <row r="7" hidden="1" outlineLevel="1">
      <c r="A7" s="3"/>
      <c r="B7" s="4"/>
      <c r="C7" s="4"/>
      <c r="D7" s="54"/>
      <c r="E7" s="111" t="s">
        <v>241</v>
      </c>
      <c r="F7" s="112" t="s">
        <v>236</v>
      </c>
      <c r="G7" s="54" t="s">
        <v>237</v>
      </c>
      <c r="H7" s="54" t="s">
        <v>238</v>
      </c>
      <c r="I7" s="8" t="s">
        <v>239</v>
      </c>
      <c r="J7" s="202"/>
      <c r="K7" s="202"/>
      <c r="O7" s="7"/>
      <c r="P7" s="52"/>
      <c r="R7" s="52"/>
    </row>
    <row r="8">
      <c r="A8" s="3" t="s">
        <v>402</v>
      </c>
      <c r="B8" s="4"/>
      <c r="C8" s="4"/>
      <c r="D8" s="54"/>
      <c r="E8" s="54"/>
      <c r="F8" s="54"/>
      <c r="G8" s="54"/>
      <c r="H8" s="54"/>
      <c r="I8" s="8" t="s">
        <v>403</v>
      </c>
      <c r="J8" s="197" t="s">
        <v>400</v>
      </c>
      <c r="K8" s="8"/>
      <c r="L8" s="3"/>
      <c r="O8" s="7"/>
      <c r="P8" s="52"/>
      <c r="R8" s="52"/>
    </row>
    <row r="9">
      <c r="A9" s="3" t="s">
        <v>413</v>
      </c>
      <c r="B9" s="4"/>
      <c r="C9" s="4">
        <v>4.5</v>
      </c>
      <c r="D9" s="54">
        <v>5.5</v>
      </c>
      <c r="E9" s="54" t="s">
        <v>194</v>
      </c>
      <c r="F9" s="54">
        <v>8.5</v>
      </c>
      <c r="G9" s="54" t="s">
        <v>387</v>
      </c>
      <c r="H9" s="54" t="s">
        <v>387</v>
      </c>
      <c r="I9" s="197">
        <v>44780.0</v>
      </c>
      <c r="J9" s="8" t="s">
        <v>414</v>
      </c>
      <c r="K9" s="8" t="s">
        <v>419</v>
      </c>
      <c r="L9" s="172" t="s">
        <v>323</v>
      </c>
      <c r="O9" s="7"/>
      <c r="P9" s="52"/>
      <c r="R9" s="52"/>
    </row>
    <row r="10">
      <c r="A10" s="3" t="s">
        <v>405</v>
      </c>
      <c r="E10" s="114"/>
      <c r="F10" s="115"/>
      <c r="G10" s="115"/>
      <c r="H10" s="115"/>
      <c r="I10" s="24" t="s">
        <v>406</v>
      </c>
      <c r="J10" s="24" t="s">
        <v>406</v>
      </c>
      <c r="P10" s="55"/>
      <c r="R10" s="55"/>
    </row>
    <row r="11">
      <c r="E11" s="114" t="s">
        <v>241</v>
      </c>
      <c r="F11" s="115" t="s">
        <v>242</v>
      </c>
      <c r="G11" s="115" t="s">
        <v>242</v>
      </c>
      <c r="H11" s="115" t="s">
        <v>194</v>
      </c>
      <c r="I11" s="115" t="s">
        <v>148</v>
      </c>
      <c r="K11" s="3" t="s">
        <v>415</v>
      </c>
      <c r="P11" s="55"/>
      <c r="R11" s="55"/>
    </row>
    <row r="12">
      <c r="A12" s="3" t="s">
        <v>47</v>
      </c>
      <c r="C12" s="4">
        <v>5.7</v>
      </c>
      <c r="D12" s="4">
        <v>6.5</v>
      </c>
      <c r="E12" s="62">
        <v>7.4</v>
      </c>
      <c r="F12" s="54">
        <v>8.1</v>
      </c>
      <c r="G12" s="54"/>
      <c r="H12" s="62"/>
      <c r="I12" s="62"/>
      <c r="J12" s="62"/>
      <c r="M12" s="19" t="s">
        <v>396</v>
      </c>
    </row>
    <row r="13">
      <c r="A13" s="3" t="s">
        <v>162</v>
      </c>
      <c r="D13" s="111" t="s">
        <v>241</v>
      </c>
      <c r="E13" s="117">
        <v>7.0</v>
      </c>
      <c r="F13" s="112">
        <v>7.3</v>
      </c>
      <c r="G13" s="112"/>
      <c r="H13" s="112"/>
      <c r="I13" s="117"/>
      <c r="J13" s="112"/>
    </row>
    <row r="14">
      <c r="C14" s="10"/>
      <c r="D14" s="10"/>
      <c r="E14" s="10"/>
      <c r="F14" s="10"/>
      <c r="G14" s="10"/>
      <c r="H14" s="10"/>
      <c r="I14" s="10"/>
      <c r="J14" s="10"/>
    </row>
    <row r="15">
      <c r="E15" s="118">
        <v>74.5</v>
      </c>
      <c r="F15" s="118">
        <v>74.2</v>
      </c>
      <c r="G15" s="118">
        <v>76.5</v>
      </c>
      <c r="H15" s="118">
        <v>77.7</v>
      </c>
      <c r="I15" s="118">
        <v>77.7</v>
      </c>
      <c r="J15" s="118">
        <v>76.5</v>
      </c>
      <c r="K15" s="119"/>
      <c r="L15" s="119" t="s">
        <v>305</v>
      </c>
    </row>
    <row r="16">
      <c r="A16" s="3" t="s">
        <v>48</v>
      </c>
      <c r="C16" s="164">
        <v>74.4</v>
      </c>
      <c r="D16" s="164">
        <v>74.2</v>
      </c>
      <c r="E16" s="164">
        <v>73.5</v>
      </c>
      <c r="F16" s="118">
        <v>72.4</v>
      </c>
      <c r="G16" s="118">
        <v>71.4</v>
      </c>
      <c r="H16" s="118">
        <v>76.4</v>
      </c>
      <c r="I16" s="118">
        <v>78.1</v>
      </c>
      <c r="J16" s="118">
        <v>75.9</v>
      </c>
      <c r="K16" s="119"/>
      <c r="L16" s="119" t="s">
        <v>325</v>
      </c>
    </row>
    <row r="17">
      <c r="A17" s="3" t="s">
        <v>15</v>
      </c>
      <c r="B17" s="11"/>
      <c r="C17" s="63">
        <v>74.4</v>
      </c>
      <c r="D17" s="63">
        <v>74.2</v>
      </c>
      <c r="E17" s="63">
        <v>73.5</v>
      </c>
      <c r="F17" s="93">
        <v>73.65</v>
      </c>
      <c r="G17" s="93">
        <v>87.34</v>
      </c>
      <c r="H17" s="93">
        <v>66.51</v>
      </c>
      <c r="I17" s="63">
        <v>88.0</v>
      </c>
      <c r="J17" s="63">
        <v>86.4</v>
      </c>
      <c r="K17" s="63">
        <v>89.5</v>
      </c>
      <c r="L17" s="6" t="s">
        <v>407</v>
      </c>
    </row>
    <row r="18">
      <c r="A18" s="3"/>
      <c r="B18" s="12"/>
      <c r="C18" s="12"/>
      <c r="D18" s="13"/>
      <c r="E18" s="13"/>
      <c r="F18" s="13"/>
      <c r="G18" s="13"/>
      <c r="H18" s="13"/>
      <c r="I18" s="13"/>
      <c r="J18" s="13"/>
      <c r="K18" s="13"/>
      <c r="L18" s="13"/>
      <c r="M18" s="13"/>
    </row>
    <row r="19">
      <c r="A19" s="119" t="s">
        <v>50</v>
      </c>
      <c r="B19" s="119"/>
      <c r="C19" s="119"/>
      <c r="D19" s="173"/>
      <c r="E19" s="173"/>
      <c r="F19" s="174">
        <v>8.2</v>
      </c>
      <c r="G19" s="175">
        <v>7.0</v>
      </c>
      <c r="H19" s="174">
        <v>44202.0</v>
      </c>
      <c r="I19" s="174">
        <v>44352.0</v>
      </c>
      <c r="J19" s="175">
        <v>4.9</v>
      </c>
      <c r="K19" s="119"/>
      <c r="L19" s="119" t="s">
        <v>327</v>
      </c>
      <c r="M19" s="173"/>
      <c r="N19" s="173"/>
      <c r="O19" s="173"/>
      <c r="P19" s="173"/>
      <c r="Q19" s="173"/>
      <c r="R19" s="173"/>
      <c r="S19" s="173"/>
      <c r="T19" s="173"/>
      <c r="U19" s="173"/>
      <c r="V19" s="173"/>
      <c r="W19" s="173"/>
      <c r="X19" s="173"/>
      <c r="Y19" s="173"/>
      <c r="Z19" s="173"/>
      <c r="AA19" s="173"/>
      <c r="AB19" s="173"/>
      <c r="AC19" s="173"/>
      <c r="AD19" s="173"/>
      <c r="AE19" s="173"/>
      <c r="AF19" s="173"/>
    </row>
    <row r="20">
      <c r="A20" s="3" t="s">
        <v>50</v>
      </c>
      <c r="B20" s="12"/>
      <c r="C20" s="12"/>
      <c r="D20" s="13"/>
      <c r="E20" s="13"/>
      <c r="F20" s="14">
        <v>44659.0</v>
      </c>
      <c r="G20" s="14">
        <v>44780.0</v>
      </c>
      <c r="H20" s="14">
        <v>44718.0</v>
      </c>
      <c r="I20" s="14">
        <v>44598.0</v>
      </c>
      <c r="J20" s="14">
        <v>44625.0</v>
      </c>
      <c r="K20" s="3"/>
      <c r="L20" s="3" t="s">
        <v>328</v>
      </c>
    </row>
    <row r="21">
      <c r="B21" s="12"/>
      <c r="C21" s="12"/>
      <c r="D21" s="13"/>
      <c r="E21" s="13"/>
      <c r="F21" s="13"/>
      <c r="G21" s="176">
        <v>44659.0</v>
      </c>
      <c r="H21" s="176">
        <v>44749.0</v>
      </c>
      <c r="I21" s="176">
        <v>44779.0</v>
      </c>
      <c r="J21" s="176">
        <v>44625.0</v>
      </c>
      <c r="K21" s="3"/>
      <c r="L21" s="3" t="s">
        <v>329</v>
      </c>
      <c r="O21" s="3"/>
    </row>
    <row r="22" collapsed="1">
      <c r="B22" s="12"/>
      <c r="C22" s="12"/>
      <c r="D22" s="13"/>
      <c r="E22" s="13"/>
      <c r="F22" s="13"/>
      <c r="G22" s="13"/>
      <c r="H22" s="62"/>
      <c r="I22" s="62"/>
      <c r="J22" s="4"/>
      <c r="O22" s="3" t="s">
        <v>330</v>
      </c>
    </row>
    <row r="23" hidden="1" outlineLevel="1">
      <c r="B23" s="15" t="s">
        <v>52</v>
      </c>
      <c r="C23" s="16"/>
      <c r="D23" s="16"/>
      <c r="E23" s="16"/>
      <c r="F23" s="17" t="s">
        <v>53</v>
      </c>
      <c r="G23" s="18"/>
      <c r="H23" s="18"/>
      <c r="I23" s="18"/>
      <c r="J23" s="18"/>
      <c r="K23" s="3"/>
      <c r="L23" s="3"/>
    </row>
    <row r="24" hidden="1" outlineLevel="1">
      <c r="A24" s="3"/>
      <c r="B24" s="16" t="s">
        <v>28</v>
      </c>
      <c r="C24" s="16"/>
      <c r="D24" s="16"/>
      <c r="E24" s="16"/>
      <c r="F24" s="20" t="s">
        <v>207</v>
      </c>
      <c r="G24" s="20">
        <v>0.085534</v>
      </c>
      <c r="H24" s="20">
        <v>-0.09657</v>
      </c>
      <c r="I24" s="20">
        <v>-0.074</v>
      </c>
      <c r="J24" s="18"/>
      <c r="K24" s="31"/>
      <c r="L24" s="31" t="s">
        <v>164</v>
      </c>
    </row>
    <row r="25" hidden="1" outlineLevel="1">
      <c r="A25" s="3"/>
      <c r="B25" s="16" t="s">
        <v>55</v>
      </c>
      <c r="C25" s="16"/>
      <c r="D25" s="16"/>
      <c r="E25" s="16"/>
      <c r="F25" s="20" t="s">
        <v>208</v>
      </c>
      <c r="G25" s="20">
        <v>0.0891</v>
      </c>
      <c r="H25" s="20">
        <v>0.015935</v>
      </c>
      <c r="I25" s="20">
        <v>-0.00482</v>
      </c>
      <c r="J25" s="86">
        <v>-0.022</v>
      </c>
      <c r="K25" s="3"/>
      <c r="L25" s="3" t="s">
        <v>56</v>
      </c>
    </row>
    <row r="26" hidden="1" outlineLevel="1">
      <c r="A26" s="3"/>
      <c r="B26" s="16" t="s">
        <v>57</v>
      </c>
      <c r="C26" s="16"/>
      <c r="D26" s="16"/>
      <c r="E26" s="16"/>
      <c r="F26" s="57" t="s">
        <v>209</v>
      </c>
      <c r="G26" s="20">
        <v>0.166436</v>
      </c>
      <c r="H26" s="20">
        <v>-0.21198</v>
      </c>
      <c r="I26" s="20">
        <v>-0.40366</v>
      </c>
      <c r="J26" s="88">
        <v>-0.267</v>
      </c>
      <c r="K26" s="3"/>
      <c r="L26" s="3" t="s">
        <v>56</v>
      </c>
    </row>
    <row r="27" hidden="1" outlineLevel="1">
      <c r="A27" s="3"/>
      <c r="B27" s="16" t="s">
        <v>58</v>
      </c>
      <c r="C27" s="16"/>
      <c r="D27" s="16"/>
      <c r="E27" s="16"/>
      <c r="F27" s="20" t="s">
        <v>210</v>
      </c>
      <c r="G27" s="20">
        <v>0.09644</v>
      </c>
      <c r="H27" s="20">
        <v>-0.01752</v>
      </c>
      <c r="I27" s="20">
        <v>0.090012</v>
      </c>
      <c r="J27" s="88">
        <v>-0.051</v>
      </c>
      <c r="K27" s="3"/>
      <c r="L27" s="3" t="s">
        <v>56</v>
      </c>
    </row>
    <row r="28" hidden="1" outlineLevel="1">
      <c r="A28" s="3"/>
      <c r="B28" s="16" t="s">
        <v>60</v>
      </c>
      <c r="C28" s="16"/>
      <c r="D28" s="16"/>
      <c r="E28" s="16"/>
      <c r="F28" s="20" t="s">
        <v>211</v>
      </c>
      <c r="G28" s="20">
        <v>0.136107</v>
      </c>
      <c r="H28" s="20">
        <v>0.038548</v>
      </c>
      <c r="I28" s="20">
        <v>-0.09601</v>
      </c>
      <c r="J28" s="88">
        <v>-0.099</v>
      </c>
      <c r="K28" s="3"/>
      <c r="L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t="s">
        <v>63</v>
      </c>
    </row>
    <row r="30" hidden="1" outlineLevel="1">
      <c r="A30" s="3"/>
      <c r="B30" s="16" t="s">
        <v>64</v>
      </c>
      <c r="C30" s="16"/>
      <c r="D30" s="16"/>
      <c r="E30" s="16"/>
      <c r="F30" s="95">
        <v>0.09</v>
      </c>
      <c r="G30" s="20">
        <v>0.08</v>
      </c>
      <c r="H30" s="20">
        <v>0.07</v>
      </c>
      <c r="I30" s="20">
        <v>0.07</v>
      </c>
      <c r="J30" s="86">
        <v>0.07</v>
      </c>
      <c r="K30" s="3"/>
      <c r="L30" s="3" t="s">
        <v>65</v>
      </c>
    </row>
    <row r="31" hidden="1" outlineLevel="1">
      <c r="A31" s="3"/>
      <c r="B31" s="16" t="s">
        <v>66</v>
      </c>
      <c r="C31" s="16"/>
      <c r="D31" s="16"/>
      <c r="E31" s="16"/>
      <c r="F31" s="21">
        <v>0.042</v>
      </c>
      <c r="G31" s="21">
        <v>0.042</v>
      </c>
      <c r="H31" s="21">
        <v>0.042</v>
      </c>
      <c r="I31" s="21">
        <v>0.042</v>
      </c>
      <c r="J31" s="88">
        <v>0.042</v>
      </c>
      <c r="K31" s="3"/>
      <c r="L31" s="3" t="s">
        <v>67</v>
      </c>
    </row>
    <row r="32" hidden="1" outlineLevel="1">
      <c r="A32" s="3"/>
      <c r="B32" s="16" t="s">
        <v>68</v>
      </c>
      <c r="C32" s="16"/>
      <c r="D32" s="16"/>
      <c r="E32" s="16"/>
      <c r="F32" s="21">
        <v>0.024</v>
      </c>
      <c r="G32" s="21">
        <v>0.024</v>
      </c>
      <c r="H32" s="21">
        <v>0.024</v>
      </c>
      <c r="I32" s="21">
        <v>0.024</v>
      </c>
      <c r="J32" s="88">
        <v>0.024</v>
      </c>
      <c r="K32" s="3"/>
      <c r="L32" s="3" t="s">
        <v>67</v>
      </c>
    </row>
    <row r="33">
      <c r="F33" s="3" t="s">
        <v>15</v>
      </c>
      <c r="G33" s="177">
        <v>85.6</v>
      </c>
      <c r="H33" s="177">
        <v>66.5</v>
      </c>
      <c r="I33" s="203">
        <v>63.0</v>
      </c>
      <c r="J33" s="203">
        <v>65.0</v>
      </c>
      <c r="L33" s="6" t="s">
        <v>408</v>
      </c>
      <c r="O33" s="178" t="s">
        <v>331</v>
      </c>
      <c r="P33" s="179" t="s">
        <v>81</v>
      </c>
      <c r="Q33" s="179" t="s">
        <v>114</v>
      </c>
    </row>
    <row r="34">
      <c r="A34" s="31"/>
      <c r="B34" s="3"/>
      <c r="C34" s="3"/>
      <c r="D34" s="3"/>
      <c r="F34" s="3" t="s">
        <v>15</v>
      </c>
      <c r="G34" s="177">
        <v>85.6</v>
      </c>
      <c r="H34" s="177">
        <v>66.5</v>
      </c>
      <c r="I34" s="198">
        <v>68.3</v>
      </c>
      <c r="J34" s="198">
        <v>76.7</v>
      </c>
      <c r="K34" s="3"/>
      <c r="L34" s="6" t="s">
        <v>409</v>
      </c>
      <c r="M34" s="3"/>
      <c r="N34" s="3"/>
      <c r="O34" s="180"/>
      <c r="P34" s="181"/>
      <c r="Q34" s="181"/>
    </row>
    <row r="35">
      <c r="A35" s="31" t="s">
        <v>245</v>
      </c>
      <c r="B35" s="3"/>
      <c r="C35" s="3"/>
      <c r="D35" s="3"/>
      <c r="F35" s="4"/>
      <c r="G35" s="4"/>
      <c r="H35" s="4"/>
      <c r="I35" s="4"/>
      <c r="J35" s="4"/>
      <c r="K35" s="3"/>
      <c r="L35" s="3"/>
      <c r="M35" s="3"/>
      <c r="N35" s="3"/>
      <c r="O35" s="180" t="s">
        <v>332</v>
      </c>
      <c r="P35" s="181" t="s">
        <v>333</v>
      </c>
      <c r="Q35" s="181" t="s">
        <v>334</v>
      </c>
    </row>
    <row r="36">
      <c r="A36" s="3" t="s">
        <v>28</v>
      </c>
      <c r="B36" s="10" t="s">
        <v>69</v>
      </c>
      <c r="C36" s="167">
        <v>61.0</v>
      </c>
      <c r="D36" s="167">
        <v>69.0</v>
      </c>
      <c r="E36" s="167">
        <v>73.0</v>
      </c>
      <c r="F36" s="167">
        <v>79.0</v>
      </c>
      <c r="G36" s="193">
        <v>88.0</v>
      </c>
      <c r="H36" s="193">
        <v>81.0</v>
      </c>
      <c r="I36" s="193">
        <v>74.0</v>
      </c>
      <c r="J36" s="193">
        <v>66.0</v>
      </c>
      <c r="K36" s="193">
        <v>66.0</v>
      </c>
      <c r="L36" s="122" t="s">
        <v>247</v>
      </c>
      <c r="O36" s="180" t="s">
        <v>335</v>
      </c>
      <c r="P36" s="181" t="s">
        <v>336</v>
      </c>
      <c r="Q36" s="181" t="s">
        <v>337</v>
      </c>
    </row>
    <row r="37">
      <c r="A37" s="22" t="s">
        <v>74</v>
      </c>
      <c r="B37" s="10" t="s">
        <v>75</v>
      </c>
      <c r="C37" s="193">
        <v>169.0</v>
      </c>
      <c r="D37" s="193">
        <v>202.0</v>
      </c>
      <c r="E37" s="193">
        <v>278.0</v>
      </c>
      <c r="F37" s="193">
        <v>374.0</v>
      </c>
      <c r="G37" s="193">
        <v>368.0</v>
      </c>
      <c r="H37" s="193">
        <v>267.0</v>
      </c>
      <c r="I37" s="193">
        <v>309.0</v>
      </c>
      <c r="J37" s="193">
        <v>298.0</v>
      </c>
      <c r="K37" s="193">
        <v>262.0</v>
      </c>
      <c r="L37" s="3" t="s">
        <v>309</v>
      </c>
      <c r="O37" s="180" t="s">
        <v>338</v>
      </c>
      <c r="P37" s="181" t="s">
        <v>339</v>
      </c>
      <c r="Q37" s="181" t="s">
        <v>337</v>
      </c>
    </row>
    <row r="38">
      <c r="A38" s="22" t="s">
        <v>74</v>
      </c>
      <c r="B38" s="10" t="s">
        <v>248</v>
      </c>
      <c r="C38" s="123">
        <f t="shared" ref="C38:K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f t="shared" si="2"/>
        <v>7.422096317</v>
      </c>
      <c r="L38" s="3" t="s">
        <v>309</v>
      </c>
      <c r="M38" s="124"/>
      <c r="N38" s="124"/>
      <c r="O38" s="180" t="s">
        <v>340</v>
      </c>
      <c r="P38" s="181" t="s">
        <v>341</v>
      </c>
      <c r="Q38" s="181" t="s">
        <v>337</v>
      </c>
    </row>
    <row r="39">
      <c r="A39" s="3" t="s">
        <v>249</v>
      </c>
      <c r="B39" s="10" t="s">
        <v>248</v>
      </c>
      <c r="C39" s="11">
        <v>6.8</v>
      </c>
      <c r="D39" s="11">
        <v>8.7</v>
      </c>
      <c r="E39" s="11">
        <v>16.9</v>
      </c>
      <c r="F39" s="11">
        <v>29.0</v>
      </c>
      <c r="G39" s="11">
        <v>29.0</v>
      </c>
      <c r="H39" s="11">
        <v>15.0</v>
      </c>
      <c r="I39" s="11">
        <v>11.0</v>
      </c>
      <c r="J39" s="11">
        <v>15.0</v>
      </c>
      <c r="K39" s="11">
        <v>15.0</v>
      </c>
      <c r="L39" s="125" t="s">
        <v>250</v>
      </c>
      <c r="O39" s="180" t="s">
        <v>171</v>
      </c>
      <c r="P39" s="181" t="s">
        <v>342</v>
      </c>
      <c r="Q39" s="181" t="s">
        <v>337</v>
      </c>
    </row>
    <row r="40">
      <c r="A40" s="3"/>
      <c r="B40" s="10"/>
      <c r="C40" s="126"/>
      <c r="D40" s="126"/>
      <c r="E40" s="126"/>
      <c r="F40" s="11"/>
      <c r="G40" s="11">
        <v>29.0</v>
      </c>
      <c r="H40" s="11">
        <v>29.0</v>
      </c>
      <c r="I40" s="11">
        <v>28.5</v>
      </c>
      <c r="J40" s="11">
        <v>29.5</v>
      </c>
      <c r="K40" s="127"/>
      <c r="L40" s="127" t="s">
        <v>251</v>
      </c>
      <c r="O40" s="180" t="s">
        <v>343</v>
      </c>
      <c r="P40" s="181" t="s">
        <v>344</v>
      </c>
      <c r="Q40" s="181" t="s">
        <v>337</v>
      </c>
    </row>
    <row r="41">
      <c r="A41" s="3" t="s">
        <v>252</v>
      </c>
      <c r="B41" s="10" t="s">
        <v>248</v>
      </c>
      <c r="C41" s="128">
        <f t="shared" ref="C41:K41" si="3">14%*C36</f>
        <v>8.54</v>
      </c>
      <c r="D41" s="128">
        <f t="shared" si="3"/>
        <v>9.66</v>
      </c>
      <c r="E41" s="128">
        <f t="shared" si="3"/>
        <v>10.22</v>
      </c>
      <c r="F41" s="128">
        <f t="shared" si="3"/>
        <v>11.06</v>
      </c>
      <c r="G41" s="128">
        <f t="shared" si="3"/>
        <v>12.32</v>
      </c>
      <c r="H41" s="128">
        <f t="shared" si="3"/>
        <v>11.34</v>
      </c>
      <c r="I41" s="128">
        <f t="shared" si="3"/>
        <v>10.36</v>
      </c>
      <c r="J41" s="128">
        <f t="shared" si="3"/>
        <v>9.24</v>
      </c>
      <c r="K41" s="128">
        <f t="shared" si="3"/>
        <v>9.24</v>
      </c>
      <c r="L41" s="127" t="s">
        <v>253</v>
      </c>
      <c r="O41" s="180" t="s">
        <v>345</v>
      </c>
      <c r="P41" s="181" t="s">
        <v>346</v>
      </c>
      <c r="Q41" s="181" t="s">
        <v>334</v>
      </c>
    </row>
    <row r="42">
      <c r="A42" s="3" t="s">
        <v>254</v>
      </c>
      <c r="B42" s="10" t="s">
        <v>248</v>
      </c>
      <c r="C42" s="128">
        <f>0.8*C39 + 0.2*C41</f>
        <v>7.148</v>
      </c>
      <c r="D42" s="128">
        <f t="shared" ref="D42:K42" si="4">0.8*D39+0.2*D41</f>
        <v>8.892</v>
      </c>
      <c r="E42" s="128">
        <f t="shared" si="4"/>
        <v>15.564</v>
      </c>
      <c r="F42" s="128">
        <f t="shared" si="4"/>
        <v>25.412</v>
      </c>
      <c r="G42" s="128">
        <f t="shared" si="4"/>
        <v>25.664</v>
      </c>
      <c r="H42" s="128">
        <f t="shared" si="4"/>
        <v>14.268</v>
      </c>
      <c r="I42" s="128">
        <f t="shared" si="4"/>
        <v>10.872</v>
      </c>
      <c r="J42" s="128">
        <f t="shared" si="4"/>
        <v>13.848</v>
      </c>
      <c r="K42" s="128">
        <f t="shared" si="4"/>
        <v>13.848</v>
      </c>
      <c r="L42" s="127" t="s">
        <v>255</v>
      </c>
      <c r="M42" s="22"/>
      <c r="O42" s="180" t="s">
        <v>347</v>
      </c>
      <c r="P42" s="181" t="s">
        <v>344</v>
      </c>
      <c r="Q42" s="181" t="s">
        <v>334</v>
      </c>
    </row>
    <row r="43">
      <c r="A43" s="129" t="s">
        <v>256</v>
      </c>
      <c r="B43" s="130"/>
      <c r="C43" s="131">
        <f t="shared" ref="C43:K43" si="5">C42-C38</f>
        <v>2.360464589</v>
      </c>
      <c r="D43" s="131">
        <f t="shared" si="5"/>
        <v>3.169620397</v>
      </c>
      <c r="E43" s="131">
        <f t="shared" si="5"/>
        <v>7.688645892</v>
      </c>
      <c r="F43" s="131">
        <f t="shared" si="5"/>
        <v>14.81709915</v>
      </c>
      <c r="G43" s="131">
        <f t="shared" si="5"/>
        <v>15.23907082</v>
      </c>
      <c r="H43" s="131">
        <f t="shared" si="5"/>
        <v>6.704260623</v>
      </c>
      <c r="I43" s="131">
        <f t="shared" si="5"/>
        <v>2.118458924</v>
      </c>
      <c r="J43" s="131">
        <f t="shared" si="5"/>
        <v>5.406073654</v>
      </c>
      <c r="K43" s="131">
        <f t="shared" si="5"/>
        <v>6.425903683</v>
      </c>
      <c r="L43" s="129" t="s">
        <v>257</v>
      </c>
      <c r="M43" s="130"/>
      <c r="N43" s="130"/>
      <c r="O43" s="180" t="s">
        <v>348</v>
      </c>
      <c r="P43" s="181" t="s">
        <v>349</v>
      </c>
      <c r="Q43" s="181" t="s">
        <v>334</v>
      </c>
      <c r="R43" s="130"/>
      <c r="S43" s="130"/>
      <c r="T43" s="130"/>
      <c r="U43" s="130"/>
      <c r="V43" s="130"/>
      <c r="W43" s="130"/>
      <c r="X43" s="130"/>
      <c r="Y43" s="130"/>
      <c r="Z43" s="130"/>
      <c r="AA43" s="130"/>
      <c r="AB43" s="130"/>
      <c r="AC43" s="130"/>
      <c r="AD43" s="130"/>
      <c r="AE43" s="130"/>
      <c r="AF43" s="130"/>
    </row>
    <row r="44">
      <c r="O44" s="180" t="s">
        <v>350</v>
      </c>
      <c r="P44" s="181" t="s">
        <v>351</v>
      </c>
      <c r="Q44" s="181" t="s">
        <v>352</v>
      </c>
    </row>
    <row r="45">
      <c r="A45" s="22" t="s">
        <v>76</v>
      </c>
      <c r="B45" s="10" t="s">
        <v>77</v>
      </c>
      <c r="C45" s="63">
        <v>1038.0</v>
      </c>
      <c r="D45" s="63">
        <v>1394.0</v>
      </c>
      <c r="E45" s="63">
        <v>1785.0</v>
      </c>
      <c r="F45" s="63">
        <v>1863.0</v>
      </c>
      <c r="G45" s="63">
        <v>1364.0</v>
      </c>
      <c r="H45" s="63">
        <v>1249.0</v>
      </c>
      <c r="I45" s="63">
        <v>1511.0</v>
      </c>
      <c r="J45" s="63">
        <v>1478.0</v>
      </c>
      <c r="K45" s="63">
        <v>1423.0</v>
      </c>
      <c r="L45" s="3" t="s">
        <v>54</v>
      </c>
      <c r="O45" s="180" t="s">
        <v>353</v>
      </c>
      <c r="P45" s="181" t="s">
        <v>354</v>
      </c>
      <c r="Q45" s="181" t="s">
        <v>352</v>
      </c>
    </row>
    <row r="46">
      <c r="A46" s="132"/>
      <c r="B46" s="132"/>
      <c r="C46" s="133"/>
      <c r="D46" s="133"/>
      <c r="E46" s="133"/>
      <c r="F46" s="133"/>
      <c r="G46" s="133"/>
      <c r="H46" s="133"/>
      <c r="I46" s="133"/>
      <c r="J46" s="133"/>
      <c r="K46" s="134"/>
      <c r="L46" s="134"/>
      <c r="M46" s="134"/>
      <c r="N46" s="134"/>
      <c r="O46" s="180" t="s">
        <v>355</v>
      </c>
      <c r="P46" s="181" t="s">
        <v>356</v>
      </c>
      <c r="Q46" s="181" t="s">
        <v>357</v>
      </c>
      <c r="R46" s="134"/>
      <c r="S46" s="134"/>
      <c r="T46" s="134"/>
      <c r="U46" s="134"/>
      <c r="V46" s="134"/>
      <c r="W46" s="134"/>
      <c r="X46" s="134"/>
      <c r="Y46" s="134"/>
      <c r="Z46" s="134"/>
      <c r="AA46" s="134"/>
      <c r="AB46" s="134"/>
      <c r="AC46" s="134"/>
      <c r="AD46" s="134"/>
      <c r="AE46" s="134"/>
      <c r="AF46" s="134"/>
    </row>
    <row r="47">
      <c r="A47" s="194" t="s">
        <v>78</v>
      </c>
      <c r="B47" s="195" t="s">
        <v>79</v>
      </c>
      <c r="C47" s="64">
        <v>99.3</v>
      </c>
      <c r="D47" s="64">
        <v>110.5</v>
      </c>
      <c r="E47" s="64">
        <v>104.3</v>
      </c>
      <c r="F47" s="64">
        <v>99.9</v>
      </c>
      <c r="G47" s="64">
        <v>98.2</v>
      </c>
      <c r="H47" s="64">
        <v>97.1</v>
      </c>
      <c r="I47" s="64">
        <v>94.8</v>
      </c>
      <c r="J47" s="64">
        <v>96.8</v>
      </c>
      <c r="K47" s="64">
        <v>103.5</v>
      </c>
    </row>
    <row r="48">
      <c r="A48" s="194" t="s">
        <v>80</v>
      </c>
      <c r="B48" s="194" t="s">
        <v>79</v>
      </c>
      <c r="C48" s="64">
        <v>97.2</v>
      </c>
      <c r="D48" s="64">
        <v>128.1</v>
      </c>
      <c r="E48" s="64">
        <v>110.3</v>
      </c>
      <c r="F48" s="64">
        <v>101.0</v>
      </c>
      <c r="G48" s="64">
        <v>100.0</v>
      </c>
      <c r="H48" s="64">
        <v>90.0</v>
      </c>
      <c r="I48" s="64">
        <v>90.0</v>
      </c>
      <c r="J48" s="64">
        <v>90.0</v>
      </c>
      <c r="K48" s="64">
        <v>101.5</v>
      </c>
    </row>
    <row r="49">
      <c r="A49" s="194" t="s">
        <v>81</v>
      </c>
      <c r="B49" s="194" t="s">
        <v>79</v>
      </c>
      <c r="C49" s="64">
        <v>105.5</v>
      </c>
      <c r="D49" s="64">
        <v>106.0</v>
      </c>
      <c r="E49" s="64">
        <v>106.8</v>
      </c>
      <c r="F49" s="64">
        <v>108.3</v>
      </c>
      <c r="G49" s="64">
        <v>99.6</v>
      </c>
      <c r="H49" s="64">
        <v>90.2</v>
      </c>
      <c r="I49" s="64">
        <v>90.2</v>
      </c>
      <c r="J49" s="64">
        <v>90.1</v>
      </c>
      <c r="K49" s="64">
        <v>103.0</v>
      </c>
      <c r="L49" s="3" t="s">
        <v>381</v>
      </c>
    </row>
    <row r="50">
      <c r="A50" s="3" t="s">
        <v>259</v>
      </c>
      <c r="B50" s="3" t="s">
        <v>260</v>
      </c>
      <c r="C50" s="196">
        <v>22.0</v>
      </c>
      <c r="D50" s="196">
        <v>17.0</v>
      </c>
      <c r="E50" s="196">
        <v>36.0</v>
      </c>
      <c r="F50" s="196">
        <v>47.0</v>
      </c>
      <c r="G50" s="196">
        <v>43.0</v>
      </c>
      <c r="H50" s="196">
        <v>55.0</v>
      </c>
      <c r="I50" s="196">
        <v>23.0</v>
      </c>
      <c r="J50" s="196">
        <v>38.0</v>
      </c>
      <c r="K50" s="196">
        <v>21.0</v>
      </c>
    </row>
    <row r="53">
      <c r="A53" s="3" t="s">
        <v>137</v>
      </c>
      <c r="B53" s="11"/>
      <c r="C53" s="63">
        <v>74.4</v>
      </c>
      <c r="D53" s="63">
        <v>73.6</v>
      </c>
      <c r="E53" s="63">
        <v>72.8</v>
      </c>
      <c r="F53" s="63">
        <v>72.8</v>
      </c>
      <c r="G53" s="63">
        <v>86.2</v>
      </c>
      <c r="H53" s="63">
        <v>86.0</v>
      </c>
      <c r="I53" s="63">
        <v>89.2</v>
      </c>
      <c r="J53" s="63">
        <v>88.1</v>
      </c>
      <c r="K53" s="63">
        <v>95.4</v>
      </c>
      <c r="L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65</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65</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70</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70</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67.5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67.5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row>
    <row r="68">
      <c r="A68" s="66"/>
      <c r="B68" s="18" t="s">
        <v>167</v>
      </c>
      <c r="C68" s="18" t="s">
        <v>168</v>
      </c>
      <c r="D68" s="67" t="s">
        <v>169</v>
      </c>
      <c r="E68" s="18" t="s">
        <v>170</v>
      </c>
      <c r="F68" s="18" t="s">
        <v>171</v>
      </c>
      <c r="G68" s="67" t="s">
        <v>172</v>
      </c>
      <c r="H68" s="18" t="s">
        <v>173</v>
      </c>
      <c r="I68" s="18" t="s">
        <v>174</v>
      </c>
      <c r="J68" s="67" t="s">
        <v>175</v>
      </c>
      <c r="K68" s="18" t="s">
        <v>176</v>
      </c>
      <c r="L68" s="18" t="s">
        <v>177</v>
      </c>
      <c r="M68" s="67" t="s">
        <v>178</v>
      </c>
      <c r="N68" s="66"/>
      <c r="O68" s="66"/>
    </row>
    <row r="69">
      <c r="A69" s="68">
        <v>2021.0</v>
      </c>
      <c r="B69" s="69">
        <v>0.67</v>
      </c>
      <c r="C69" s="69">
        <v>0.78</v>
      </c>
      <c r="D69" s="69">
        <v>0.66</v>
      </c>
      <c r="E69" s="69">
        <v>0.58</v>
      </c>
      <c r="F69" s="69">
        <v>0.74</v>
      </c>
      <c r="G69" s="69">
        <v>0.69</v>
      </c>
      <c r="H69" s="98">
        <v>0.31</v>
      </c>
      <c r="I69" s="98">
        <v>0.17</v>
      </c>
      <c r="J69" s="98">
        <v>0.6</v>
      </c>
      <c r="K69" s="170">
        <v>1.11</v>
      </c>
      <c r="L69" s="170">
        <v>0.96</v>
      </c>
      <c r="M69" s="183">
        <v>0.82</v>
      </c>
      <c r="N69" s="73"/>
      <c r="O69" s="74"/>
    </row>
    <row r="70">
      <c r="A70" s="75" t="s">
        <v>179</v>
      </c>
      <c r="B70" s="91">
        <v>5.19</v>
      </c>
      <c r="C70" s="76">
        <v>5.67</v>
      </c>
      <c r="D70" s="76">
        <v>5.79</v>
      </c>
      <c r="E70" s="76">
        <v>5.53</v>
      </c>
      <c r="F70" s="76">
        <v>6.02</v>
      </c>
      <c r="G70" s="76">
        <v>6.5</v>
      </c>
      <c r="H70" s="77">
        <v>6.46</v>
      </c>
      <c r="I70" s="77">
        <v>6.68</v>
      </c>
      <c r="J70" s="135">
        <v>7.4</v>
      </c>
      <c r="K70" s="135">
        <v>8.13</v>
      </c>
      <c r="L70" s="77">
        <v>8.4</v>
      </c>
      <c r="M70" s="184">
        <v>8.39</v>
      </c>
      <c r="N70" s="79"/>
      <c r="O70" s="80">
        <v>2021.0</v>
      </c>
    </row>
    <row r="71">
      <c r="A71" s="66"/>
      <c r="B71" s="66"/>
      <c r="C71" s="66"/>
      <c r="D71" s="66"/>
      <c r="E71" s="66"/>
      <c r="F71" s="66"/>
      <c r="G71" s="66"/>
      <c r="H71" s="66"/>
      <c r="I71" s="66"/>
      <c r="J71" s="66"/>
      <c r="K71" s="66"/>
      <c r="L71" s="66"/>
      <c r="M71" s="66"/>
      <c r="N71" s="81"/>
    </row>
    <row r="72">
      <c r="A72" s="18" t="s">
        <v>181</v>
      </c>
      <c r="B72" s="18">
        <v>0.6</v>
      </c>
      <c r="C72" s="18">
        <v>0.4</v>
      </c>
      <c r="D72" s="18">
        <v>0.5</v>
      </c>
      <c r="E72" s="18">
        <v>0.4</v>
      </c>
      <c r="F72" s="18">
        <v>0.4</v>
      </c>
      <c r="G72" s="18">
        <v>0.4</v>
      </c>
      <c r="H72" s="18">
        <v>0.5</v>
      </c>
      <c r="I72" s="18">
        <v>0.0</v>
      </c>
      <c r="J72" s="18">
        <v>0.2</v>
      </c>
      <c r="K72" s="18">
        <v>0.4</v>
      </c>
      <c r="L72" s="18">
        <v>0.5</v>
      </c>
      <c r="M72" s="18">
        <v>0.5</v>
      </c>
      <c r="N72" s="66"/>
      <c r="O72" s="66"/>
    </row>
    <row r="73">
      <c r="A73" s="18" t="s">
        <v>182</v>
      </c>
      <c r="B73" s="18">
        <v>0.5</v>
      </c>
      <c r="C73" s="18">
        <v>0.3</v>
      </c>
      <c r="D73" s="18">
        <v>0.3</v>
      </c>
      <c r="E73" s="18">
        <v>0.4</v>
      </c>
      <c r="F73" s="18">
        <v>0.4</v>
      </c>
      <c r="G73" s="18">
        <v>0.4</v>
      </c>
      <c r="H73" s="18">
        <v>0.2</v>
      </c>
      <c r="I73" s="82">
        <v>-0.1</v>
      </c>
      <c r="J73" s="82">
        <v>-0.1</v>
      </c>
      <c r="K73" s="18">
        <v>0.3</v>
      </c>
      <c r="L73" s="18">
        <v>0.4</v>
      </c>
      <c r="M73" s="18">
        <v>0.6</v>
      </c>
      <c r="N73" s="66"/>
      <c r="O73" s="66"/>
    </row>
    <row r="74">
      <c r="A74" s="66"/>
      <c r="B74" s="18" t="s">
        <v>183</v>
      </c>
      <c r="C74" s="18" t="s">
        <v>184</v>
      </c>
      <c r="D74" s="18" t="s">
        <v>169</v>
      </c>
      <c r="E74" s="18" t="s">
        <v>185</v>
      </c>
      <c r="F74" s="18" t="s">
        <v>186</v>
      </c>
      <c r="G74" s="18" t="s">
        <v>172</v>
      </c>
      <c r="H74" s="18" t="s">
        <v>187</v>
      </c>
      <c r="I74" s="18" t="s">
        <v>188</v>
      </c>
      <c r="J74" s="18" t="s">
        <v>175</v>
      </c>
      <c r="K74" s="18" t="s">
        <v>189</v>
      </c>
      <c r="L74" s="18" t="s">
        <v>190</v>
      </c>
      <c r="M74" s="18" t="s">
        <v>178</v>
      </c>
      <c r="N74" s="66"/>
      <c r="O74" s="66"/>
    </row>
    <row r="75">
      <c r="A75" s="66"/>
      <c r="B75" s="199">
        <v>0.0099</v>
      </c>
      <c r="C75" s="199">
        <v>0.0117</v>
      </c>
      <c r="D75" s="199">
        <v>0.0761</v>
      </c>
      <c r="E75" s="199">
        <v>0.0156</v>
      </c>
      <c r="F75" s="199">
        <v>0.0012</v>
      </c>
      <c r="G75" s="199">
        <v>-0.0035</v>
      </c>
      <c r="H75" s="199">
        <v>0.007</v>
      </c>
      <c r="I75" s="200">
        <f t="shared" ref="I75:M75" si="13"> (12% - SUM( $B$75:$H$75 ) ) * I73 / SUM( $I$73:$M$73 )</f>
        <v>-0.0001818181818</v>
      </c>
      <c r="J75" s="200">
        <f t="shared" si="13"/>
        <v>-0.0001818181818</v>
      </c>
      <c r="K75" s="200">
        <f t="shared" si="13"/>
        <v>0.0005454545455</v>
      </c>
      <c r="L75" s="200">
        <f t="shared" si="13"/>
        <v>0.0007272727273</v>
      </c>
      <c r="M75" s="200">
        <f t="shared" si="13"/>
        <v>0.001090909091</v>
      </c>
      <c r="N75" s="66"/>
      <c r="O75" s="201">
        <f> SUM( B75:M75 )</f>
        <v>0.12</v>
      </c>
    </row>
    <row r="76">
      <c r="A76" s="66"/>
      <c r="B76" s="66"/>
      <c r="C76" s="66"/>
      <c r="D76" s="66"/>
      <c r="E76" s="66"/>
      <c r="F76" s="66"/>
      <c r="G76" s="66"/>
      <c r="H76" s="66"/>
      <c r="I76" s="66"/>
      <c r="J76" s="66"/>
      <c r="K76" s="66"/>
      <c r="L76" s="66"/>
      <c r="M76" s="66"/>
      <c r="N76" s="66"/>
      <c r="O76" s="66"/>
    </row>
    <row r="77">
      <c r="A77" s="66"/>
      <c r="B77" s="18" t="s">
        <v>167</v>
      </c>
      <c r="C77" s="18" t="s">
        <v>168</v>
      </c>
      <c r="D77" s="83" t="s">
        <v>169</v>
      </c>
      <c r="E77" s="18" t="s">
        <v>170</v>
      </c>
      <c r="F77" s="18" t="s">
        <v>171</v>
      </c>
      <c r="G77" s="83" t="s">
        <v>172</v>
      </c>
      <c r="H77" s="18" t="s">
        <v>173</v>
      </c>
      <c r="I77" s="18" t="s">
        <v>174</v>
      </c>
      <c r="J77" s="83" t="s">
        <v>175</v>
      </c>
      <c r="K77" s="18" t="s">
        <v>176</v>
      </c>
      <c r="L77" s="18" t="s">
        <v>177</v>
      </c>
      <c r="M77" s="83" t="s">
        <v>178</v>
      </c>
      <c r="N77" s="66"/>
      <c r="O77" s="66"/>
    </row>
    <row r="78">
      <c r="A78" s="68">
        <v>2022.0</v>
      </c>
      <c r="B78" s="70">
        <v>1.0</v>
      </c>
      <c r="C78" s="70">
        <v>0.5</v>
      </c>
      <c r="D78" s="70">
        <v>0.5</v>
      </c>
      <c r="E78" s="70">
        <v>0.5</v>
      </c>
      <c r="F78" s="70">
        <v>0.4</v>
      </c>
      <c r="G78" s="70">
        <v>0.5</v>
      </c>
      <c r="H78" s="71">
        <v>0.4</v>
      </c>
      <c r="I78" s="71">
        <v>0.0</v>
      </c>
      <c r="J78" s="71">
        <v>0.2</v>
      </c>
      <c r="K78" s="71">
        <v>0.4</v>
      </c>
      <c r="L78" s="71">
        <v>0.5</v>
      </c>
      <c r="M78" s="72">
        <v>0.6</v>
      </c>
      <c r="N78" s="66"/>
      <c r="O78" s="66"/>
    </row>
    <row r="79">
      <c r="A79" s="75" t="s">
        <v>179</v>
      </c>
      <c r="B79" s="91">
        <v>8.75</v>
      </c>
      <c r="C79" s="76">
        <v>8.45</v>
      </c>
      <c r="D79" s="76">
        <v>8.28</v>
      </c>
      <c r="E79" s="76">
        <v>8.19</v>
      </c>
      <c r="F79" s="76">
        <v>7.82</v>
      </c>
      <c r="G79" s="76">
        <v>7.62</v>
      </c>
      <c r="H79" s="77">
        <v>7.72</v>
      </c>
      <c r="I79" s="77">
        <v>7.53</v>
      </c>
      <c r="J79" s="77">
        <v>7.11</v>
      </c>
      <c r="K79" s="77">
        <v>6.35</v>
      </c>
      <c r="L79" s="77">
        <v>5.87</v>
      </c>
      <c r="M79" s="78">
        <v>5.64</v>
      </c>
      <c r="N79" s="79"/>
      <c r="O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t="s">
        <v>383</v>
      </c>
    </row>
    <row r="83">
      <c r="A83" s="3" t="s">
        <v>384</v>
      </c>
      <c r="C83" s="187">
        <v>74.4</v>
      </c>
      <c r="D83" s="187">
        <v>74.2</v>
      </c>
      <c r="E83" s="187">
        <v>73.5</v>
      </c>
      <c r="F83" s="187">
        <v>72.7</v>
      </c>
      <c r="G83" s="187">
        <v>87.8</v>
      </c>
      <c r="H83" s="187">
        <v>85.4</v>
      </c>
      <c r="I83" s="187">
        <v>82.7</v>
      </c>
      <c r="J83" s="187">
        <v>80.5</v>
      </c>
      <c r="K83" s="188" t="s">
        <v>385</v>
      </c>
    </row>
  </sheetData>
  <mergeCells count="1">
    <mergeCell ref="N71:O7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1" width="14.5"/>
    <col customWidth="1" min="12" max="12" width="14.75"/>
  </cols>
  <sheetData>
    <row r="1">
      <c r="A1" s="92">
        <v>44876.0</v>
      </c>
      <c r="B1" s="2"/>
      <c r="C1" s="61" t="s">
        <v>0</v>
      </c>
      <c r="D1" s="61" t="s">
        <v>1</v>
      </c>
      <c r="E1" s="61" t="s">
        <v>2</v>
      </c>
      <c r="F1" s="61" t="s">
        <v>3</v>
      </c>
      <c r="G1" s="61" t="s">
        <v>4</v>
      </c>
      <c r="H1" s="61" t="s">
        <v>5</v>
      </c>
      <c r="I1" s="61" t="s">
        <v>6</v>
      </c>
      <c r="J1" s="61" t="s">
        <v>7</v>
      </c>
      <c r="K1" s="61">
        <v>2023.0</v>
      </c>
      <c r="L1" s="2" t="s">
        <v>8</v>
      </c>
      <c r="M1" s="2" t="s">
        <v>9</v>
      </c>
      <c r="N1" s="2" t="s">
        <v>10</v>
      </c>
      <c r="O1" s="2" t="s">
        <v>11</v>
      </c>
      <c r="P1" s="2" t="s">
        <v>12</v>
      </c>
      <c r="Q1" s="2" t="s">
        <v>13</v>
      </c>
      <c r="R1" s="2" t="s">
        <v>14</v>
      </c>
    </row>
    <row r="2">
      <c r="A2" s="191"/>
      <c r="B2" s="54"/>
      <c r="C2" s="4"/>
      <c r="D2" s="4"/>
      <c r="E2" s="54"/>
      <c r="F2" s="54"/>
      <c r="G2" s="54"/>
      <c r="H2" s="54"/>
      <c r="J2" s="5"/>
      <c r="M2" s="3"/>
      <c r="O2" s="7"/>
      <c r="P2" s="52"/>
      <c r="Q2" s="3"/>
      <c r="R2" s="52"/>
    </row>
    <row r="3">
      <c r="A3" s="3" t="s">
        <v>15</v>
      </c>
      <c r="B3" s="4"/>
      <c r="C3" s="4" t="s">
        <v>16</v>
      </c>
      <c r="D3" s="4" t="s">
        <v>16</v>
      </c>
      <c r="E3" s="54" t="s">
        <v>152</v>
      </c>
      <c r="F3" s="54" t="s">
        <v>293</v>
      </c>
      <c r="G3" s="54" t="s">
        <v>18</v>
      </c>
      <c r="H3" s="54" t="s">
        <v>18</v>
      </c>
      <c r="I3" s="24" t="s">
        <v>416</v>
      </c>
      <c r="J3" s="24" t="s">
        <v>397</v>
      </c>
      <c r="K3" s="24">
        <v>70.0</v>
      </c>
      <c r="N3" s="3">
        <v>60.3</v>
      </c>
      <c r="O3" s="7"/>
      <c r="P3" s="52"/>
      <c r="R3" s="52"/>
    </row>
    <row r="4">
      <c r="A4" s="3" t="s">
        <v>24</v>
      </c>
      <c r="B4" s="4"/>
      <c r="C4" s="4" t="s">
        <v>25</v>
      </c>
      <c r="D4" s="4" t="s">
        <v>25</v>
      </c>
      <c r="E4" s="54" t="s">
        <v>153</v>
      </c>
      <c r="F4" s="54" t="s">
        <v>295</v>
      </c>
      <c r="G4" s="54" t="s">
        <v>153</v>
      </c>
      <c r="H4" s="54" t="s">
        <v>153</v>
      </c>
      <c r="I4" s="24" t="s">
        <v>416</v>
      </c>
      <c r="J4" s="24" t="s">
        <v>397</v>
      </c>
      <c r="K4" s="24">
        <v>70.0</v>
      </c>
      <c r="L4" s="3" t="s">
        <v>412</v>
      </c>
      <c r="N4" s="3">
        <v>61.5</v>
      </c>
      <c r="O4" s="7"/>
      <c r="P4" s="52"/>
      <c r="R4" s="52"/>
    </row>
    <row r="5">
      <c r="A5" s="3" t="s">
        <v>28</v>
      </c>
      <c r="B5" s="4"/>
      <c r="C5" s="4" t="s">
        <v>29</v>
      </c>
      <c r="D5" s="4" t="s">
        <v>139</v>
      </c>
      <c r="E5" s="54" t="s">
        <v>199</v>
      </c>
      <c r="F5" s="54" t="s">
        <v>298</v>
      </c>
      <c r="G5" s="54" t="s">
        <v>391</v>
      </c>
      <c r="H5" s="54" t="s">
        <v>392</v>
      </c>
      <c r="I5" s="24" t="s">
        <v>410</v>
      </c>
      <c r="J5" s="24" t="s">
        <v>411</v>
      </c>
      <c r="K5" s="24">
        <v>80.0</v>
      </c>
      <c r="L5" s="3" t="s">
        <v>418</v>
      </c>
      <c r="P5" s="53"/>
      <c r="R5" s="52"/>
    </row>
    <row r="6" ht="26.25" customHeight="1" collapsed="1">
      <c r="A6" s="3" t="s">
        <v>399</v>
      </c>
      <c r="B6" s="4"/>
      <c r="C6" s="4">
        <v>5.7</v>
      </c>
      <c r="D6" s="54" t="s">
        <v>144</v>
      </c>
      <c r="E6" s="54" t="s">
        <v>201</v>
      </c>
      <c r="F6" s="54" t="s">
        <v>299</v>
      </c>
      <c r="G6" s="54" t="s">
        <v>319</v>
      </c>
      <c r="H6" s="54" t="s">
        <v>304</v>
      </c>
      <c r="I6" s="24" t="s">
        <v>400</v>
      </c>
      <c r="J6" s="24" t="s">
        <v>420</v>
      </c>
      <c r="K6" s="24" t="s">
        <v>421</v>
      </c>
      <c r="O6" s="7"/>
      <c r="P6" s="53"/>
      <c r="R6" s="52"/>
    </row>
    <row r="7" hidden="1" outlineLevel="1">
      <c r="A7" s="3"/>
      <c r="B7" s="4"/>
      <c r="C7" s="4"/>
      <c r="D7" s="54"/>
      <c r="E7" s="111" t="s">
        <v>241</v>
      </c>
      <c r="F7" s="112" t="s">
        <v>236</v>
      </c>
      <c r="G7" s="54" t="s">
        <v>237</v>
      </c>
      <c r="H7" s="54" t="s">
        <v>238</v>
      </c>
      <c r="I7" s="24" t="s">
        <v>239</v>
      </c>
      <c r="J7" s="192"/>
      <c r="K7" s="192"/>
      <c r="O7" s="7"/>
      <c r="P7" s="52"/>
      <c r="R7" s="52"/>
    </row>
    <row r="8">
      <c r="A8" s="3" t="s">
        <v>402</v>
      </c>
      <c r="B8" s="4"/>
      <c r="C8" s="4"/>
      <c r="D8" s="54"/>
      <c r="E8" s="54"/>
      <c r="F8" s="54"/>
      <c r="G8" s="54"/>
      <c r="H8" s="54"/>
      <c r="I8" s="24"/>
      <c r="J8" s="204"/>
      <c r="K8" s="24"/>
      <c r="L8" s="3"/>
      <c r="O8" s="7"/>
      <c r="P8" s="52"/>
      <c r="R8" s="52"/>
    </row>
    <row r="9">
      <c r="A9" s="3" t="s">
        <v>413</v>
      </c>
      <c r="B9" s="4"/>
      <c r="C9" s="4">
        <v>4.5</v>
      </c>
      <c r="D9" s="54">
        <v>5.5</v>
      </c>
      <c r="E9" s="54" t="s">
        <v>194</v>
      </c>
      <c r="F9" s="54">
        <v>8.5</v>
      </c>
      <c r="G9" s="54" t="s">
        <v>387</v>
      </c>
      <c r="H9" s="54" t="s">
        <v>387</v>
      </c>
      <c r="I9" s="204">
        <v>44780.0</v>
      </c>
      <c r="J9" s="24">
        <v>7.5</v>
      </c>
      <c r="K9" s="204">
        <v>44748.0</v>
      </c>
      <c r="L9" s="172" t="s">
        <v>323</v>
      </c>
      <c r="O9" s="7"/>
      <c r="P9" s="52"/>
      <c r="R9" s="52"/>
    </row>
    <row r="10">
      <c r="A10" s="3" t="s">
        <v>405</v>
      </c>
      <c r="E10" s="114"/>
      <c r="F10" s="115"/>
      <c r="G10" s="115"/>
      <c r="H10" s="115"/>
      <c r="I10" s="24" t="s">
        <v>406</v>
      </c>
      <c r="J10" s="24" t="s">
        <v>406</v>
      </c>
      <c r="P10" s="55"/>
      <c r="R10" s="55"/>
    </row>
    <row r="11">
      <c r="E11" s="114" t="s">
        <v>241</v>
      </c>
      <c r="F11" s="115" t="s">
        <v>242</v>
      </c>
      <c r="G11" s="115" t="s">
        <v>242</v>
      </c>
      <c r="H11" s="115" t="s">
        <v>194</v>
      </c>
      <c r="I11" s="115" t="s">
        <v>148</v>
      </c>
      <c r="K11" s="3" t="s">
        <v>415</v>
      </c>
      <c r="P11" s="55"/>
      <c r="R11" s="55"/>
    </row>
    <row r="12">
      <c r="A12" s="3" t="s">
        <v>47</v>
      </c>
      <c r="C12" s="4">
        <v>5.7</v>
      </c>
      <c r="D12" s="4">
        <v>6.5</v>
      </c>
      <c r="E12" s="62">
        <v>7.4</v>
      </c>
      <c r="F12" s="54">
        <v>8.1</v>
      </c>
      <c r="G12" s="54"/>
      <c r="H12" s="62"/>
      <c r="I12" s="62"/>
      <c r="J12" s="62"/>
      <c r="M12" s="19" t="s">
        <v>396</v>
      </c>
    </row>
    <row r="13">
      <c r="A13" s="3" t="s">
        <v>162</v>
      </c>
      <c r="D13" s="111" t="s">
        <v>241</v>
      </c>
      <c r="E13" s="117">
        <v>7.0</v>
      </c>
      <c r="F13" s="112">
        <v>7.3</v>
      </c>
      <c r="G13" s="112"/>
      <c r="H13" s="112"/>
      <c r="I13" s="117"/>
      <c r="J13" s="112"/>
    </row>
    <row r="14">
      <c r="C14" s="10"/>
      <c r="D14" s="10"/>
      <c r="E14" s="10"/>
      <c r="F14" s="10"/>
      <c r="G14" s="10"/>
      <c r="H14" s="10"/>
      <c r="I14" s="10"/>
      <c r="J14" s="10"/>
    </row>
    <row r="15">
      <c r="E15" s="118">
        <v>74.5</v>
      </c>
      <c r="F15" s="118">
        <v>74.2</v>
      </c>
      <c r="G15" s="118">
        <v>76.5</v>
      </c>
      <c r="H15" s="118">
        <v>77.7</v>
      </c>
      <c r="I15" s="118">
        <v>77.7</v>
      </c>
      <c r="J15" s="118">
        <v>76.5</v>
      </c>
      <c r="K15" s="119"/>
      <c r="L15" s="119" t="s">
        <v>305</v>
      </c>
    </row>
    <row r="16">
      <c r="A16" s="3" t="s">
        <v>48</v>
      </c>
      <c r="C16" s="164">
        <v>74.4</v>
      </c>
      <c r="D16" s="164">
        <v>74.2</v>
      </c>
      <c r="E16" s="164">
        <v>73.5</v>
      </c>
      <c r="F16" s="118">
        <v>72.4</v>
      </c>
      <c r="G16" s="118">
        <v>71.4</v>
      </c>
      <c r="H16" s="118">
        <v>76.4</v>
      </c>
      <c r="I16" s="118">
        <v>78.1</v>
      </c>
      <c r="J16" s="118">
        <v>75.9</v>
      </c>
      <c r="K16" s="119"/>
      <c r="L16" s="119" t="s">
        <v>325</v>
      </c>
    </row>
    <row r="17">
      <c r="A17" s="3" t="s">
        <v>15</v>
      </c>
      <c r="B17" s="11"/>
      <c r="C17" s="63">
        <v>74.4</v>
      </c>
      <c r="D17" s="63">
        <v>74.2</v>
      </c>
      <c r="E17" s="63">
        <v>73.5</v>
      </c>
      <c r="F17" s="93">
        <v>73.65</v>
      </c>
      <c r="G17" s="93">
        <v>87.34</v>
      </c>
      <c r="H17" s="93">
        <v>66.51</v>
      </c>
      <c r="I17" s="63">
        <v>88.0</v>
      </c>
      <c r="J17" s="63">
        <v>86.4</v>
      </c>
      <c r="K17" s="63">
        <v>89.5</v>
      </c>
      <c r="L17" s="6" t="s">
        <v>407</v>
      </c>
    </row>
    <row r="18">
      <c r="A18" s="3"/>
      <c r="B18" s="12"/>
      <c r="C18" s="12"/>
      <c r="D18" s="13"/>
      <c r="E18" s="13"/>
      <c r="F18" s="13"/>
      <c r="G18" s="13"/>
      <c r="H18" s="13"/>
      <c r="I18" s="13"/>
      <c r="J18" s="13"/>
      <c r="K18" s="13"/>
      <c r="L18" s="13"/>
      <c r="M18" s="13"/>
    </row>
    <row r="19">
      <c r="A19" s="119" t="s">
        <v>50</v>
      </c>
      <c r="B19" s="119"/>
      <c r="C19" s="119"/>
      <c r="D19" s="173"/>
      <c r="E19" s="173"/>
      <c r="F19" s="174">
        <v>8.2</v>
      </c>
      <c r="G19" s="175">
        <v>7.0</v>
      </c>
      <c r="H19" s="174">
        <v>44202.0</v>
      </c>
      <c r="I19" s="174">
        <v>44352.0</v>
      </c>
      <c r="J19" s="175">
        <v>4.9</v>
      </c>
      <c r="K19" s="119"/>
      <c r="L19" s="119" t="s">
        <v>327</v>
      </c>
      <c r="M19" s="173"/>
      <c r="N19" s="173"/>
      <c r="O19" s="173"/>
      <c r="P19" s="173"/>
      <c r="Q19" s="173"/>
      <c r="R19" s="173"/>
      <c r="S19" s="173"/>
      <c r="T19" s="173"/>
      <c r="U19" s="173"/>
      <c r="V19" s="173"/>
      <c r="W19" s="173"/>
      <c r="X19" s="173"/>
      <c r="Y19" s="173"/>
      <c r="Z19" s="173"/>
      <c r="AA19" s="173"/>
      <c r="AB19" s="173"/>
      <c r="AC19" s="173"/>
      <c r="AD19" s="173"/>
      <c r="AE19" s="173"/>
      <c r="AF19" s="173"/>
    </row>
    <row r="20">
      <c r="A20" s="3" t="s">
        <v>50</v>
      </c>
      <c r="B20" s="12"/>
      <c r="C20" s="12"/>
      <c r="D20" s="13"/>
      <c r="E20" s="13"/>
      <c r="F20" s="14">
        <v>44659.0</v>
      </c>
      <c r="G20" s="14">
        <v>44780.0</v>
      </c>
      <c r="H20" s="14">
        <v>44718.0</v>
      </c>
      <c r="I20" s="14">
        <v>44598.0</v>
      </c>
      <c r="J20" s="14">
        <v>44625.0</v>
      </c>
      <c r="K20" s="3"/>
      <c r="L20" s="3" t="s">
        <v>328</v>
      </c>
    </row>
    <row r="21">
      <c r="B21" s="12"/>
      <c r="C21" s="12"/>
      <c r="D21" s="13"/>
      <c r="E21" s="13"/>
      <c r="F21" s="13"/>
      <c r="G21" s="176">
        <v>44659.0</v>
      </c>
      <c r="H21" s="176">
        <v>44749.0</v>
      </c>
      <c r="I21" s="176">
        <v>44779.0</v>
      </c>
      <c r="J21" s="176">
        <v>44625.0</v>
      </c>
      <c r="K21" s="3"/>
      <c r="L21" s="3" t="s">
        <v>329</v>
      </c>
      <c r="O21" s="3"/>
    </row>
    <row r="22" collapsed="1">
      <c r="B22" s="12"/>
      <c r="C22" s="12"/>
      <c r="D22" s="13"/>
      <c r="E22" s="13"/>
      <c r="F22" s="13"/>
      <c r="G22" s="13"/>
      <c r="H22" s="62"/>
      <c r="I22" s="62"/>
      <c r="J22" s="4"/>
      <c r="O22" s="3" t="s">
        <v>330</v>
      </c>
    </row>
    <row r="23" hidden="1" outlineLevel="1">
      <c r="B23" s="15" t="s">
        <v>52</v>
      </c>
      <c r="C23" s="16"/>
      <c r="D23" s="16"/>
      <c r="E23" s="16"/>
      <c r="F23" s="17" t="s">
        <v>53</v>
      </c>
      <c r="G23" s="18"/>
      <c r="H23" s="18"/>
      <c r="I23" s="18"/>
      <c r="J23" s="18"/>
      <c r="K23" s="3"/>
      <c r="L23" s="3"/>
    </row>
    <row r="24" hidden="1" outlineLevel="1">
      <c r="A24" s="3"/>
      <c r="B24" s="16" t="s">
        <v>28</v>
      </c>
      <c r="C24" s="16"/>
      <c r="D24" s="16"/>
      <c r="E24" s="16"/>
      <c r="F24" s="20" t="s">
        <v>207</v>
      </c>
      <c r="G24" s="20">
        <v>0.085534</v>
      </c>
      <c r="H24" s="20">
        <v>-0.09657</v>
      </c>
      <c r="I24" s="20">
        <v>-0.074</v>
      </c>
      <c r="J24" s="18"/>
      <c r="K24" s="31"/>
      <c r="L24" s="31" t="s">
        <v>164</v>
      </c>
    </row>
    <row r="25" hidden="1" outlineLevel="1">
      <c r="A25" s="3"/>
      <c r="B25" s="16" t="s">
        <v>55</v>
      </c>
      <c r="C25" s="16"/>
      <c r="D25" s="16"/>
      <c r="E25" s="16"/>
      <c r="F25" s="20" t="s">
        <v>208</v>
      </c>
      <c r="G25" s="20">
        <v>0.0891</v>
      </c>
      <c r="H25" s="20">
        <v>0.015935</v>
      </c>
      <c r="I25" s="20">
        <v>-0.00482</v>
      </c>
      <c r="J25" s="86">
        <v>-0.022</v>
      </c>
      <c r="K25" s="3"/>
      <c r="L25" s="3" t="s">
        <v>56</v>
      </c>
    </row>
    <row r="26" hidden="1" outlineLevel="1">
      <c r="A26" s="3"/>
      <c r="B26" s="16" t="s">
        <v>57</v>
      </c>
      <c r="C26" s="16"/>
      <c r="D26" s="16"/>
      <c r="E26" s="16"/>
      <c r="F26" s="57" t="s">
        <v>209</v>
      </c>
      <c r="G26" s="20">
        <v>0.166436</v>
      </c>
      <c r="H26" s="20">
        <v>-0.21198</v>
      </c>
      <c r="I26" s="20">
        <v>-0.40366</v>
      </c>
      <c r="J26" s="88">
        <v>-0.267</v>
      </c>
      <c r="K26" s="3"/>
      <c r="L26" s="3" t="s">
        <v>56</v>
      </c>
    </row>
    <row r="27" hidden="1" outlineLevel="1">
      <c r="A27" s="3"/>
      <c r="B27" s="16" t="s">
        <v>58</v>
      </c>
      <c r="C27" s="16"/>
      <c r="D27" s="16"/>
      <c r="E27" s="16"/>
      <c r="F27" s="20" t="s">
        <v>210</v>
      </c>
      <c r="G27" s="20">
        <v>0.09644</v>
      </c>
      <c r="H27" s="20">
        <v>-0.01752</v>
      </c>
      <c r="I27" s="20">
        <v>0.090012</v>
      </c>
      <c r="J27" s="88">
        <v>-0.051</v>
      </c>
      <c r="K27" s="3"/>
      <c r="L27" s="3" t="s">
        <v>56</v>
      </c>
    </row>
    <row r="28" hidden="1" outlineLevel="1">
      <c r="A28" s="3"/>
      <c r="B28" s="16" t="s">
        <v>60</v>
      </c>
      <c r="C28" s="16"/>
      <c r="D28" s="16"/>
      <c r="E28" s="16"/>
      <c r="F28" s="20" t="s">
        <v>211</v>
      </c>
      <c r="G28" s="20">
        <v>0.136107</v>
      </c>
      <c r="H28" s="20">
        <v>0.038548</v>
      </c>
      <c r="I28" s="20">
        <v>-0.09601</v>
      </c>
      <c r="J28" s="88">
        <v>-0.099</v>
      </c>
      <c r="K28" s="3"/>
      <c r="L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t="s">
        <v>63</v>
      </c>
    </row>
    <row r="30" hidden="1" outlineLevel="1">
      <c r="A30" s="3"/>
      <c r="B30" s="16" t="s">
        <v>64</v>
      </c>
      <c r="C30" s="16"/>
      <c r="D30" s="16"/>
      <c r="E30" s="16"/>
      <c r="F30" s="95">
        <v>0.09</v>
      </c>
      <c r="G30" s="20">
        <v>0.08</v>
      </c>
      <c r="H30" s="20">
        <v>0.07</v>
      </c>
      <c r="I30" s="20">
        <v>0.07</v>
      </c>
      <c r="J30" s="86">
        <v>0.07</v>
      </c>
      <c r="K30" s="3"/>
      <c r="L30" s="3" t="s">
        <v>65</v>
      </c>
    </row>
    <row r="31" hidden="1" outlineLevel="1">
      <c r="A31" s="3"/>
      <c r="B31" s="16" t="s">
        <v>66</v>
      </c>
      <c r="C31" s="16"/>
      <c r="D31" s="16"/>
      <c r="E31" s="16"/>
      <c r="F31" s="21">
        <v>0.042</v>
      </c>
      <c r="G31" s="21">
        <v>0.042</v>
      </c>
      <c r="H31" s="21">
        <v>0.042</v>
      </c>
      <c r="I31" s="21">
        <v>0.042</v>
      </c>
      <c r="J31" s="88">
        <v>0.042</v>
      </c>
      <c r="K31" s="3"/>
      <c r="L31" s="3" t="s">
        <v>67</v>
      </c>
    </row>
    <row r="32" hidden="1" outlineLevel="1">
      <c r="A32" s="3"/>
      <c r="B32" s="16" t="s">
        <v>68</v>
      </c>
      <c r="C32" s="16"/>
      <c r="D32" s="16"/>
      <c r="E32" s="16"/>
      <c r="F32" s="21">
        <v>0.024</v>
      </c>
      <c r="G32" s="21">
        <v>0.024</v>
      </c>
      <c r="H32" s="21">
        <v>0.024</v>
      </c>
      <c r="I32" s="21">
        <v>0.024</v>
      </c>
      <c r="J32" s="88">
        <v>0.024</v>
      </c>
      <c r="K32" s="3"/>
      <c r="L32" s="3" t="s">
        <v>67</v>
      </c>
    </row>
    <row r="33">
      <c r="F33" s="3" t="s">
        <v>15</v>
      </c>
      <c r="G33" s="177">
        <v>85.6</v>
      </c>
      <c r="H33" s="177">
        <v>66.5</v>
      </c>
      <c r="I33" s="203">
        <v>63.0</v>
      </c>
      <c r="J33" s="203">
        <v>65.0</v>
      </c>
      <c r="L33" s="6" t="s">
        <v>408</v>
      </c>
      <c r="O33" s="178" t="s">
        <v>331</v>
      </c>
      <c r="P33" s="179" t="s">
        <v>81</v>
      </c>
      <c r="Q33" s="179" t="s">
        <v>114</v>
      </c>
    </row>
    <row r="34">
      <c r="A34" s="31"/>
      <c r="B34" s="3"/>
      <c r="C34" s="3"/>
      <c r="D34" s="3"/>
      <c r="F34" s="3" t="s">
        <v>15</v>
      </c>
      <c r="G34" s="177">
        <v>85.6</v>
      </c>
      <c r="H34" s="177">
        <v>66.5</v>
      </c>
      <c r="I34" s="198">
        <v>68.3</v>
      </c>
      <c r="J34" s="198">
        <v>76.7</v>
      </c>
      <c r="K34" s="3"/>
      <c r="L34" s="6" t="s">
        <v>409</v>
      </c>
      <c r="M34" s="3"/>
      <c r="N34" s="3"/>
      <c r="O34" s="180"/>
      <c r="P34" s="181"/>
      <c r="Q34" s="181"/>
    </row>
    <row r="35">
      <c r="A35" s="205" t="s">
        <v>422</v>
      </c>
      <c r="B35" s="3"/>
      <c r="C35" s="3"/>
      <c r="D35" s="3"/>
      <c r="F35" s="4"/>
      <c r="G35" s="4"/>
      <c r="H35" s="4"/>
      <c r="I35" s="4"/>
      <c r="J35" s="4"/>
      <c r="K35" s="3"/>
      <c r="L35" s="3"/>
      <c r="M35" s="3"/>
      <c r="N35" s="3"/>
      <c r="O35" s="180" t="s">
        <v>332</v>
      </c>
      <c r="P35" s="181" t="s">
        <v>333</v>
      </c>
      <c r="Q35" s="181" t="s">
        <v>334</v>
      </c>
    </row>
    <row r="36">
      <c r="A36" s="3" t="s">
        <v>28</v>
      </c>
      <c r="B36" s="10" t="s">
        <v>69</v>
      </c>
      <c r="C36" s="167">
        <v>61.0</v>
      </c>
      <c r="D36" s="167">
        <v>69.0</v>
      </c>
      <c r="E36" s="167">
        <v>73.0</v>
      </c>
      <c r="F36" s="167">
        <v>79.0</v>
      </c>
      <c r="G36" s="193">
        <v>88.0</v>
      </c>
      <c r="H36" s="193">
        <v>81.0</v>
      </c>
      <c r="I36" s="193">
        <v>60.0</v>
      </c>
      <c r="J36" s="193">
        <v>62.5</v>
      </c>
      <c r="K36" s="193">
        <v>70.0</v>
      </c>
      <c r="L36" s="122" t="s">
        <v>247</v>
      </c>
      <c r="O36" s="180" t="s">
        <v>335</v>
      </c>
      <c r="P36" s="181" t="s">
        <v>336</v>
      </c>
      <c r="Q36" s="181" t="s">
        <v>337</v>
      </c>
    </row>
    <row r="37">
      <c r="A37" s="22" t="s">
        <v>74</v>
      </c>
      <c r="B37" s="10" t="s">
        <v>75</v>
      </c>
      <c r="C37" s="193">
        <v>169.0</v>
      </c>
      <c r="D37" s="193">
        <v>202.0</v>
      </c>
      <c r="E37" s="193">
        <v>278.0</v>
      </c>
      <c r="F37" s="193">
        <v>374.0</v>
      </c>
      <c r="G37" s="193">
        <v>368.0</v>
      </c>
      <c r="H37" s="193">
        <v>267.0</v>
      </c>
      <c r="I37" s="193">
        <v>309.0</v>
      </c>
      <c r="J37" s="193">
        <v>298.0</v>
      </c>
      <c r="K37" s="193">
        <v>262.0</v>
      </c>
      <c r="L37" s="3" t="s">
        <v>309</v>
      </c>
      <c r="O37" s="180" t="s">
        <v>338</v>
      </c>
      <c r="P37" s="181" t="s">
        <v>339</v>
      </c>
      <c r="Q37" s="181" t="s">
        <v>337</v>
      </c>
    </row>
    <row r="38">
      <c r="A38" s="22" t="s">
        <v>74</v>
      </c>
      <c r="B38" s="10" t="s">
        <v>248</v>
      </c>
      <c r="C38" s="123">
        <f t="shared" ref="C38:K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f t="shared" si="2"/>
        <v>7.422096317</v>
      </c>
      <c r="L38" s="3" t="s">
        <v>309</v>
      </c>
      <c r="M38" s="124"/>
      <c r="N38" s="124"/>
      <c r="O38" s="180" t="s">
        <v>340</v>
      </c>
      <c r="P38" s="181" t="s">
        <v>341</v>
      </c>
      <c r="Q38" s="181" t="s">
        <v>337</v>
      </c>
    </row>
    <row r="39">
      <c r="A39" s="3" t="s">
        <v>249</v>
      </c>
      <c r="B39" s="10" t="s">
        <v>248</v>
      </c>
      <c r="C39" s="11">
        <v>6.8</v>
      </c>
      <c r="D39" s="11">
        <v>8.7</v>
      </c>
      <c r="E39" s="11">
        <v>16.9</v>
      </c>
      <c r="F39" s="11">
        <v>29.0</v>
      </c>
      <c r="G39" s="11">
        <v>29.0</v>
      </c>
      <c r="H39" s="11">
        <v>15.0</v>
      </c>
      <c r="I39" s="11">
        <v>11.0</v>
      </c>
      <c r="J39" s="11">
        <v>15.0</v>
      </c>
      <c r="K39" s="11">
        <v>15.0</v>
      </c>
      <c r="L39" s="125" t="s">
        <v>250</v>
      </c>
      <c r="O39" s="180" t="s">
        <v>171</v>
      </c>
      <c r="P39" s="181" t="s">
        <v>342</v>
      </c>
      <c r="Q39" s="181" t="s">
        <v>337</v>
      </c>
    </row>
    <row r="40">
      <c r="A40" s="3"/>
      <c r="B40" s="10"/>
      <c r="C40" s="126"/>
      <c r="D40" s="126"/>
      <c r="E40" s="126"/>
      <c r="F40" s="11"/>
      <c r="G40" s="11">
        <v>29.0</v>
      </c>
      <c r="H40" s="11">
        <v>29.0</v>
      </c>
      <c r="I40" s="11">
        <v>28.5</v>
      </c>
      <c r="J40" s="11">
        <v>29.5</v>
      </c>
      <c r="K40" s="127"/>
      <c r="L40" s="127" t="s">
        <v>251</v>
      </c>
      <c r="O40" s="180" t="s">
        <v>343</v>
      </c>
      <c r="P40" s="181" t="s">
        <v>344</v>
      </c>
      <c r="Q40" s="181" t="s">
        <v>337</v>
      </c>
    </row>
    <row r="41">
      <c r="A41" s="3" t="s">
        <v>252</v>
      </c>
      <c r="B41" s="10" t="s">
        <v>248</v>
      </c>
      <c r="C41" s="128">
        <f t="shared" ref="C41:K41" si="3">14%*C36</f>
        <v>8.54</v>
      </c>
      <c r="D41" s="128">
        <f t="shared" si="3"/>
        <v>9.66</v>
      </c>
      <c r="E41" s="128">
        <f t="shared" si="3"/>
        <v>10.22</v>
      </c>
      <c r="F41" s="128">
        <f t="shared" si="3"/>
        <v>11.06</v>
      </c>
      <c r="G41" s="128">
        <f t="shared" si="3"/>
        <v>12.32</v>
      </c>
      <c r="H41" s="128">
        <f t="shared" si="3"/>
        <v>11.34</v>
      </c>
      <c r="I41" s="128">
        <f t="shared" si="3"/>
        <v>8.4</v>
      </c>
      <c r="J41" s="128">
        <f t="shared" si="3"/>
        <v>8.75</v>
      </c>
      <c r="K41" s="128">
        <f t="shared" si="3"/>
        <v>9.8</v>
      </c>
      <c r="L41" s="127" t="s">
        <v>253</v>
      </c>
      <c r="O41" s="180" t="s">
        <v>345</v>
      </c>
      <c r="P41" s="181" t="s">
        <v>346</v>
      </c>
      <c r="Q41" s="181" t="s">
        <v>334</v>
      </c>
    </row>
    <row r="42">
      <c r="A42" s="3" t="s">
        <v>254</v>
      </c>
      <c r="B42" s="10" t="s">
        <v>248</v>
      </c>
      <c r="C42" s="128">
        <f>0.8*C39 + 0.2*C41</f>
        <v>7.148</v>
      </c>
      <c r="D42" s="128">
        <f t="shared" ref="D42:K42" si="4">0.8*D39+0.2*D41</f>
        <v>8.892</v>
      </c>
      <c r="E42" s="128">
        <f t="shared" si="4"/>
        <v>15.564</v>
      </c>
      <c r="F42" s="128">
        <f t="shared" si="4"/>
        <v>25.412</v>
      </c>
      <c r="G42" s="128">
        <f t="shared" si="4"/>
        <v>25.664</v>
      </c>
      <c r="H42" s="128">
        <f t="shared" si="4"/>
        <v>14.268</v>
      </c>
      <c r="I42" s="128">
        <f t="shared" si="4"/>
        <v>10.48</v>
      </c>
      <c r="J42" s="128">
        <f t="shared" si="4"/>
        <v>13.75</v>
      </c>
      <c r="K42" s="128">
        <f t="shared" si="4"/>
        <v>13.96</v>
      </c>
      <c r="L42" s="127" t="s">
        <v>255</v>
      </c>
      <c r="M42" s="22"/>
      <c r="O42" s="180" t="s">
        <v>347</v>
      </c>
      <c r="P42" s="181" t="s">
        <v>344</v>
      </c>
      <c r="Q42" s="181" t="s">
        <v>334</v>
      </c>
    </row>
    <row r="43">
      <c r="A43" s="129" t="s">
        <v>256</v>
      </c>
      <c r="B43" s="130"/>
      <c r="C43" s="131">
        <f t="shared" ref="C43:K43" si="5">C42-C38</f>
        <v>2.360464589</v>
      </c>
      <c r="D43" s="131">
        <f t="shared" si="5"/>
        <v>3.169620397</v>
      </c>
      <c r="E43" s="131">
        <f t="shared" si="5"/>
        <v>7.688645892</v>
      </c>
      <c r="F43" s="131">
        <f t="shared" si="5"/>
        <v>14.81709915</v>
      </c>
      <c r="G43" s="131">
        <f t="shared" si="5"/>
        <v>15.23907082</v>
      </c>
      <c r="H43" s="131">
        <f t="shared" si="5"/>
        <v>6.704260623</v>
      </c>
      <c r="I43" s="131">
        <f t="shared" si="5"/>
        <v>1.726458924</v>
      </c>
      <c r="J43" s="131">
        <f t="shared" si="5"/>
        <v>5.308073654</v>
      </c>
      <c r="K43" s="131">
        <f t="shared" si="5"/>
        <v>6.537903683</v>
      </c>
      <c r="L43" s="129" t="s">
        <v>257</v>
      </c>
      <c r="M43" s="130"/>
      <c r="N43" s="130"/>
      <c r="O43" s="180" t="s">
        <v>348</v>
      </c>
      <c r="P43" s="181" t="s">
        <v>349</v>
      </c>
      <c r="Q43" s="181" t="s">
        <v>334</v>
      </c>
      <c r="R43" s="130"/>
      <c r="S43" s="130"/>
      <c r="T43" s="130"/>
      <c r="U43" s="130"/>
      <c r="V43" s="130"/>
      <c r="W43" s="130"/>
      <c r="X43" s="130"/>
      <c r="Y43" s="130"/>
      <c r="Z43" s="130"/>
      <c r="AA43" s="130"/>
      <c r="AB43" s="130"/>
      <c r="AC43" s="130"/>
      <c r="AD43" s="130"/>
      <c r="AE43" s="130"/>
      <c r="AF43" s="130"/>
    </row>
    <row r="44">
      <c r="O44" s="180" t="s">
        <v>350</v>
      </c>
      <c r="P44" s="181" t="s">
        <v>351</v>
      </c>
      <c r="Q44" s="181" t="s">
        <v>352</v>
      </c>
    </row>
    <row r="45">
      <c r="A45" s="22" t="s">
        <v>76</v>
      </c>
      <c r="B45" s="10" t="s">
        <v>77</v>
      </c>
      <c r="C45" s="63">
        <v>1038.0</v>
      </c>
      <c r="D45" s="63">
        <v>1394.0</v>
      </c>
      <c r="E45" s="63">
        <v>1785.0</v>
      </c>
      <c r="F45" s="63">
        <v>1863.0</v>
      </c>
      <c r="G45" s="63">
        <v>1364.0</v>
      </c>
      <c r="H45" s="63">
        <v>1249.0</v>
      </c>
      <c r="I45" s="63">
        <v>1511.0</v>
      </c>
      <c r="J45" s="63">
        <v>1478.0</v>
      </c>
      <c r="K45" s="63">
        <v>1423.0</v>
      </c>
      <c r="L45" s="3" t="s">
        <v>54</v>
      </c>
      <c r="O45" s="180" t="s">
        <v>353</v>
      </c>
      <c r="P45" s="181" t="s">
        <v>354</v>
      </c>
      <c r="Q45" s="181" t="s">
        <v>352</v>
      </c>
    </row>
    <row r="46">
      <c r="A46" s="132"/>
      <c r="B46" s="132"/>
      <c r="C46" s="133"/>
      <c r="D46" s="133"/>
      <c r="E46" s="133"/>
      <c r="F46" s="133"/>
      <c r="G46" s="133"/>
      <c r="H46" s="133"/>
      <c r="I46" s="133"/>
      <c r="J46" s="133"/>
      <c r="K46" s="134"/>
      <c r="L46" s="134"/>
      <c r="M46" s="134"/>
      <c r="N46" s="134"/>
      <c r="O46" s="180" t="s">
        <v>355</v>
      </c>
      <c r="P46" s="181" t="s">
        <v>356</v>
      </c>
      <c r="Q46" s="181" t="s">
        <v>357</v>
      </c>
      <c r="R46" s="134"/>
      <c r="S46" s="134"/>
      <c r="T46" s="134"/>
      <c r="U46" s="134"/>
      <c r="V46" s="134"/>
      <c r="W46" s="134"/>
      <c r="X46" s="134"/>
      <c r="Y46" s="134"/>
      <c r="Z46" s="134"/>
      <c r="AA46" s="134"/>
      <c r="AB46" s="134"/>
      <c r="AC46" s="134"/>
      <c r="AD46" s="134"/>
      <c r="AE46" s="134"/>
      <c r="AF46" s="134"/>
    </row>
    <row r="47">
      <c r="A47" s="194" t="s">
        <v>78</v>
      </c>
      <c r="B47" s="195" t="s">
        <v>79</v>
      </c>
      <c r="C47" s="64">
        <v>99.3</v>
      </c>
      <c r="D47" s="64">
        <v>110.5</v>
      </c>
      <c r="E47" s="64">
        <v>104.3</v>
      </c>
      <c r="F47" s="64">
        <v>99.9</v>
      </c>
      <c r="G47" s="64">
        <v>98.2</v>
      </c>
      <c r="H47" s="64">
        <v>97.1</v>
      </c>
      <c r="I47" s="64">
        <v>94.8</v>
      </c>
      <c r="J47" s="64">
        <v>96.8</v>
      </c>
      <c r="K47" s="64">
        <v>103.5</v>
      </c>
    </row>
    <row r="48">
      <c r="A48" s="194" t="s">
        <v>80</v>
      </c>
      <c r="B48" s="194" t="s">
        <v>79</v>
      </c>
      <c r="C48" s="64">
        <v>97.2</v>
      </c>
      <c r="D48" s="64">
        <v>128.1</v>
      </c>
      <c r="E48" s="64">
        <v>110.3</v>
      </c>
      <c r="F48" s="64">
        <v>101.0</v>
      </c>
      <c r="G48" s="64">
        <v>100.0</v>
      </c>
      <c r="H48" s="64">
        <v>90.0</v>
      </c>
      <c r="I48" s="64">
        <v>90.0</v>
      </c>
      <c r="J48" s="64">
        <v>90.0</v>
      </c>
      <c r="K48" s="64">
        <v>101.5</v>
      </c>
    </row>
    <row r="49">
      <c r="A49" s="194" t="s">
        <v>81</v>
      </c>
      <c r="B49" s="194" t="s">
        <v>79</v>
      </c>
      <c r="C49" s="64">
        <v>105.5</v>
      </c>
      <c r="D49" s="64">
        <v>106.0</v>
      </c>
      <c r="E49" s="64">
        <v>106.8</v>
      </c>
      <c r="F49" s="64">
        <v>108.3</v>
      </c>
      <c r="G49" s="64">
        <v>99.6</v>
      </c>
      <c r="H49" s="64">
        <v>90.2</v>
      </c>
      <c r="I49" s="64">
        <v>90.2</v>
      </c>
      <c r="J49" s="64">
        <v>90.1</v>
      </c>
      <c r="K49" s="64">
        <v>103.0</v>
      </c>
      <c r="L49" s="3" t="s">
        <v>381</v>
      </c>
    </row>
    <row r="50">
      <c r="A50" s="3" t="s">
        <v>259</v>
      </c>
      <c r="B50" s="3" t="s">
        <v>260</v>
      </c>
      <c r="C50" s="196">
        <v>22.0</v>
      </c>
      <c r="D50" s="196">
        <v>17.0</v>
      </c>
      <c r="E50" s="196">
        <v>36.0</v>
      </c>
      <c r="F50" s="196">
        <v>47.0</v>
      </c>
      <c r="G50" s="196">
        <v>43.0</v>
      </c>
      <c r="H50" s="196">
        <v>55.0</v>
      </c>
      <c r="I50" s="196">
        <v>23.0</v>
      </c>
      <c r="J50" s="196">
        <v>38.0</v>
      </c>
      <c r="K50" s="196">
        <v>21.0</v>
      </c>
    </row>
    <row r="53">
      <c r="A53" s="3" t="s">
        <v>137</v>
      </c>
      <c r="B53" s="11"/>
      <c r="C53" s="63">
        <v>74.4</v>
      </c>
      <c r="D53" s="63">
        <v>73.6</v>
      </c>
      <c r="E53" s="63">
        <v>72.8</v>
      </c>
      <c r="F53" s="63">
        <v>72.8</v>
      </c>
      <c r="G53" s="63">
        <v>86.2</v>
      </c>
      <c r="H53" s="63">
        <v>86.0</v>
      </c>
      <c r="I53" s="63">
        <v>89.2</v>
      </c>
      <c r="J53" s="63">
        <v>88.1</v>
      </c>
      <c r="K53" s="63">
        <v>95.4</v>
      </c>
      <c r="L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60</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60</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65</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65</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62.5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62.5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row>
    <row r="68">
      <c r="A68" s="66"/>
      <c r="B68" s="18" t="s">
        <v>167</v>
      </c>
      <c r="C68" s="18" t="s">
        <v>168</v>
      </c>
      <c r="D68" s="67" t="s">
        <v>169</v>
      </c>
      <c r="E68" s="18" t="s">
        <v>170</v>
      </c>
      <c r="F68" s="18" t="s">
        <v>171</v>
      </c>
      <c r="G68" s="67" t="s">
        <v>172</v>
      </c>
      <c r="H68" s="18" t="s">
        <v>173</v>
      </c>
      <c r="I68" s="18" t="s">
        <v>174</v>
      </c>
      <c r="J68" s="67" t="s">
        <v>175</v>
      </c>
      <c r="K68" s="18" t="s">
        <v>176</v>
      </c>
      <c r="L68" s="18" t="s">
        <v>177</v>
      </c>
      <c r="M68" s="67" t="s">
        <v>178</v>
      </c>
      <c r="N68" s="66"/>
      <c r="O68" s="66"/>
    </row>
    <row r="69">
      <c r="A69" s="68">
        <v>2021.0</v>
      </c>
      <c r="B69" s="69">
        <v>0.67</v>
      </c>
      <c r="C69" s="69">
        <v>0.78</v>
      </c>
      <c r="D69" s="69">
        <v>0.66</v>
      </c>
      <c r="E69" s="69">
        <v>0.58</v>
      </c>
      <c r="F69" s="69">
        <v>0.74</v>
      </c>
      <c r="G69" s="69">
        <v>0.69</v>
      </c>
      <c r="H69" s="98">
        <v>0.31</v>
      </c>
      <c r="I69" s="98">
        <v>0.17</v>
      </c>
      <c r="J69" s="98">
        <v>0.6</v>
      </c>
      <c r="K69" s="170">
        <v>1.11</v>
      </c>
      <c r="L69" s="170">
        <v>0.96</v>
      </c>
      <c r="M69" s="183">
        <v>0.82</v>
      </c>
      <c r="N69" s="73"/>
      <c r="O69" s="74"/>
    </row>
    <row r="70">
      <c r="A70" s="75" t="s">
        <v>179</v>
      </c>
      <c r="B70" s="91">
        <v>5.19</v>
      </c>
      <c r="C70" s="76">
        <v>5.67</v>
      </c>
      <c r="D70" s="76">
        <v>5.79</v>
      </c>
      <c r="E70" s="76">
        <v>5.53</v>
      </c>
      <c r="F70" s="76">
        <v>6.02</v>
      </c>
      <c r="G70" s="76">
        <v>6.5</v>
      </c>
      <c r="H70" s="77">
        <v>6.46</v>
      </c>
      <c r="I70" s="77">
        <v>6.68</v>
      </c>
      <c r="J70" s="135">
        <v>7.4</v>
      </c>
      <c r="K70" s="135">
        <v>8.13</v>
      </c>
      <c r="L70" s="77">
        <v>8.4</v>
      </c>
      <c r="M70" s="184">
        <v>8.39</v>
      </c>
      <c r="N70" s="79"/>
      <c r="O70" s="80">
        <v>2021.0</v>
      </c>
    </row>
    <row r="71">
      <c r="A71" s="66"/>
      <c r="B71" s="66"/>
      <c r="C71" s="66"/>
      <c r="D71" s="66"/>
      <c r="E71" s="66"/>
      <c r="F71" s="66"/>
      <c r="G71" s="66"/>
      <c r="H71" s="66"/>
      <c r="I71" s="66"/>
      <c r="J71" s="66"/>
      <c r="K71" s="66"/>
      <c r="L71" s="66"/>
      <c r="M71" s="66"/>
      <c r="N71" s="81"/>
    </row>
    <row r="72">
      <c r="A72" s="18" t="s">
        <v>181</v>
      </c>
      <c r="B72" s="18">
        <v>0.6</v>
      </c>
      <c r="C72" s="18">
        <v>0.4</v>
      </c>
      <c r="D72" s="18">
        <v>0.5</v>
      </c>
      <c r="E72" s="18">
        <v>0.4</v>
      </c>
      <c r="F72" s="18">
        <v>0.4</v>
      </c>
      <c r="G72" s="18">
        <v>0.4</v>
      </c>
      <c r="H72" s="18">
        <v>0.5</v>
      </c>
      <c r="I72" s="18">
        <v>0.0</v>
      </c>
      <c r="J72" s="18">
        <v>0.2</v>
      </c>
      <c r="K72" s="18">
        <v>0.4</v>
      </c>
      <c r="L72" s="18">
        <v>0.5</v>
      </c>
      <c r="M72" s="18">
        <v>0.5</v>
      </c>
      <c r="N72" s="66"/>
      <c r="O72" s="66"/>
    </row>
    <row r="73">
      <c r="A73" s="18" t="s">
        <v>182</v>
      </c>
      <c r="B73" s="18">
        <v>0.5</v>
      </c>
      <c r="C73" s="18">
        <v>0.3</v>
      </c>
      <c r="D73" s="18">
        <v>0.3</v>
      </c>
      <c r="E73" s="18">
        <v>0.4</v>
      </c>
      <c r="F73" s="18">
        <v>0.4</v>
      </c>
      <c r="G73" s="18">
        <v>0.4</v>
      </c>
      <c r="H73" s="18">
        <v>0.2</v>
      </c>
      <c r="I73" s="82">
        <v>-0.1</v>
      </c>
      <c r="J73" s="82">
        <v>-0.1</v>
      </c>
      <c r="K73" s="18">
        <v>0.3</v>
      </c>
      <c r="L73" s="18">
        <v>0.4</v>
      </c>
      <c r="M73" s="18">
        <v>0.6</v>
      </c>
      <c r="N73" s="66"/>
      <c r="O73" s="66"/>
    </row>
    <row r="74">
      <c r="A74" s="66"/>
      <c r="B74" s="18" t="s">
        <v>183</v>
      </c>
      <c r="C74" s="18" t="s">
        <v>184</v>
      </c>
      <c r="D74" s="18" t="s">
        <v>169</v>
      </c>
      <c r="E74" s="18" t="s">
        <v>185</v>
      </c>
      <c r="F74" s="18" t="s">
        <v>186</v>
      </c>
      <c r="G74" s="18" t="s">
        <v>172</v>
      </c>
      <c r="H74" s="18" t="s">
        <v>187</v>
      </c>
      <c r="I74" s="18" t="s">
        <v>188</v>
      </c>
      <c r="J74" s="18" t="s">
        <v>175</v>
      </c>
      <c r="K74" s="18" t="s">
        <v>189</v>
      </c>
      <c r="L74" s="18" t="s">
        <v>190</v>
      </c>
      <c r="M74" s="18" t="s">
        <v>178</v>
      </c>
      <c r="N74" s="66"/>
      <c r="O74" s="66"/>
    </row>
    <row r="75">
      <c r="A75" s="66"/>
      <c r="B75" s="199">
        <v>0.0099</v>
      </c>
      <c r="C75" s="199">
        <v>0.0117</v>
      </c>
      <c r="D75" s="199">
        <v>0.0761</v>
      </c>
      <c r="E75" s="199">
        <v>0.0156</v>
      </c>
      <c r="F75" s="199">
        <v>0.0012</v>
      </c>
      <c r="G75" s="199">
        <v>-0.0035</v>
      </c>
      <c r="H75" s="199">
        <v>0.007</v>
      </c>
      <c r="I75" s="200">
        <f t="shared" ref="I75:M75" si="13"> (12% - SUM( $B$75:$H$75 ) ) * I73 / SUM( $I$73:$M$73 )</f>
        <v>-0.0001818181818</v>
      </c>
      <c r="J75" s="200">
        <f t="shared" si="13"/>
        <v>-0.0001818181818</v>
      </c>
      <c r="K75" s="200">
        <f t="shared" si="13"/>
        <v>0.0005454545455</v>
      </c>
      <c r="L75" s="200">
        <f t="shared" si="13"/>
        <v>0.0007272727273</v>
      </c>
      <c r="M75" s="200">
        <f t="shared" si="13"/>
        <v>0.001090909091</v>
      </c>
      <c r="N75" s="66"/>
      <c r="O75" s="201">
        <f> SUM( B75:M75 )</f>
        <v>0.12</v>
      </c>
    </row>
    <row r="76">
      <c r="A76" s="66"/>
      <c r="B76" s="66"/>
      <c r="C76" s="66"/>
      <c r="D76" s="66"/>
      <c r="E76" s="66"/>
      <c r="F76" s="66"/>
      <c r="G76" s="66"/>
      <c r="H76" s="66"/>
      <c r="I76" s="66"/>
      <c r="J76" s="66"/>
      <c r="K76" s="66"/>
      <c r="L76" s="66"/>
      <c r="M76" s="66"/>
      <c r="N76" s="66"/>
      <c r="O76" s="66"/>
    </row>
    <row r="77">
      <c r="A77" s="66"/>
      <c r="B77" s="18" t="s">
        <v>167</v>
      </c>
      <c r="C77" s="18" t="s">
        <v>168</v>
      </c>
      <c r="D77" s="83" t="s">
        <v>169</v>
      </c>
      <c r="E77" s="18" t="s">
        <v>170</v>
      </c>
      <c r="F77" s="18" t="s">
        <v>171</v>
      </c>
      <c r="G77" s="83" t="s">
        <v>172</v>
      </c>
      <c r="H77" s="18" t="s">
        <v>173</v>
      </c>
      <c r="I77" s="18" t="s">
        <v>174</v>
      </c>
      <c r="J77" s="83" t="s">
        <v>175</v>
      </c>
      <c r="K77" s="18" t="s">
        <v>176</v>
      </c>
      <c r="L77" s="18" t="s">
        <v>177</v>
      </c>
      <c r="M77" s="83" t="s">
        <v>178</v>
      </c>
      <c r="N77" s="66"/>
      <c r="O77" s="66"/>
    </row>
    <row r="78">
      <c r="A78" s="68">
        <v>2022.0</v>
      </c>
      <c r="B78" s="70">
        <v>1.0</v>
      </c>
      <c r="C78" s="70">
        <v>0.5</v>
      </c>
      <c r="D78" s="70">
        <v>0.5</v>
      </c>
      <c r="E78" s="70">
        <v>0.5</v>
      </c>
      <c r="F78" s="70">
        <v>0.4</v>
      </c>
      <c r="G78" s="70">
        <v>0.5</v>
      </c>
      <c r="H78" s="71">
        <v>0.4</v>
      </c>
      <c r="I78" s="71">
        <v>0.0</v>
      </c>
      <c r="J78" s="71">
        <v>0.2</v>
      </c>
      <c r="K78" s="71">
        <v>0.4</v>
      </c>
      <c r="L78" s="71">
        <v>0.5</v>
      </c>
      <c r="M78" s="72">
        <v>0.6</v>
      </c>
      <c r="N78" s="66"/>
      <c r="O78" s="66"/>
    </row>
    <row r="79">
      <c r="A79" s="75" t="s">
        <v>179</v>
      </c>
      <c r="B79" s="91">
        <v>8.75</v>
      </c>
      <c r="C79" s="76">
        <v>8.45</v>
      </c>
      <c r="D79" s="76">
        <v>8.28</v>
      </c>
      <c r="E79" s="76">
        <v>8.19</v>
      </c>
      <c r="F79" s="76">
        <v>7.82</v>
      </c>
      <c r="G79" s="76">
        <v>7.62</v>
      </c>
      <c r="H79" s="77">
        <v>7.72</v>
      </c>
      <c r="I79" s="77">
        <v>7.53</v>
      </c>
      <c r="J79" s="77">
        <v>7.11</v>
      </c>
      <c r="K79" s="77">
        <v>6.35</v>
      </c>
      <c r="L79" s="77">
        <v>5.87</v>
      </c>
      <c r="M79" s="78">
        <v>5.64</v>
      </c>
      <c r="N79" s="79"/>
      <c r="O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t="s">
        <v>383</v>
      </c>
    </row>
    <row r="83">
      <c r="A83" s="3" t="s">
        <v>384</v>
      </c>
      <c r="C83" s="187">
        <v>74.4</v>
      </c>
      <c r="D83" s="187">
        <v>74.2</v>
      </c>
      <c r="E83" s="187">
        <v>73.5</v>
      </c>
      <c r="F83" s="187">
        <v>72.7</v>
      </c>
      <c r="G83" s="187">
        <v>87.8</v>
      </c>
      <c r="H83" s="187">
        <v>85.4</v>
      </c>
      <c r="I83" s="187">
        <v>82.7</v>
      </c>
      <c r="J83" s="187">
        <v>80.5</v>
      </c>
      <c r="K83" s="188" t="s">
        <v>385</v>
      </c>
    </row>
  </sheetData>
  <mergeCells count="1">
    <mergeCell ref="N71:O7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5" width="14.5"/>
    <col customWidth="1" min="16" max="16" width="14.75"/>
  </cols>
  <sheetData>
    <row r="1">
      <c r="A1" s="92">
        <v>44953.0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2" t="s">
        <v>9</v>
      </c>
      <c r="R1" s="2" t="s">
        <v>10</v>
      </c>
      <c r="S1" s="2" t="s">
        <v>11</v>
      </c>
      <c r="T1" s="2" t="s">
        <v>12</v>
      </c>
      <c r="U1" s="2" t="s">
        <v>13</v>
      </c>
      <c r="V1" s="2" t="s">
        <v>14</v>
      </c>
    </row>
    <row r="2">
      <c r="A2" s="191"/>
      <c r="B2" s="54"/>
      <c r="C2" s="4"/>
      <c r="D2" s="4"/>
      <c r="E2" s="54"/>
      <c r="F2" s="54"/>
      <c r="G2" s="54"/>
      <c r="H2" s="54"/>
      <c r="J2" s="5"/>
      <c r="Q2" s="3"/>
      <c r="S2" s="7"/>
      <c r="T2" s="52"/>
      <c r="U2" s="3"/>
      <c r="V2" s="52"/>
    </row>
    <row r="3">
      <c r="A3" s="3" t="s">
        <v>15</v>
      </c>
      <c r="B3" s="4"/>
      <c r="C3" s="4" t="s">
        <v>16</v>
      </c>
      <c r="D3" s="4" t="s">
        <v>16</v>
      </c>
      <c r="E3" s="54" t="s">
        <v>152</v>
      </c>
      <c r="F3" s="54" t="s">
        <v>293</v>
      </c>
      <c r="G3" s="54" t="s">
        <v>18</v>
      </c>
      <c r="H3" s="54" t="s">
        <v>18</v>
      </c>
      <c r="I3" s="112" t="s">
        <v>416</v>
      </c>
      <c r="J3" s="112" t="s">
        <v>397</v>
      </c>
      <c r="K3" s="24">
        <v>69.0</v>
      </c>
      <c r="L3" s="24">
        <v>70.0</v>
      </c>
      <c r="M3" s="24">
        <v>75.0</v>
      </c>
      <c r="N3" s="24">
        <v>76.0</v>
      </c>
      <c r="O3" s="24">
        <v>73.0</v>
      </c>
      <c r="R3" s="3">
        <v>60.3</v>
      </c>
      <c r="S3" s="7"/>
      <c r="T3" s="52"/>
      <c r="V3" s="52"/>
    </row>
    <row r="4">
      <c r="A4" s="3" t="s">
        <v>24</v>
      </c>
      <c r="B4" s="4"/>
      <c r="C4" s="4" t="s">
        <v>25</v>
      </c>
      <c r="D4" s="4" t="s">
        <v>25</v>
      </c>
      <c r="E4" s="54" t="s">
        <v>153</v>
      </c>
      <c r="F4" s="54" t="s">
        <v>295</v>
      </c>
      <c r="G4" s="54" t="s">
        <v>153</v>
      </c>
      <c r="H4" s="54" t="s">
        <v>153</v>
      </c>
      <c r="I4" s="112" t="s">
        <v>416</v>
      </c>
      <c r="J4" s="112" t="s">
        <v>397</v>
      </c>
      <c r="K4" s="24"/>
      <c r="L4" s="24"/>
      <c r="M4" s="24"/>
      <c r="N4" s="24"/>
      <c r="O4" s="24">
        <v>79.0</v>
      </c>
      <c r="P4" s="3" t="s">
        <v>426</v>
      </c>
      <c r="R4" s="3">
        <v>61.5</v>
      </c>
      <c r="S4" s="7"/>
      <c r="T4" s="52"/>
      <c r="V4" s="52"/>
    </row>
    <row r="5">
      <c r="A5" s="3" t="s">
        <v>28</v>
      </c>
      <c r="B5" s="4"/>
      <c r="C5" s="4" t="s">
        <v>29</v>
      </c>
      <c r="D5" s="4" t="s">
        <v>139</v>
      </c>
      <c r="E5" s="54" t="s">
        <v>199</v>
      </c>
      <c r="F5" s="54" t="s">
        <v>298</v>
      </c>
      <c r="G5" s="54" t="s">
        <v>391</v>
      </c>
      <c r="H5" s="54" t="s">
        <v>392</v>
      </c>
      <c r="I5" s="112" t="s">
        <v>410</v>
      </c>
      <c r="J5" s="112" t="s">
        <v>411</v>
      </c>
      <c r="K5" s="24">
        <v>85.0</v>
      </c>
      <c r="L5" s="24">
        <v>80.0</v>
      </c>
      <c r="M5" s="24">
        <v>80.0</v>
      </c>
      <c r="N5" s="24">
        <v>75.0</v>
      </c>
      <c r="O5" s="24">
        <v>80.0</v>
      </c>
      <c r="P5" s="3" t="s">
        <v>427</v>
      </c>
      <c r="T5" s="53"/>
      <c r="V5" s="52"/>
    </row>
    <row r="6" ht="26.25" customHeight="1" collapsed="1">
      <c r="A6" s="3" t="s">
        <v>399</v>
      </c>
      <c r="B6" s="4"/>
      <c r="C6" s="4">
        <v>5.7</v>
      </c>
      <c r="D6" s="54" t="s">
        <v>144</v>
      </c>
      <c r="E6" s="54" t="s">
        <v>201</v>
      </c>
      <c r="F6" s="54" t="s">
        <v>299</v>
      </c>
      <c r="G6" s="54" t="s">
        <v>319</v>
      </c>
      <c r="H6" s="54" t="s">
        <v>304</v>
      </c>
      <c r="I6" s="112" t="s">
        <v>400</v>
      </c>
      <c r="J6" s="112" t="s">
        <v>420</v>
      </c>
      <c r="K6" s="24">
        <v>3.6</v>
      </c>
      <c r="L6" s="24">
        <v>4.3</v>
      </c>
      <c r="M6" s="24">
        <v>6.3</v>
      </c>
      <c r="N6" s="116">
        <v>7.0</v>
      </c>
      <c r="O6" s="116">
        <v>7.0</v>
      </c>
      <c r="S6" s="7"/>
      <c r="T6" s="53"/>
      <c r="V6" s="52"/>
    </row>
    <row r="7" hidden="1" outlineLevel="1">
      <c r="A7" s="3"/>
      <c r="B7" s="4"/>
      <c r="C7" s="4"/>
      <c r="D7" s="54"/>
      <c r="E7" s="111" t="s">
        <v>241</v>
      </c>
      <c r="F7" s="112" t="s">
        <v>236</v>
      </c>
      <c r="G7" s="54" t="s">
        <v>237</v>
      </c>
      <c r="H7" s="54" t="s">
        <v>238</v>
      </c>
      <c r="I7" s="112" t="s">
        <v>239</v>
      </c>
      <c r="J7" s="206"/>
      <c r="K7" s="192"/>
      <c r="L7" s="192"/>
      <c r="M7" s="192"/>
      <c r="N7" s="192"/>
      <c r="O7" s="192"/>
      <c r="S7" s="7"/>
      <c r="T7" s="52"/>
      <c r="V7" s="52"/>
    </row>
    <row r="8">
      <c r="A8" s="3" t="s">
        <v>402</v>
      </c>
      <c r="B8" s="4"/>
      <c r="C8" s="4"/>
      <c r="D8" s="54"/>
      <c r="E8" s="54"/>
      <c r="F8" s="54"/>
      <c r="G8" s="54"/>
      <c r="H8" s="54"/>
      <c r="I8" s="112"/>
      <c r="J8" s="207"/>
      <c r="K8" s="54"/>
      <c r="L8" s="54"/>
      <c r="M8" s="54"/>
      <c r="N8" s="54"/>
      <c r="O8" s="54"/>
      <c r="P8" s="3"/>
      <c r="S8" s="7"/>
      <c r="T8" s="52"/>
      <c r="V8" s="52"/>
    </row>
    <row r="9">
      <c r="A9" s="3" t="s">
        <v>413</v>
      </c>
      <c r="B9" s="4"/>
      <c r="C9" s="4">
        <v>4.5</v>
      </c>
      <c r="D9" s="54">
        <v>5.5</v>
      </c>
      <c r="E9" s="54" t="s">
        <v>194</v>
      </c>
      <c r="F9" s="54">
        <v>8.5</v>
      </c>
      <c r="G9" s="54" t="s">
        <v>387</v>
      </c>
      <c r="H9" s="54" t="s">
        <v>387</v>
      </c>
      <c r="I9" s="207">
        <v>44780.0</v>
      </c>
      <c r="J9" s="112">
        <v>7.5</v>
      </c>
      <c r="K9" s="24">
        <v>7.5</v>
      </c>
      <c r="L9" s="24">
        <v>7.5</v>
      </c>
      <c r="M9" s="116">
        <v>8.0</v>
      </c>
      <c r="N9" s="116">
        <v>8.0</v>
      </c>
      <c r="O9" s="116">
        <v>8.0</v>
      </c>
      <c r="S9" s="7"/>
      <c r="T9" s="52"/>
      <c r="V9" s="52"/>
    </row>
    <row r="10">
      <c r="A10" s="3" t="s">
        <v>405</v>
      </c>
      <c r="E10" s="114"/>
      <c r="F10" s="115"/>
      <c r="G10" s="115"/>
      <c r="H10" s="115"/>
      <c r="I10" s="112" t="s">
        <v>406</v>
      </c>
      <c r="J10" s="112" t="s">
        <v>406</v>
      </c>
      <c r="T10" s="55"/>
      <c r="V10" s="55"/>
    </row>
    <row r="11">
      <c r="E11" s="114" t="s">
        <v>241</v>
      </c>
      <c r="F11" s="115" t="s">
        <v>242</v>
      </c>
      <c r="G11" s="115" t="s">
        <v>242</v>
      </c>
      <c r="H11" s="115" t="s">
        <v>194</v>
      </c>
      <c r="I11" s="115" t="s">
        <v>148</v>
      </c>
      <c r="K11" s="3"/>
      <c r="L11" s="3"/>
      <c r="M11" s="3"/>
      <c r="N11" s="3"/>
      <c r="O11" s="3" t="s">
        <v>415</v>
      </c>
      <c r="T11" s="55"/>
      <c r="V11" s="55"/>
    </row>
    <row r="12">
      <c r="A12" s="3" t="s">
        <v>47</v>
      </c>
      <c r="C12" s="4">
        <v>5.7</v>
      </c>
      <c r="D12" s="4">
        <v>6.5</v>
      </c>
      <c r="E12" s="62">
        <v>7.4</v>
      </c>
      <c r="F12" s="54">
        <v>8.1</v>
      </c>
      <c r="G12" s="54"/>
      <c r="H12" s="62"/>
      <c r="I12" s="62"/>
      <c r="J12" s="62"/>
      <c r="Q12" s="19" t="s">
        <v>396</v>
      </c>
    </row>
    <row r="13">
      <c r="A13" s="3" t="s">
        <v>162</v>
      </c>
      <c r="D13" s="111" t="s">
        <v>241</v>
      </c>
      <c r="E13" s="117">
        <v>7.0</v>
      </c>
      <c r="F13" s="112">
        <v>7.3</v>
      </c>
      <c r="G13" s="112"/>
      <c r="H13" s="112"/>
      <c r="I13" s="117"/>
      <c r="J13" s="112"/>
    </row>
    <row r="14">
      <c r="C14" s="10"/>
      <c r="D14" s="10"/>
      <c r="E14" s="10"/>
      <c r="F14" s="10"/>
      <c r="G14" s="10"/>
      <c r="H14" s="10"/>
      <c r="I14" s="10"/>
      <c r="J14" s="10"/>
    </row>
    <row r="15">
      <c r="E15" s="118">
        <v>74.5</v>
      </c>
      <c r="F15" s="118">
        <v>74.2</v>
      </c>
      <c r="G15" s="118">
        <v>76.5</v>
      </c>
      <c r="H15" s="118">
        <v>77.7</v>
      </c>
      <c r="I15" s="118">
        <v>77.7</v>
      </c>
      <c r="J15" s="118">
        <v>76.5</v>
      </c>
      <c r="K15" s="119"/>
      <c r="L15" s="119"/>
      <c r="M15" s="119"/>
      <c r="N15" s="119"/>
      <c r="O15" s="119"/>
      <c r="P15" s="119" t="s">
        <v>305</v>
      </c>
    </row>
    <row r="16">
      <c r="A16" s="3" t="s">
        <v>48</v>
      </c>
      <c r="C16" s="164">
        <v>74.4</v>
      </c>
      <c r="D16" s="164">
        <v>74.2</v>
      </c>
      <c r="E16" s="164">
        <v>73.5</v>
      </c>
      <c r="F16" s="118">
        <v>72.4</v>
      </c>
      <c r="G16" s="118">
        <v>71.4</v>
      </c>
      <c r="H16" s="118">
        <v>76.4</v>
      </c>
      <c r="I16" s="118">
        <v>78.1</v>
      </c>
      <c r="J16" s="118">
        <v>75.9</v>
      </c>
      <c r="K16" s="119"/>
      <c r="L16" s="119"/>
      <c r="M16" s="119"/>
      <c r="N16" s="119"/>
      <c r="O16" s="119"/>
      <c r="P16" s="119" t="s">
        <v>325</v>
      </c>
    </row>
    <row r="17">
      <c r="A17" s="3" t="s">
        <v>15</v>
      </c>
      <c r="B17" s="11"/>
      <c r="C17" s="63">
        <v>74.4</v>
      </c>
      <c r="D17" s="63">
        <v>74.2</v>
      </c>
      <c r="E17" s="63">
        <v>73.5</v>
      </c>
      <c r="F17" s="93">
        <v>73.65</v>
      </c>
      <c r="G17" s="93">
        <v>87.34</v>
      </c>
      <c r="H17" s="93">
        <v>66.51</v>
      </c>
      <c r="I17" s="63">
        <v>88.0</v>
      </c>
      <c r="J17" s="63">
        <v>86.4</v>
      </c>
      <c r="K17" s="63"/>
      <c r="L17" s="63"/>
      <c r="M17" s="63"/>
      <c r="N17" s="63"/>
      <c r="O17" s="63">
        <v>89.5</v>
      </c>
      <c r="P17" s="6" t="s">
        <v>407</v>
      </c>
    </row>
    <row r="18">
      <c r="A18" s="3"/>
      <c r="B18" s="12"/>
      <c r="C18" s="12"/>
      <c r="D18" s="13"/>
      <c r="E18" s="13"/>
      <c r="F18" s="13"/>
      <c r="G18" s="13"/>
      <c r="H18" s="13"/>
      <c r="I18" s="13"/>
      <c r="J18" s="13"/>
      <c r="K18" s="13"/>
      <c r="L18" s="13"/>
      <c r="M18" s="13"/>
      <c r="N18" s="13"/>
      <c r="O18" s="13"/>
      <c r="P18" s="13"/>
      <c r="Q18" s="13"/>
    </row>
    <row r="19">
      <c r="A19" s="119" t="s">
        <v>50</v>
      </c>
      <c r="B19" s="119"/>
      <c r="C19" s="119"/>
      <c r="D19" s="173"/>
      <c r="E19" s="173"/>
      <c r="F19" s="174">
        <v>8.2</v>
      </c>
      <c r="G19" s="175">
        <v>7.0</v>
      </c>
      <c r="H19" s="174">
        <v>44202.0</v>
      </c>
      <c r="I19" s="174">
        <v>44352.0</v>
      </c>
      <c r="J19" s="175">
        <v>4.9</v>
      </c>
      <c r="K19" s="119"/>
      <c r="L19" s="119"/>
      <c r="M19" s="119"/>
      <c r="N19" s="119"/>
      <c r="O19" s="119"/>
      <c r="P19" s="119" t="s">
        <v>327</v>
      </c>
      <c r="Q19" s="173"/>
      <c r="R19" s="173"/>
      <c r="S19" s="173"/>
      <c r="T19" s="173"/>
      <c r="U19" s="173"/>
      <c r="V19" s="173"/>
      <c r="W19" s="173"/>
      <c r="X19" s="173"/>
      <c r="Y19" s="173"/>
      <c r="Z19" s="173"/>
      <c r="AA19" s="173"/>
      <c r="AB19" s="173"/>
      <c r="AC19" s="173"/>
      <c r="AD19" s="173"/>
      <c r="AE19" s="173"/>
      <c r="AF19" s="173"/>
      <c r="AG19" s="173"/>
      <c r="AH19" s="173"/>
      <c r="AI19" s="173"/>
      <c r="AJ19" s="173"/>
    </row>
    <row r="20">
      <c r="A20" s="3" t="s">
        <v>50</v>
      </c>
      <c r="B20" s="12"/>
      <c r="C20" s="12"/>
      <c r="D20" s="13"/>
      <c r="E20" s="13"/>
      <c r="F20" s="14">
        <v>44659.0</v>
      </c>
      <c r="G20" s="14">
        <v>44780.0</v>
      </c>
      <c r="H20" s="14">
        <v>44718.0</v>
      </c>
      <c r="I20" s="14">
        <v>44598.0</v>
      </c>
      <c r="J20" s="14">
        <v>44625.0</v>
      </c>
      <c r="K20" s="3"/>
      <c r="L20" s="3"/>
      <c r="M20" s="3"/>
      <c r="N20" s="3"/>
      <c r="O20" s="3"/>
      <c r="P20" s="3" t="s">
        <v>328</v>
      </c>
    </row>
    <row r="21">
      <c r="B21" s="12"/>
      <c r="C21" s="12"/>
      <c r="D21" s="13"/>
      <c r="E21" s="13"/>
      <c r="F21" s="13"/>
      <c r="G21" s="176">
        <v>44659.0</v>
      </c>
      <c r="H21" s="176">
        <v>44749.0</v>
      </c>
      <c r="I21" s="176">
        <v>44779.0</v>
      </c>
      <c r="J21" s="176">
        <v>44625.0</v>
      </c>
      <c r="K21" s="3"/>
      <c r="L21" s="3"/>
      <c r="M21" s="3"/>
      <c r="N21" s="3"/>
      <c r="O21" s="3"/>
      <c r="P21" s="3" t="s">
        <v>329</v>
      </c>
      <c r="S21" s="3"/>
    </row>
    <row r="22" collapsed="1">
      <c r="B22" s="12"/>
      <c r="C22" s="12"/>
      <c r="D22" s="13"/>
      <c r="E22" s="13"/>
      <c r="F22" s="13"/>
      <c r="G22" s="13"/>
      <c r="H22" s="62"/>
      <c r="I22" s="62"/>
      <c r="J22" s="4"/>
      <c r="S22" s="3" t="s">
        <v>330</v>
      </c>
    </row>
    <row r="23" hidden="1" outlineLevel="1">
      <c r="B23" s="15" t="s">
        <v>52</v>
      </c>
      <c r="C23" s="16"/>
      <c r="D23" s="16"/>
      <c r="E23" s="16"/>
      <c r="F23" s="17" t="s">
        <v>53</v>
      </c>
      <c r="G23" s="18"/>
      <c r="H23" s="18"/>
      <c r="I23" s="18"/>
      <c r="J23" s="18"/>
      <c r="K23" s="3"/>
      <c r="L23" s="3"/>
      <c r="M23" s="3"/>
      <c r="N23" s="3"/>
      <c r="O23" s="3"/>
      <c r="P23" s="3"/>
    </row>
    <row r="24" hidden="1" outlineLevel="1">
      <c r="A24" s="3"/>
      <c r="B24" s="16" t="s">
        <v>28</v>
      </c>
      <c r="C24" s="16"/>
      <c r="D24" s="16"/>
      <c r="E24" s="16"/>
      <c r="F24" s="20" t="s">
        <v>207</v>
      </c>
      <c r="G24" s="20">
        <v>0.085534</v>
      </c>
      <c r="H24" s="20">
        <v>-0.09657</v>
      </c>
      <c r="I24" s="20">
        <v>-0.074</v>
      </c>
      <c r="J24" s="18"/>
      <c r="K24" s="31"/>
      <c r="L24" s="31"/>
      <c r="M24" s="31"/>
      <c r="N24" s="31"/>
      <c r="O24" s="31"/>
      <c r="P24" s="31" t="s">
        <v>164</v>
      </c>
    </row>
    <row r="25" hidden="1" outlineLevel="1">
      <c r="A25" s="3"/>
      <c r="B25" s="16" t="s">
        <v>55</v>
      </c>
      <c r="C25" s="16"/>
      <c r="D25" s="16"/>
      <c r="E25" s="16"/>
      <c r="F25" s="20" t="s">
        <v>208</v>
      </c>
      <c r="G25" s="20">
        <v>0.0891</v>
      </c>
      <c r="H25" s="20">
        <v>0.015935</v>
      </c>
      <c r="I25" s="20">
        <v>-0.00482</v>
      </c>
      <c r="J25" s="86">
        <v>-0.022</v>
      </c>
      <c r="K25" s="3"/>
      <c r="L25" s="3"/>
      <c r="M25" s="3"/>
      <c r="N25" s="3"/>
      <c r="O25" s="3"/>
      <c r="P25" s="3" t="s">
        <v>56</v>
      </c>
    </row>
    <row r="26" hidden="1" outlineLevel="1">
      <c r="A26" s="3"/>
      <c r="B26" s="16" t="s">
        <v>57</v>
      </c>
      <c r="C26" s="16"/>
      <c r="D26" s="16"/>
      <c r="E26" s="16"/>
      <c r="F26" s="57" t="s">
        <v>209</v>
      </c>
      <c r="G26" s="20">
        <v>0.166436</v>
      </c>
      <c r="H26" s="20">
        <v>-0.21198</v>
      </c>
      <c r="I26" s="20">
        <v>-0.40366</v>
      </c>
      <c r="J26" s="88">
        <v>-0.267</v>
      </c>
      <c r="K26" s="3"/>
      <c r="L26" s="3"/>
      <c r="M26" s="3"/>
      <c r="N26" s="3"/>
      <c r="O26" s="3"/>
      <c r="P26" s="3" t="s">
        <v>56</v>
      </c>
    </row>
    <row r="27" hidden="1" outlineLevel="1">
      <c r="A27" s="3"/>
      <c r="B27" s="16" t="s">
        <v>58</v>
      </c>
      <c r="C27" s="16"/>
      <c r="D27" s="16"/>
      <c r="E27" s="16"/>
      <c r="F27" s="20" t="s">
        <v>210</v>
      </c>
      <c r="G27" s="20">
        <v>0.09644</v>
      </c>
      <c r="H27" s="20">
        <v>-0.01752</v>
      </c>
      <c r="I27" s="20">
        <v>0.090012</v>
      </c>
      <c r="J27" s="88">
        <v>-0.051</v>
      </c>
      <c r="K27" s="3"/>
      <c r="L27" s="3"/>
      <c r="M27" s="3"/>
      <c r="N27" s="3"/>
      <c r="O27" s="3"/>
      <c r="P27" s="3" t="s">
        <v>56</v>
      </c>
    </row>
    <row r="28" hidden="1" outlineLevel="1">
      <c r="A28" s="3"/>
      <c r="B28" s="16" t="s">
        <v>60</v>
      </c>
      <c r="C28" s="16"/>
      <c r="D28" s="16"/>
      <c r="E28" s="16"/>
      <c r="F28" s="20" t="s">
        <v>211</v>
      </c>
      <c r="G28" s="20">
        <v>0.136107</v>
      </c>
      <c r="H28" s="20">
        <v>0.038548</v>
      </c>
      <c r="I28" s="20">
        <v>-0.09601</v>
      </c>
      <c r="J28" s="88">
        <v>-0.099</v>
      </c>
      <c r="K28" s="3"/>
      <c r="L28" s="3"/>
      <c r="M28" s="3"/>
      <c r="N28" s="3"/>
      <c r="O28" s="3"/>
      <c r="P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c r="M29" s="3"/>
      <c r="N29" s="3"/>
      <c r="O29" s="3"/>
      <c r="P29" s="3" t="s">
        <v>63</v>
      </c>
    </row>
    <row r="30" hidden="1" outlineLevel="1">
      <c r="A30" s="3"/>
      <c r="B30" s="16" t="s">
        <v>64</v>
      </c>
      <c r="C30" s="16"/>
      <c r="D30" s="16"/>
      <c r="E30" s="16"/>
      <c r="F30" s="95">
        <v>0.09</v>
      </c>
      <c r="G30" s="20">
        <v>0.08</v>
      </c>
      <c r="H30" s="20">
        <v>0.07</v>
      </c>
      <c r="I30" s="20">
        <v>0.07</v>
      </c>
      <c r="J30" s="86">
        <v>0.07</v>
      </c>
      <c r="K30" s="3"/>
      <c r="L30" s="3"/>
      <c r="M30" s="3"/>
      <c r="N30" s="3"/>
      <c r="O30" s="3"/>
      <c r="P30" s="3" t="s">
        <v>65</v>
      </c>
    </row>
    <row r="31" hidden="1" outlineLevel="1">
      <c r="A31" s="3"/>
      <c r="B31" s="16" t="s">
        <v>66</v>
      </c>
      <c r="C31" s="16"/>
      <c r="D31" s="16"/>
      <c r="E31" s="16"/>
      <c r="F31" s="21">
        <v>0.042</v>
      </c>
      <c r="G31" s="21">
        <v>0.042</v>
      </c>
      <c r="H31" s="21">
        <v>0.042</v>
      </c>
      <c r="I31" s="21">
        <v>0.042</v>
      </c>
      <c r="J31" s="88">
        <v>0.042</v>
      </c>
      <c r="K31" s="3"/>
      <c r="L31" s="3"/>
      <c r="M31" s="3"/>
      <c r="N31" s="3"/>
      <c r="O31" s="3"/>
      <c r="P31" s="3" t="s">
        <v>67</v>
      </c>
    </row>
    <row r="32" hidden="1" outlineLevel="1">
      <c r="A32" s="3"/>
      <c r="B32" s="16" t="s">
        <v>68</v>
      </c>
      <c r="C32" s="16"/>
      <c r="D32" s="16"/>
      <c r="E32" s="16"/>
      <c r="F32" s="21">
        <v>0.024</v>
      </c>
      <c r="G32" s="21">
        <v>0.024</v>
      </c>
      <c r="H32" s="21">
        <v>0.024</v>
      </c>
      <c r="I32" s="21">
        <v>0.024</v>
      </c>
      <c r="J32" s="88">
        <v>0.024</v>
      </c>
      <c r="K32" s="3"/>
      <c r="L32" s="3"/>
      <c r="M32" s="3"/>
      <c r="N32" s="3"/>
      <c r="O32" s="3"/>
      <c r="P32" s="3" t="s">
        <v>67</v>
      </c>
    </row>
    <row r="33">
      <c r="F33" s="3" t="s">
        <v>15</v>
      </c>
      <c r="G33" s="177">
        <v>85.6</v>
      </c>
      <c r="H33" s="177">
        <v>66.5</v>
      </c>
      <c r="I33" s="203">
        <v>63.0</v>
      </c>
      <c r="J33" s="203">
        <v>65.0</v>
      </c>
      <c r="P33" s="6" t="s">
        <v>408</v>
      </c>
      <c r="S33" s="178" t="s">
        <v>331</v>
      </c>
      <c r="T33" s="179" t="s">
        <v>81</v>
      </c>
      <c r="U33" s="179" t="s">
        <v>114</v>
      </c>
    </row>
    <row r="34">
      <c r="A34" s="31"/>
      <c r="B34" s="3"/>
      <c r="C34" s="3"/>
      <c r="D34" s="3"/>
      <c r="F34" s="3" t="s">
        <v>15</v>
      </c>
      <c r="G34" s="177">
        <v>85.6</v>
      </c>
      <c r="H34" s="177">
        <v>66.5</v>
      </c>
      <c r="I34" s="198">
        <v>68.3</v>
      </c>
      <c r="J34" s="198">
        <v>76.7</v>
      </c>
      <c r="K34" s="3"/>
      <c r="L34" s="3"/>
      <c r="M34" s="3"/>
      <c r="N34" s="3"/>
      <c r="O34" s="3"/>
      <c r="P34" s="6" t="s">
        <v>409</v>
      </c>
      <c r="Q34" s="3"/>
      <c r="R34" s="3"/>
      <c r="S34" s="180"/>
      <c r="T34" s="181"/>
      <c r="U34" s="181"/>
    </row>
    <row r="35">
      <c r="A35" s="205" t="s">
        <v>422</v>
      </c>
      <c r="B35" s="3"/>
      <c r="C35" s="3"/>
      <c r="D35" s="3"/>
      <c r="F35" s="4"/>
      <c r="G35" s="4"/>
      <c r="H35" s="4"/>
      <c r="I35" s="4"/>
      <c r="J35" s="4"/>
      <c r="K35" s="3"/>
      <c r="L35" s="3"/>
      <c r="M35" s="3"/>
      <c r="N35" s="3"/>
      <c r="O35" s="3"/>
      <c r="P35" s="3"/>
      <c r="Q35" s="3"/>
      <c r="R35" s="3"/>
      <c r="S35" s="180" t="s">
        <v>332</v>
      </c>
      <c r="T35" s="181" t="s">
        <v>333</v>
      </c>
      <c r="U35" s="181" t="s">
        <v>334</v>
      </c>
    </row>
    <row r="36">
      <c r="A36" s="3" t="s">
        <v>28</v>
      </c>
      <c r="B36" s="10" t="s">
        <v>69</v>
      </c>
      <c r="C36" s="167">
        <v>61.0</v>
      </c>
      <c r="D36" s="167">
        <v>69.0</v>
      </c>
      <c r="E36" s="167">
        <v>73.0</v>
      </c>
      <c r="F36" s="167">
        <v>79.0</v>
      </c>
      <c r="G36" s="193">
        <v>88.0</v>
      </c>
      <c r="H36" s="193">
        <v>81.0</v>
      </c>
      <c r="I36" s="193">
        <v>60.0</v>
      </c>
      <c r="J36" s="193">
        <v>62.5</v>
      </c>
      <c r="K36" s="193"/>
      <c r="L36" s="193"/>
      <c r="M36" s="193"/>
      <c r="N36" s="193"/>
      <c r="O36" s="193">
        <v>70.0</v>
      </c>
      <c r="P36" s="122" t="s">
        <v>247</v>
      </c>
      <c r="S36" s="180" t="s">
        <v>335</v>
      </c>
      <c r="T36" s="181" t="s">
        <v>336</v>
      </c>
      <c r="U36" s="181" t="s">
        <v>337</v>
      </c>
    </row>
    <row r="37">
      <c r="A37" s="22" t="s">
        <v>74</v>
      </c>
      <c r="B37" s="10" t="s">
        <v>75</v>
      </c>
      <c r="C37" s="193">
        <v>169.0</v>
      </c>
      <c r="D37" s="193">
        <v>202.0</v>
      </c>
      <c r="E37" s="193">
        <v>278.0</v>
      </c>
      <c r="F37" s="193">
        <v>374.0</v>
      </c>
      <c r="G37" s="193">
        <v>368.0</v>
      </c>
      <c r="H37" s="193">
        <v>267.0</v>
      </c>
      <c r="I37" s="193">
        <v>309.0</v>
      </c>
      <c r="J37" s="193">
        <v>298.0</v>
      </c>
      <c r="K37" s="193"/>
      <c r="L37" s="193"/>
      <c r="M37" s="193"/>
      <c r="N37" s="193"/>
      <c r="O37" s="193">
        <v>262.0</v>
      </c>
      <c r="P37" s="3" t="s">
        <v>309</v>
      </c>
      <c r="S37" s="180" t="s">
        <v>338</v>
      </c>
      <c r="T37" s="181" t="s">
        <v>339</v>
      </c>
      <c r="U37" s="181" t="s">
        <v>337</v>
      </c>
    </row>
    <row r="38">
      <c r="A38" s="22" t="s">
        <v>74</v>
      </c>
      <c r="B38" s="10" t="s">
        <v>248</v>
      </c>
      <c r="C38" s="123">
        <f t="shared" ref="C38:J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c r="L38" s="123"/>
      <c r="M38" s="123"/>
      <c r="N38" s="123"/>
      <c r="O38" s="123">
        <f>O37/35.3</f>
        <v>7.422096317</v>
      </c>
      <c r="P38" s="3" t="s">
        <v>309</v>
      </c>
      <c r="Q38" s="124"/>
      <c r="R38" s="124"/>
      <c r="S38" s="180" t="s">
        <v>340</v>
      </c>
      <c r="T38" s="181" t="s">
        <v>341</v>
      </c>
      <c r="U38" s="181" t="s">
        <v>337</v>
      </c>
    </row>
    <row r="39">
      <c r="A39" s="3" t="s">
        <v>249</v>
      </c>
      <c r="B39" s="10" t="s">
        <v>248</v>
      </c>
      <c r="C39" s="11">
        <v>6.8</v>
      </c>
      <c r="D39" s="11">
        <v>8.7</v>
      </c>
      <c r="E39" s="11">
        <v>16.9</v>
      </c>
      <c r="F39" s="11">
        <v>29.0</v>
      </c>
      <c r="G39" s="11">
        <v>29.0</v>
      </c>
      <c r="H39" s="11">
        <v>15.0</v>
      </c>
      <c r="I39" s="11">
        <v>11.0</v>
      </c>
      <c r="J39" s="11">
        <v>15.0</v>
      </c>
      <c r="K39" s="11"/>
      <c r="L39" s="11"/>
      <c r="M39" s="11"/>
      <c r="N39" s="11"/>
      <c r="O39" s="11">
        <v>15.0</v>
      </c>
      <c r="P39" s="125" t="s">
        <v>250</v>
      </c>
      <c r="S39" s="180" t="s">
        <v>171</v>
      </c>
      <c r="T39" s="181" t="s">
        <v>342</v>
      </c>
      <c r="U39" s="181" t="s">
        <v>337</v>
      </c>
    </row>
    <row r="40">
      <c r="A40" s="3"/>
      <c r="B40" s="10"/>
      <c r="C40" s="126"/>
      <c r="D40" s="126"/>
      <c r="E40" s="126"/>
      <c r="F40" s="11"/>
      <c r="G40" s="11">
        <v>29.0</v>
      </c>
      <c r="H40" s="11">
        <v>29.0</v>
      </c>
      <c r="I40" s="11">
        <v>28.5</v>
      </c>
      <c r="J40" s="11">
        <v>29.5</v>
      </c>
      <c r="K40" s="127"/>
      <c r="L40" s="127"/>
      <c r="M40" s="127"/>
      <c r="N40" s="127"/>
      <c r="O40" s="127"/>
      <c r="P40" s="127" t="s">
        <v>251</v>
      </c>
      <c r="S40" s="180" t="s">
        <v>343</v>
      </c>
      <c r="T40" s="181" t="s">
        <v>344</v>
      </c>
      <c r="U40" s="181" t="s">
        <v>337</v>
      </c>
    </row>
    <row r="41">
      <c r="A41" s="3" t="s">
        <v>252</v>
      </c>
      <c r="B41" s="10" t="s">
        <v>248</v>
      </c>
      <c r="C41" s="128">
        <f t="shared" ref="C41:J41" si="3">14%*C36</f>
        <v>8.54</v>
      </c>
      <c r="D41" s="128">
        <f t="shared" si="3"/>
        <v>9.66</v>
      </c>
      <c r="E41" s="128">
        <f t="shared" si="3"/>
        <v>10.22</v>
      </c>
      <c r="F41" s="128">
        <f t="shared" si="3"/>
        <v>11.06</v>
      </c>
      <c r="G41" s="128">
        <f t="shared" si="3"/>
        <v>12.32</v>
      </c>
      <c r="H41" s="128">
        <f t="shared" si="3"/>
        <v>11.34</v>
      </c>
      <c r="I41" s="128">
        <f t="shared" si="3"/>
        <v>8.4</v>
      </c>
      <c r="J41" s="128">
        <f t="shared" si="3"/>
        <v>8.75</v>
      </c>
      <c r="K41" s="128"/>
      <c r="L41" s="128"/>
      <c r="M41" s="128"/>
      <c r="N41" s="128"/>
      <c r="O41" s="128">
        <f>14%*O36</f>
        <v>9.8</v>
      </c>
      <c r="P41" s="127" t="s">
        <v>253</v>
      </c>
      <c r="S41" s="180" t="s">
        <v>345</v>
      </c>
      <c r="T41" s="181" t="s">
        <v>346</v>
      </c>
      <c r="U41" s="181" t="s">
        <v>334</v>
      </c>
    </row>
    <row r="42">
      <c r="A42" s="3" t="s">
        <v>254</v>
      </c>
      <c r="B42" s="10" t="s">
        <v>248</v>
      </c>
      <c r="C42" s="128">
        <f>0.8*C39 + 0.2*C41</f>
        <v>7.148</v>
      </c>
      <c r="D42" s="128">
        <f t="shared" ref="D42:J42" si="4">0.8*D39+0.2*D41</f>
        <v>8.892</v>
      </c>
      <c r="E42" s="128">
        <f t="shared" si="4"/>
        <v>15.564</v>
      </c>
      <c r="F42" s="128">
        <f t="shared" si="4"/>
        <v>25.412</v>
      </c>
      <c r="G42" s="128">
        <f t="shared" si="4"/>
        <v>25.664</v>
      </c>
      <c r="H42" s="128">
        <f t="shared" si="4"/>
        <v>14.268</v>
      </c>
      <c r="I42" s="128">
        <f t="shared" si="4"/>
        <v>10.48</v>
      </c>
      <c r="J42" s="128">
        <f t="shared" si="4"/>
        <v>13.75</v>
      </c>
      <c r="K42" s="128"/>
      <c r="L42" s="128"/>
      <c r="M42" s="128"/>
      <c r="N42" s="128"/>
      <c r="O42" s="128">
        <f>0.8*O39+0.2*O41</f>
        <v>13.96</v>
      </c>
      <c r="P42" s="127" t="s">
        <v>255</v>
      </c>
      <c r="Q42" s="22"/>
      <c r="S42" s="180" t="s">
        <v>347</v>
      </c>
      <c r="T42" s="181" t="s">
        <v>344</v>
      </c>
      <c r="U42" s="181" t="s">
        <v>334</v>
      </c>
    </row>
    <row r="43">
      <c r="A43" s="129" t="s">
        <v>256</v>
      </c>
      <c r="B43" s="130"/>
      <c r="C43" s="131">
        <f t="shared" ref="C43:J43" si="5">C42-C38</f>
        <v>2.360464589</v>
      </c>
      <c r="D43" s="131">
        <f t="shared" si="5"/>
        <v>3.169620397</v>
      </c>
      <c r="E43" s="131">
        <f t="shared" si="5"/>
        <v>7.688645892</v>
      </c>
      <c r="F43" s="131">
        <f t="shared" si="5"/>
        <v>14.81709915</v>
      </c>
      <c r="G43" s="131">
        <f t="shared" si="5"/>
        <v>15.23907082</v>
      </c>
      <c r="H43" s="131">
        <f t="shared" si="5"/>
        <v>6.704260623</v>
      </c>
      <c r="I43" s="131">
        <f t="shared" si="5"/>
        <v>1.726458924</v>
      </c>
      <c r="J43" s="131">
        <f t="shared" si="5"/>
        <v>5.308073654</v>
      </c>
      <c r="K43" s="130"/>
      <c r="L43" s="130"/>
      <c r="M43" s="130"/>
      <c r="N43" s="130"/>
      <c r="O43" s="131">
        <f>O42-O38</f>
        <v>6.537903683</v>
      </c>
      <c r="P43" s="129" t="s">
        <v>257</v>
      </c>
      <c r="Q43" s="130"/>
      <c r="R43" s="130"/>
      <c r="S43" s="180" t="s">
        <v>348</v>
      </c>
      <c r="T43" s="181" t="s">
        <v>349</v>
      </c>
      <c r="U43" s="181" t="s">
        <v>334</v>
      </c>
      <c r="V43" s="130"/>
      <c r="W43" s="130"/>
      <c r="X43" s="130"/>
      <c r="Y43" s="130"/>
      <c r="Z43" s="130"/>
      <c r="AA43" s="130"/>
      <c r="AB43" s="130"/>
      <c r="AC43" s="130"/>
      <c r="AD43" s="130"/>
      <c r="AE43" s="130"/>
      <c r="AF43" s="130"/>
      <c r="AG43" s="130"/>
      <c r="AH43" s="130"/>
      <c r="AI43" s="130"/>
      <c r="AJ43" s="130"/>
    </row>
    <row r="44">
      <c r="S44" s="180" t="s">
        <v>350</v>
      </c>
      <c r="T44" s="181" t="s">
        <v>351</v>
      </c>
      <c r="U44" s="181" t="s">
        <v>352</v>
      </c>
    </row>
    <row r="45">
      <c r="A45" s="22" t="s">
        <v>76</v>
      </c>
      <c r="B45" s="10" t="s">
        <v>77</v>
      </c>
      <c r="C45" s="63">
        <v>1038.0</v>
      </c>
      <c r="D45" s="63">
        <v>1394.0</v>
      </c>
      <c r="E45" s="63">
        <v>1785.0</v>
      </c>
      <c r="F45" s="63">
        <v>1863.0</v>
      </c>
      <c r="G45" s="63">
        <v>1364.0</v>
      </c>
      <c r="H45" s="63">
        <v>1249.0</v>
      </c>
      <c r="I45" s="63">
        <v>1511.0</v>
      </c>
      <c r="J45" s="63">
        <v>1478.0</v>
      </c>
      <c r="K45" s="63"/>
      <c r="L45" s="63"/>
      <c r="M45" s="63"/>
      <c r="N45" s="63"/>
      <c r="O45" s="63">
        <v>1423.0</v>
      </c>
      <c r="P45" s="3" t="s">
        <v>54</v>
      </c>
      <c r="S45" s="180" t="s">
        <v>353</v>
      </c>
      <c r="T45" s="181" t="s">
        <v>354</v>
      </c>
      <c r="U45" s="181" t="s">
        <v>352</v>
      </c>
    </row>
    <row r="46">
      <c r="A46" s="132"/>
      <c r="B46" s="132"/>
      <c r="C46" s="133"/>
      <c r="D46" s="133"/>
      <c r="E46" s="133"/>
      <c r="F46" s="133"/>
      <c r="G46" s="133"/>
      <c r="H46" s="133"/>
      <c r="I46" s="133"/>
      <c r="J46" s="133"/>
      <c r="K46" s="134"/>
      <c r="L46" s="134"/>
      <c r="M46" s="134"/>
      <c r="N46" s="134"/>
      <c r="O46" s="134"/>
      <c r="P46" s="134"/>
      <c r="Q46" s="134"/>
      <c r="R46" s="134"/>
      <c r="S46" s="180" t="s">
        <v>355</v>
      </c>
      <c r="T46" s="181" t="s">
        <v>356</v>
      </c>
      <c r="U46" s="181" t="s">
        <v>357</v>
      </c>
      <c r="V46" s="134"/>
      <c r="W46" s="134"/>
      <c r="X46" s="134"/>
      <c r="Y46" s="134"/>
      <c r="Z46" s="134"/>
      <c r="AA46" s="134"/>
      <c r="AB46" s="134"/>
      <c r="AC46" s="134"/>
      <c r="AD46" s="134"/>
      <c r="AE46" s="134"/>
      <c r="AF46" s="134"/>
      <c r="AG46" s="134"/>
      <c r="AH46" s="134"/>
      <c r="AI46" s="134"/>
      <c r="AJ46" s="134"/>
    </row>
    <row r="47">
      <c r="A47" s="194" t="s">
        <v>78</v>
      </c>
      <c r="B47" s="195" t="s">
        <v>79</v>
      </c>
      <c r="C47" s="64">
        <v>99.3</v>
      </c>
      <c r="D47" s="64">
        <v>110.5</v>
      </c>
      <c r="E47" s="64">
        <v>104.3</v>
      </c>
      <c r="F47" s="64">
        <v>99.9</v>
      </c>
      <c r="G47" s="64">
        <v>98.2</v>
      </c>
      <c r="H47" s="64">
        <v>97.1</v>
      </c>
      <c r="I47" s="64">
        <v>94.8</v>
      </c>
      <c r="J47" s="64">
        <v>96.8</v>
      </c>
      <c r="K47" s="64"/>
      <c r="L47" s="64"/>
      <c r="M47" s="64"/>
      <c r="N47" s="64"/>
      <c r="O47" s="64">
        <v>103.5</v>
      </c>
    </row>
    <row r="48">
      <c r="A48" s="194" t="s">
        <v>80</v>
      </c>
      <c r="B48" s="194" t="s">
        <v>79</v>
      </c>
      <c r="C48" s="64">
        <v>97.2</v>
      </c>
      <c r="D48" s="64">
        <v>128.1</v>
      </c>
      <c r="E48" s="64">
        <v>110.3</v>
      </c>
      <c r="F48" s="64">
        <v>101.0</v>
      </c>
      <c r="G48" s="64">
        <v>100.0</v>
      </c>
      <c r="H48" s="64">
        <v>90.0</v>
      </c>
      <c r="I48" s="64">
        <v>90.0</v>
      </c>
      <c r="J48" s="64">
        <v>90.0</v>
      </c>
      <c r="K48" s="64"/>
      <c r="L48" s="64"/>
      <c r="M48" s="64"/>
      <c r="N48" s="64"/>
      <c r="O48" s="64">
        <v>101.5</v>
      </c>
    </row>
    <row r="49">
      <c r="A49" s="194" t="s">
        <v>81</v>
      </c>
      <c r="B49" s="194" t="s">
        <v>79</v>
      </c>
      <c r="C49" s="64">
        <v>105.5</v>
      </c>
      <c r="D49" s="64">
        <v>106.0</v>
      </c>
      <c r="E49" s="64">
        <v>106.8</v>
      </c>
      <c r="F49" s="64">
        <v>108.3</v>
      </c>
      <c r="G49" s="64">
        <v>99.6</v>
      </c>
      <c r="H49" s="64">
        <v>90.2</v>
      </c>
      <c r="I49" s="64">
        <v>90.2</v>
      </c>
      <c r="J49" s="64">
        <v>90.1</v>
      </c>
      <c r="K49" s="64"/>
      <c r="L49" s="64"/>
      <c r="M49" s="64"/>
      <c r="N49" s="64"/>
      <c r="O49" s="64">
        <v>103.0</v>
      </c>
      <c r="P49" s="3" t="s">
        <v>381</v>
      </c>
    </row>
    <row r="50">
      <c r="A50" s="3" t="s">
        <v>259</v>
      </c>
      <c r="B50" s="3" t="s">
        <v>260</v>
      </c>
      <c r="C50" s="196">
        <v>22.0</v>
      </c>
      <c r="D50" s="196">
        <v>17.0</v>
      </c>
      <c r="E50" s="196">
        <v>36.0</v>
      </c>
      <c r="F50" s="196">
        <v>47.0</v>
      </c>
      <c r="G50" s="196">
        <v>43.0</v>
      </c>
      <c r="H50" s="196">
        <v>55.0</v>
      </c>
      <c r="I50" s="196">
        <v>23.0</v>
      </c>
      <c r="J50" s="196">
        <v>38.0</v>
      </c>
      <c r="K50" s="196"/>
      <c r="L50" s="196"/>
      <c r="M50" s="196"/>
      <c r="N50" s="196"/>
      <c r="O50" s="196">
        <v>21.0</v>
      </c>
    </row>
    <row r="53">
      <c r="A53" s="3" t="s">
        <v>137</v>
      </c>
      <c r="B53" s="11"/>
      <c r="C53" s="63">
        <v>74.4</v>
      </c>
      <c r="D53" s="63">
        <v>73.6</v>
      </c>
      <c r="E53" s="63">
        <v>72.8</v>
      </c>
      <c r="F53" s="63">
        <v>72.8</v>
      </c>
      <c r="G53" s="63">
        <v>86.2</v>
      </c>
      <c r="H53" s="63">
        <v>86.0</v>
      </c>
      <c r="I53" s="63">
        <v>89.2</v>
      </c>
      <c r="J53" s="63">
        <v>88.1</v>
      </c>
      <c r="K53" s="63"/>
      <c r="L53" s="63"/>
      <c r="M53" s="63"/>
      <c r="N53" s="63"/>
      <c r="O53" s="63">
        <v>95.4</v>
      </c>
      <c r="P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60</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60</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65</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65</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62.5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62.5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c r="Q67" s="66"/>
      <c r="R67" s="66"/>
      <c r="S67" s="66"/>
      <c r="T67" s="66"/>
    </row>
    <row r="68">
      <c r="A68" s="66"/>
      <c r="B68" s="18" t="s">
        <v>167</v>
      </c>
      <c r="C68" s="18" t="s">
        <v>168</v>
      </c>
      <c r="D68" s="67" t="s">
        <v>169</v>
      </c>
      <c r="E68" s="18" t="s">
        <v>170</v>
      </c>
      <c r="F68" s="18" t="s">
        <v>171</v>
      </c>
      <c r="G68" s="67" t="s">
        <v>172</v>
      </c>
      <c r="H68" s="18" t="s">
        <v>173</v>
      </c>
      <c r="I68" s="18" t="s">
        <v>174</v>
      </c>
      <c r="J68" s="67" t="s">
        <v>175</v>
      </c>
      <c r="K68" s="18"/>
      <c r="L68" s="18"/>
      <c r="M68" s="18"/>
      <c r="N68" s="18"/>
      <c r="O68" s="18" t="s">
        <v>176</v>
      </c>
      <c r="P68" s="18" t="s">
        <v>177</v>
      </c>
      <c r="Q68" s="67" t="s">
        <v>178</v>
      </c>
      <c r="R68" s="66"/>
      <c r="S68" s="66"/>
    </row>
    <row r="69">
      <c r="A69" s="68">
        <v>2021.0</v>
      </c>
      <c r="B69" s="69">
        <v>0.67</v>
      </c>
      <c r="C69" s="69">
        <v>0.78</v>
      </c>
      <c r="D69" s="69">
        <v>0.66</v>
      </c>
      <c r="E69" s="69">
        <v>0.58</v>
      </c>
      <c r="F69" s="69">
        <v>0.74</v>
      </c>
      <c r="G69" s="69">
        <v>0.69</v>
      </c>
      <c r="H69" s="98">
        <v>0.31</v>
      </c>
      <c r="I69" s="98">
        <v>0.17</v>
      </c>
      <c r="J69" s="98">
        <v>0.6</v>
      </c>
      <c r="K69" s="98"/>
      <c r="L69" s="98"/>
      <c r="M69" s="98"/>
      <c r="N69" s="98"/>
      <c r="O69" s="170">
        <v>1.11</v>
      </c>
      <c r="P69" s="170">
        <v>0.96</v>
      </c>
      <c r="Q69" s="183">
        <v>0.82</v>
      </c>
      <c r="R69" s="73"/>
      <c r="S69" s="74"/>
    </row>
    <row r="70">
      <c r="A70" s="75" t="s">
        <v>179</v>
      </c>
      <c r="B70" s="91">
        <v>5.19</v>
      </c>
      <c r="C70" s="76">
        <v>5.67</v>
      </c>
      <c r="D70" s="76">
        <v>5.79</v>
      </c>
      <c r="E70" s="76">
        <v>5.53</v>
      </c>
      <c r="F70" s="76">
        <v>6.02</v>
      </c>
      <c r="G70" s="76">
        <v>6.5</v>
      </c>
      <c r="H70" s="77">
        <v>6.46</v>
      </c>
      <c r="I70" s="77">
        <v>6.68</v>
      </c>
      <c r="J70" s="135">
        <v>7.4</v>
      </c>
      <c r="K70" s="135"/>
      <c r="L70" s="135"/>
      <c r="M70" s="135"/>
      <c r="N70" s="135"/>
      <c r="O70" s="135">
        <v>8.13</v>
      </c>
      <c r="P70" s="77">
        <v>8.4</v>
      </c>
      <c r="Q70" s="184">
        <v>8.39</v>
      </c>
      <c r="R70" s="79"/>
      <c r="S70" s="80">
        <v>2021.0</v>
      </c>
    </row>
    <row r="71">
      <c r="A71" s="66"/>
      <c r="B71" s="66"/>
      <c r="C71" s="66"/>
      <c r="D71" s="66"/>
      <c r="E71" s="66"/>
      <c r="F71" s="66"/>
      <c r="G71" s="66"/>
      <c r="H71" s="66"/>
      <c r="I71" s="66"/>
      <c r="J71" s="66"/>
      <c r="K71" s="66"/>
      <c r="L71" s="66"/>
      <c r="M71" s="66"/>
      <c r="N71" s="66"/>
      <c r="O71" s="66"/>
      <c r="P71" s="66"/>
      <c r="Q71" s="66"/>
      <c r="R71" s="81"/>
    </row>
    <row r="72">
      <c r="A72" s="18" t="s">
        <v>181</v>
      </c>
      <c r="B72" s="18">
        <v>0.6</v>
      </c>
      <c r="C72" s="18">
        <v>0.4</v>
      </c>
      <c r="D72" s="18">
        <v>0.5</v>
      </c>
      <c r="E72" s="18">
        <v>0.4</v>
      </c>
      <c r="F72" s="18">
        <v>0.4</v>
      </c>
      <c r="G72" s="18">
        <v>0.4</v>
      </c>
      <c r="H72" s="18">
        <v>0.5</v>
      </c>
      <c r="I72" s="18">
        <v>0.0</v>
      </c>
      <c r="J72" s="18">
        <v>0.2</v>
      </c>
      <c r="K72" s="18"/>
      <c r="L72" s="18"/>
      <c r="M72" s="18"/>
      <c r="N72" s="18"/>
      <c r="O72" s="18">
        <v>0.4</v>
      </c>
      <c r="P72" s="18">
        <v>0.5</v>
      </c>
      <c r="Q72" s="18">
        <v>0.5</v>
      </c>
      <c r="R72" s="66"/>
      <c r="S72" s="66"/>
    </row>
    <row r="73">
      <c r="A73" s="18" t="s">
        <v>182</v>
      </c>
      <c r="B73" s="18">
        <v>0.5</v>
      </c>
      <c r="C73" s="18">
        <v>0.3</v>
      </c>
      <c r="D73" s="18">
        <v>0.3</v>
      </c>
      <c r="E73" s="18">
        <v>0.4</v>
      </c>
      <c r="F73" s="18">
        <v>0.4</v>
      </c>
      <c r="G73" s="18">
        <v>0.4</v>
      </c>
      <c r="H73" s="18">
        <v>0.2</v>
      </c>
      <c r="I73" s="82">
        <v>-0.1</v>
      </c>
      <c r="J73" s="82">
        <v>-0.1</v>
      </c>
      <c r="K73" s="18"/>
      <c r="L73" s="18"/>
      <c r="M73" s="18"/>
      <c r="N73" s="18"/>
      <c r="O73" s="18">
        <v>0.3</v>
      </c>
      <c r="P73" s="18">
        <v>0.4</v>
      </c>
      <c r="Q73" s="18">
        <v>0.6</v>
      </c>
      <c r="R73" s="66"/>
      <c r="S73" s="66"/>
    </row>
    <row r="74">
      <c r="A74" s="66"/>
      <c r="B74" s="18" t="s">
        <v>183</v>
      </c>
      <c r="C74" s="18" t="s">
        <v>184</v>
      </c>
      <c r="D74" s="18" t="s">
        <v>169</v>
      </c>
      <c r="E74" s="18" t="s">
        <v>185</v>
      </c>
      <c r="F74" s="18" t="s">
        <v>186</v>
      </c>
      <c r="G74" s="18" t="s">
        <v>172</v>
      </c>
      <c r="H74" s="18" t="s">
        <v>187</v>
      </c>
      <c r="I74" s="18" t="s">
        <v>188</v>
      </c>
      <c r="J74" s="18" t="s">
        <v>175</v>
      </c>
      <c r="K74" s="18"/>
      <c r="L74" s="18"/>
      <c r="M74" s="18"/>
      <c r="N74" s="18"/>
      <c r="O74" s="18" t="s">
        <v>189</v>
      </c>
      <c r="P74" s="18" t="s">
        <v>190</v>
      </c>
      <c r="Q74" s="18" t="s">
        <v>178</v>
      </c>
      <c r="R74" s="66"/>
      <c r="S74" s="66"/>
    </row>
    <row r="75">
      <c r="A75" s="66"/>
      <c r="B75" s="199">
        <v>0.0099</v>
      </c>
      <c r="C75" s="199">
        <v>0.0117</v>
      </c>
      <c r="D75" s="199">
        <v>0.0761</v>
      </c>
      <c r="E75" s="199">
        <v>0.0156</v>
      </c>
      <c r="F75" s="199">
        <v>0.0012</v>
      </c>
      <c r="G75" s="199">
        <v>-0.0035</v>
      </c>
      <c r="H75" s="199">
        <v>0.007</v>
      </c>
      <c r="I75" s="200">
        <f t="shared" ref="I75:J75" si="13"> (12% - SUM( $B$75:$H$75 ) ) * I73 / SUM( $I$73:$Q$73 )</f>
        <v>-0.0001818181818</v>
      </c>
      <c r="J75" s="200">
        <f t="shared" si="13"/>
        <v>-0.0001818181818</v>
      </c>
      <c r="K75" s="200"/>
      <c r="L75" s="200"/>
      <c r="M75" s="200"/>
      <c r="N75" s="200"/>
      <c r="O75" s="200">
        <f t="shared" ref="O75:Q75" si="14"> (12% - SUM( $B$75:$H$75 ) ) * O73 / SUM( $I$73:$Q$73 )</f>
        <v>0.0005454545455</v>
      </c>
      <c r="P75" s="200">
        <f t="shared" si="14"/>
        <v>0.0007272727273</v>
      </c>
      <c r="Q75" s="200">
        <f t="shared" si="14"/>
        <v>0.001090909091</v>
      </c>
      <c r="R75" s="66"/>
      <c r="S75" s="201">
        <f> SUM( B75:Q75 )</f>
        <v>0.12</v>
      </c>
    </row>
    <row r="76">
      <c r="A76" s="66"/>
      <c r="B76" s="66"/>
      <c r="C76" s="66"/>
      <c r="D76" s="66"/>
      <c r="E76" s="66"/>
      <c r="F76" s="66"/>
      <c r="G76" s="66"/>
      <c r="H76" s="66"/>
      <c r="I76" s="66"/>
      <c r="J76" s="66"/>
      <c r="K76" s="66"/>
      <c r="L76" s="66"/>
      <c r="M76" s="66"/>
      <c r="N76" s="66"/>
      <c r="O76" s="66"/>
      <c r="P76" s="66"/>
      <c r="Q76" s="66"/>
      <c r="R76" s="66"/>
      <c r="S76" s="66"/>
    </row>
    <row r="77">
      <c r="A77" s="66"/>
      <c r="B77" s="18" t="s">
        <v>167</v>
      </c>
      <c r="C77" s="18" t="s">
        <v>168</v>
      </c>
      <c r="D77" s="83" t="s">
        <v>169</v>
      </c>
      <c r="E77" s="18" t="s">
        <v>170</v>
      </c>
      <c r="F77" s="18" t="s">
        <v>171</v>
      </c>
      <c r="G77" s="83" t="s">
        <v>172</v>
      </c>
      <c r="H77" s="18" t="s">
        <v>173</v>
      </c>
      <c r="I77" s="18" t="s">
        <v>174</v>
      </c>
      <c r="J77" s="83" t="s">
        <v>175</v>
      </c>
      <c r="K77" s="18"/>
      <c r="L77" s="18"/>
      <c r="M77" s="18"/>
      <c r="N77" s="18"/>
      <c r="O77" s="18" t="s">
        <v>176</v>
      </c>
      <c r="P77" s="18" t="s">
        <v>177</v>
      </c>
      <c r="Q77" s="83" t="s">
        <v>178</v>
      </c>
      <c r="R77" s="66"/>
      <c r="S77" s="66"/>
    </row>
    <row r="78">
      <c r="A78" s="68">
        <v>2022.0</v>
      </c>
      <c r="B78" s="70">
        <v>1.0</v>
      </c>
      <c r="C78" s="70">
        <v>0.5</v>
      </c>
      <c r="D78" s="70">
        <v>0.5</v>
      </c>
      <c r="E78" s="70">
        <v>0.5</v>
      </c>
      <c r="F78" s="70">
        <v>0.4</v>
      </c>
      <c r="G78" s="70">
        <v>0.5</v>
      </c>
      <c r="H78" s="71">
        <v>0.4</v>
      </c>
      <c r="I78" s="71">
        <v>0.0</v>
      </c>
      <c r="J78" s="71">
        <v>0.2</v>
      </c>
      <c r="K78" s="71"/>
      <c r="L78" s="71"/>
      <c r="M78" s="71"/>
      <c r="N78" s="71"/>
      <c r="O78" s="71">
        <v>0.4</v>
      </c>
      <c r="P78" s="71">
        <v>0.5</v>
      </c>
      <c r="Q78" s="72">
        <v>0.6</v>
      </c>
      <c r="R78" s="66"/>
      <c r="S78" s="66"/>
    </row>
    <row r="79">
      <c r="A79" s="75" t="s">
        <v>179</v>
      </c>
      <c r="B79" s="91">
        <v>8.75</v>
      </c>
      <c r="C79" s="76">
        <v>8.45</v>
      </c>
      <c r="D79" s="76">
        <v>8.28</v>
      </c>
      <c r="E79" s="76">
        <v>8.19</v>
      </c>
      <c r="F79" s="76">
        <v>7.82</v>
      </c>
      <c r="G79" s="76">
        <v>7.62</v>
      </c>
      <c r="H79" s="77">
        <v>7.72</v>
      </c>
      <c r="I79" s="77">
        <v>7.53</v>
      </c>
      <c r="J79" s="77">
        <v>7.11</v>
      </c>
      <c r="K79" s="77"/>
      <c r="L79" s="77"/>
      <c r="M79" s="77"/>
      <c r="N79" s="77"/>
      <c r="O79" s="77">
        <v>6.35</v>
      </c>
      <c r="P79" s="77">
        <v>5.87</v>
      </c>
      <c r="Q79" s="78">
        <v>5.64</v>
      </c>
      <c r="R79" s="79"/>
      <c r="S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c r="L82" s="186"/>
      <c r="M82" s="186"/>
      <c r="N82" s="186"/>
      <c r="O82" s="186" t="s">
        <v>383</v>
      </c>
    </row>
    <row r="83">
      <c r="A83" s="3" t="s">
        <v>384</v>
      </c>
      <c r="C83" s="187">
        <v>74.4</v>
      </c>
      <c r="D83" s="187">
        <v>74.2</v>
      </c>
      <c r="E83" s="187">
        <v>73.5</v>
      </c>
      <c r="F83" s="187">
        <v>72.7</v>
      </c>
      <c r="G83" s="187">
        <v>87.8</v>
      </c>
      <c r="H83" s="187">
        <v>85.4</v>
      </c>
      <c r="I83" s="187">
        <v>82.7</v>
      </c>
      <c r="J83" s="187">
        <v>80.5</v>
      </c>
      <c r="K83" s="188"/>
      <c r="L83" s="188"/>
      <c r="M83" s="188"/>
      <c r="N83" s="188"/>
      <c r="O83" s="188" t="s">
        <v>385</v>
      </c>
    </row>
  </sheetData>
  <mergeCells count="1">
    <mergeCell ref="R71:S7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5" width="14.5"/>
    <col customWidth="1" min="16" max="16" width="14.75"/>
  </cols>
  <sheetData>
    <row r="1">
      <c r="A1" s="92">
        <v>44988.0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2" t="s">
        <v>9</v>
      </c>
      <c r="R1" s="2" t="s">
        <v>10</v>
      </c>
      <c r="S1" s="2" t="s">
        <v>11</v>
      </c>
      <c r="T1" s="2" t="s">
        <v>12</v>
      </c>
      <c r="U1" s="2" t="s">
        <v>13</v>
      </c>
      <c r="V1" s="2" t="s">
        <v>14</v>
      </c>
    </row>
    <row r="2">
      <c r="A2" s="191"/>
      <c r="B2" s="54"/>
      <c r="C2" s="4"/>
      <c r="D2" s="4"/>
      <c r="E2" s="54"/>
      <c r="F2" s="54"/>
      <c r="G2" s="54"/>
      <c r="H2" s="54"/>
      <c r="J2" s="5"/>
      <c r="Q2" s="3"/>
      <c r="S2" s="7"/>
      <c r="T2" s="52"/>
      <c r="U2" s="3"/>
      <c r="V2" s="52"/>
    </row>
    <row r="3">
      <c r="A3" s="3" t="s">
        <v>15</v>
      </c>
      <c r="B3" s="4"/>
      <c r="C3" s="4" t="s">
        <v>16</v>
      </c>
      <c r="D3" s="4" t="s">
        <v>16</v>
      </c>
      <c r="E3" s="54" t="s">
        <v>152</v>
      </c>
      <c r="F3" s="54" t="s">
        <v>293</v>
      </c>
      <c r="G3" s="54" t="s">
        <v>18</v>
      </c>
      <c r="H3" s="54" t="s">
        <v>18</v>
      </c>
      <c r="I3" s="112" t="s">
        <v>416</v>
      </c>
      <c r="J3" s="112" t="s">
        <v>397</v>
      </c>
      <c r="K3" s="8">
        <v>72.0</v>
      </c>
      <c r="L3" s="8">
        <v>75.0</v>
      </c>
      <c r="M3" s="8">
        <v>76.0</v>
      </c>
      <c r="N3" s="8">
        <v>77.0</v>
      </c>
      <c r="O3" s="208">
        <f>AVERAGE(K3:N3)</f>
        <v>75</v>
      </c>
      <c r="R3" s="3">
        <v>60.3</v>
      </c>
      <c r="S3" s="7"/>
      <c r="T3" s="52"/>
      <c r="V3" s="52"/>
    </row>
    <row r="4">
      <c r="A4" s="3" t="s">
        <v>24</v>
      </c>
      <c r="B4" s="4"/>
      <c r="C4" s="4" t="s">
        <v>25</v>
      </c>
      <c r="D4" s="4" t="s">
        <v>25</v>
      </c>
      <c r="E4" s="54" t="s">
        <v>153</v>
      </c>
      <c r="F4" s="54" t="s">
        <v>295</v>
      </c>
      <c r="G4" s="54" t="s">
        <v>153</v>
      </c>
      <c r="H4" s="54" t="s">
        <v>153</v>
      </c>
      <c r="I4" s="112" t="s">
        <v>416</v>
      </c>
      <c r="J4" s="112" t="s">
        <v>397</v>
      </c>
      <c r="K4" s="8"/>
      <c r="L4" s="8"/>
      <c r="M4" s="8"/>
      <c r="N4" s="8"/>
      <c r="O4" s="8">
        <v>80.0</v>
      </c>
      <c r="P4" s="3" t="s">
        <v>426</v>
      </c>
      <c r="R4" s="3">
        <v>61.5</v>
      </c>
      <c r="S4" s="7"/>
      <c r="T4" s="52"/>
      <c r="V4" s="52"/>
    </row>
    <row r="5">
      <c r="A5" s="3" t="s">
        <v>28</v>
      </c>
      <c r="B5" s="4"/>
      <c r="C5" s="4" t="s">
        <v>29</v>
      </c>
      <c r="D5" s="4" t="s">
        <v>139</v>
      </c>
      <c r="E5" s="54" t="s">
        <v>199</v>
      </c>
      <c r="F5" s="54" t="s">
        <v>298</v>
      </c>
      <c r="G5" s="54" t="s">
        <v>391</v>
      </c>
      <c r="H5" s="54" t="s">
        <v>392</v>
      </c>
      <c r="I5" s="112" t="s">
        <v>410</v>
      </c>
      <c r="J5" s="112" t="s">
        <v>411</v>
      </c>
      <c r="K5" s="8">
        <v>85.0</v>
      </c>
      <c r="L5" s="8">
        <v>80.0</v>
      </c>
      <c r="M5" s="8">
        <v>80.0</v>
      </c>
      <c r="N5" s="8">
        <v>75.0</v>
      </c>
      <c r="O5" s="8">
        <v>80.0</v>
      </c>
      <c r="P5" s="3" t="s">
        <v>427</v>
      </c>
      <c r="T5" s="52">
        <v>73.0</v>
      </c>
      <c r="V5" s="52"/>
    </row>
    <row r="6" ht="26.25" customHeight="1" collapsed="1">
      <c r="A6" s="3" t="s">
        <v>399</v>
      </c>
      <c r="B6" s="4"/>
      <c r="C6" s="4">
        <v>5.7</v>
      </c>
      <c r="D6" s="54" t="s">
        <v>144</v>
      </c>
      <c r="E6" s="54" t="s">
        <v>201</v>
      </c>
      <c r="F6" s="54" t="s">
        <v>299</v>
      </c>
      <c r="G6" s="54" t="s">
        <v>319</v>
      </c>
      <c r="H6" s="54" t="s">
        <v>304</v>
      </c>
      <c r="I6" s="112" t="s">
        <v>400</v>
      </c>
      <c r="J6" s="112" t="s">
        <v>420</v>
      </c>
      <c r="K6" s="8">
        <v>3.6</v>
      </c>
      <c r="L6" s="8">
        <v>4.3</v>
      </c>
      <c r="M6" s="8">
        <v>6.3</v>
      </c>
      <c r="N6" s="209">
        <v>7.0</v>
      </c>
      <c r="O6" s="209">
        <v>7.0</v>
      </c>
      <c r="P6" s="3" t="s">
        <v>428</v>
      </c>
      <c r="S6" s="7"/>
      <c r="T6" s="52">
        <v>75.0</v>
      </c>
      <c r="V6" s="52"/>
    </row>
    <row r="7" hidden="1" outlineLevel="1">
      <c r="A7" s="3"/>
      <c r="B7" s="4"/>
      <c r="C7" s="4"/>
      <c r="D7" s="54"/>
      <c r="E7" s="111" t="s">
        <v>241</v>
      </c>
      <c r="F7" s="112" t="s">
        <v>236</v>
      </c>
      <c r="G7" s="54" t="s">
        <v>237</v>
      </c>
      <c r="H7" s="54" t="s">
        <v>238</v>
      </c>
      <c r="I7" s="112" t="s">
        <v>239</v>
      </c>
      <c r="J7" s="206"/>
      <c r="K7" s="192"/>
      <c r="L7" s="192"/>
      <c r="M7" s="192"/>
      <c r="N7" s="192"/>
      <c r="O7" s="192"/>
      <c r="S7" s="7"/>
      <c r="T7" s="52"/>
      <c r="V7" s="52"/>
    </row>
    <row r="8">
      <c r="A8" s="3" t="s">
        <v>402</v>
      </c>
      <c r="B8" s="4"/>
      <c r="C8" s="4"/>
      <c r="D8" s="54"/>
      <c r="E8" s="54"/>
      <c r="F8" s="54"/>
      <c r="G8" s="54"/>
      <c r="H8" s="54"/>
      <c r="I8" s="112"/>
      <c r="J8" s="207"/>
      <c r="K8" s="54"/>
      <c r="L8" s="54"/>
      <c r="M8" s="54"/>
      <c r="N8" s="54"/>
      <c r="O8" s="54"/>
      <c r="P8" s="3"/>
      <c r="S8" s="7"/>
      <c r="T8" s="210" t="s">
        <v>429</v>
      </c>
      <c r="U8" s="157">
        <f>T6/T5-1</f>
        <v>0.02739726027</v>
      </c>
      <c r="V8" s="52"/>
    </row>
    <row r="9">
      <c r="A9" s="3" t="s">
        <v>413</v>
      </c>
      <c r="B9" s="4"/>
      <c r="C9" s="4">
        <v>4.5</v>
      </c>
      <c r="D9" s="54">
        <v>5.5</v>
      </c>
      <c r="E9" s="54" t="s">
        <v>194</v>
      </c>
      <c r="F9" s="54">
        <v>8.5</v>
      </c>
      <c r="G9" s="54" t="s">
        <v>387</v>
      </c>
      <c r="H9" s="54" t="s">
        <v>387</v>
      </c>
      <c r="I9" s="207">
        <v>44780.0</v>
      </c>
      <c r="J9" s="112">
        <v>7.5</v>
      </c>
      <c r="K9" s="211">
        <v>7.5</v>
      </c>
      <c r="L9" s="211">
        <v>8.0</v>
      </c>
      <c r="M9" s="211">
        <v>8.25</v>
      </c>
      <c r="N9" s="211">
        <v>8.25</v>
      </c>
      <c r="O9" s="211">
        <v>8.25</v>
      </c>
      <c r="S9" s="7"/>
      <c r="T9" s="210" t="s">
        <v>430</v>
      </c>
      <c r="U9" s="212">
        <f>U8*0.2</f>
        <v>0.005479452055</v>
      </c>
      <c r="V9" s="52"/>
    </row>
    <row r="10">
      <c r="A10" s="3" t="s">
        <v>405</v>
      </c>
      <c r="E10" s="114"/>
      <c r="F10" s="115"/>
      <c r="G10" s="115"/>
      <c r="H10" s="115"/>
      <c r="I10" s="112" t="s">
        <v>406</v>
      </c>
      <c r="J10" s="112" t="s">
        <v>406</v>
      </c>
      <c r="K10" s="213" t="s">
        <v>431</v>
      </c>
      <c r="N10" s="3" t="s">
        <v>432</v>
      </c>
      <c r="T10" s="55"/>
      <c r="V10" s="55"/>
    </row>
    <row r="11">
      <c r="E11" s="114" t="s">
        <v>241</v>
      </c>
      <c r="F11" s="115" t="s">
        <v>242</v>
      </c>
      <c r="G11" s="115" t="s">
        <v>242</v>
      </c>
      <c r="H11" s="115" t="s">
        <v>194</v>
      </c>
      <c r="I11" s="115" t="s">
        <v>148</v>
      </c>
      <c r="K11" s="3" t="s">
        <v>433</v>
      </c>
      <c r="L11" s="3"/>
      <c r="N11" s="3" t="s">
        <v>434</v>
      </c>
      <c r="T11" s="55"/>
      <c r="V11" s="55"/>
    </row>
    <row r="12">
      <c r="A12" s="3" t="s">
        <v>47</v>
      </c>
      <c r="C12" s="4">
        <v>5.7</v>
      </c>
      <c r="D12" s="4">
        <v>6.5</v>
      </c>
      <c r="E12" s="62">
        <v>7.4</v>
      </c>
      <c r="F12" s="54">
        <v>8.1</v>
      </c>
      <c r="G12" s="54"/>
      <c r="H12" s="62"/>
      <c r="I12" s="62"/>
      <c r="J12" s="62"/>
      <c r="K12" s="3" t="s">
        <v>435</v>
      </c>
      <c r="N12" s="3" t="s">
        <v>436</v>
      </c>
    </row>
    <row r="13">
      <c r="A13" s="3" t="s">
        <v>162</v>
      </c>
      <c r="D13" s="111" t="s">
        <v>241</v>
      </c>
      <c r="E13" s="117">
        <v>7.0</v>
      </c>
      <c r="F13" s="112">
        <v>7.3</v>
      </c>
      <c r="G13" s="112"/>
      <c r="H13" s="112"/>
      <c r="I13" s="117"/>
      <c r="J13" s="112"/>
      <c r="K13" s="3" t="s">
        <v>437</v>
      </c>
      <c r="N13" s="3" t="s">
        <v>438</v>
      </c>
    </row>
    <row r="14">
      <c r="C14" s="10"/>
      <c r="D14" s="10"/>
      <c r="E14" s="10"/>
      <c r="F14" s="10"/>
      <c r="G14" s="10"/>
      <c r="H14" s="10"/>
      <c r="I14" s="10"/>
      <c r="J14" s="10"/>
      <c r="K14" s="3" t="s">
        <v>439</v>
      </c>
    </row>
    <row r="15">
      <c r="E15" s="118">
        <v>74.5</v>
      </c>
      <c r="F15" s="118">
        <v>74.2</v>
      </c>
      <c r="G15" s="118">
        <v>76.5</v>
      </c>
      <c r="H15" s="118">
        <v>77.7</v>
      </c>
      <c r="I15" s="118">
        <v>77.7</v>
      </c>
      <c r="J15" s="118">
        <v>76.5</v>
      </c>
      <c r="K15" s="119"/>
      <c r="L15" s="119"/>
      <c r="M15" s="119"/>
      <c r="N15" s="119"/>
      <c r="O15" s="119"/>
      <c r="P15" s="119" t="s">
        <v>305</v>
      </c>
    </row>
    <row r="16">
      <c r="A16" s="3" t="s">
        <v>48</v>
      </c>
      <c r="C16" s="164">
        <v>74.4</v>
      </c>
      <c r="D16" s="164">
        <v>74.2</v>
      </c>
      <c r="E16" s="164">
        <v>73.5</v>
      </c>
      <c r="F16" s="118">
        <v>72.4</v>
      </c>
      <c r="G16" s="118">
        <v>71.4</v>
      </c>
      <c r="H16" s="118">
        <v>76.4</v>
      </c>
      <c r="I16" s="118">
        <v>78.1</v>
      </c>
      <c r="J16" s="118">
        <v>75.9</v>
      </c>
      <c r="K16" s="119"/>
      <c r="L16" s="119"/>
      <c r="M16" s="119"/>
      <c r="N16" s="119"/>
      <c r="O16" s="119"/>
      <c r="P16" s="119" t="s">
        <v>325</v>
      </c>
    </row>
    <row r="17">
      <c r="A17" s="3" t="s">
        <v>15</v>
      </c>
      <c r="B17" s="11"/>
      <c r="C17" s="63">
        <v>74.4</v>
      </c>
      <c r="D17" s="63">
        <v>74.2</v>
      </c>
      <c r="E17" s="63">
        <v>73.5</v>
      </c>
      <c r="F17" s="93">
        <v>73.65</v>
      </c>
      <c r="G17" s="93">
        <v>87.34</v>
      </c>
      <c r="H17" s="93">
        <v>66.51</v>
      </c>
      <c r="I17" s="63">
        <v>88.0</v>
      </c>
      <c r="J17" s="63">
        <v>86.4</v>
      </c>
      <c r="K17" s="63"/>
      <c r="L17" s="63"/>
      <c r="M17" s="63"/>
      <c r="N17" s="63"/>
      <c r="O17" s="63">
        <v>89.5</v>
      </c>
      <c r="P17" s="6" t="s">
        <v>407</v>
      </c>
    </row>
    <row r="18">
      <c r="A18" s="3"/>
      <c r="B18" s="12"/>
      <c r="C18" s="12"/>
      <c r="D18" s="13"/>
      <c r="E18" s="13"/>
      <c r="F18" s="13"/>
      <c r="G18" s="13"/>
      <c r="H18" s="13"/>
      <c r="I18" s="13"/>
      <c r="J18" s="13"/>
      <c r="K18" s="13"/>
      <c r="L18" s="13"/>
      <c r="M18" s="13"/>
      <c r="N18" s="13"/>
      <c r="O18" s="13"/>
      <c r="P18" s="13"/>
      <c r="Q18" s="13"/>
    </row>
    <row r="19">
      <c r="A19" s="119" t="s">
        <v>50</v>
      </c>
      <c r="B19" s="119"/>
      <c r="C19" s="119"/>
      <c r="D19" s="173"/>
      <c r="E19" s="173"/>
      <c r="F19" s="174">
        <v>8.2</v>
      </c>
      <c r="G19" s="175">
        <v>7.0</v>
      </c>
      <c r="H19" s="174">
        <v>44202.0</v>
      </c>
      <c r="I19" s="174">
        <v>44352.0</v>
      </c>
      <c r="J19" s="175">
        <v>4.9</v>
      </c>
      <c r="K19" s="119"/>
      <c r="L19" s="119"/>
      <c r="M19" s="119"/>
      <c r="N19" s="119"/>
      <c r="O19" s="119"/>
      <c r="P19" s="119" t="s">
        <v>327</v>
      </c>
      <c r="Q19" s="173"/>
      <c r="R19" s="173"/>
      <c r="S19" s="173"/>
      <c r="T19" s="173"/>
      <c r="U19" s="173"/>
      <c r="V19" s="173"/>
      <c r="W19" s="173"/>
      <c r="X19" s="173"/>
      <c r="Y19" s="173"/>
      <c r="Z19" s="173"/>
      <c r="AA19" s="173"/>
      <c r="AB19" s="173"/>
      <c r="AC19" s="173"/>
      <c r="AD19" s="173"/>
      <c r="AE19" s="173"/>
      <c r="AF19" s="173"/>
      <c r="AG19" s="173"/>
      <c r="AH19" s="173"/>
      <c r="AI19" s="173"/>
      <c r="AJ19" s="173"/>
    </row>
    <row r="20">
      <c r="A20" s="3" t="s">
        <v>50</v>
      </c>
      <c r="B20" s="12"/>
      <c r="C20" s="12"/>
      <c r="D20" s="13"/>
      <c r="E20" s="13"/>
      <c r="F20" s="14">
        <v>44659.0</v>
      </c>
      <c r="G20" s="14">
        <v>44780.0</v>
      </c>
      <c r="H20" s="14">
        <v>44718.0</v>
      </c>
      <c r="I20" s="14">
        <v>44598.0</v>
      </c>
      <c r="J20" s="14">
        <v>44625.0</v>
      </c>
      <c r="K20" s="3"/>
      <c r="L20" s="3"/>
      <c r="M20" s="3"/>
      <c r="N20" s="3"/>
      <c r="O20" s="3"/>
      <c r="P20" s="3" t="s">
        <v>328</v>
      </c>
    </row>
    <row r="21">
      <c r="B21" s="12"/>
      <c r="C21" s="12"/>
      <c r="D21" s="13"/>
      <c r="E21" s="13"/>
      <c r="F21" s="13"/>
      <c r="G21" s="176">
        <v>44659.0</v>
      </c>
      <c r="H21" s="176">
        <v>44749.0</v>
      </c>
      <c r="I21" s="176">
        <v>44779.0</v>
      </c>
      <c r="J21" s="176">
        <v>44625.0</v>
      </c>
      <c r="K21" s="3"/>
      <c r="L21" s="3"/>
      <c r="M21" s="3"/>
      <c r="N21" s="3"/>
      <c r="O21" s="3"/>
      <c r="P21" s="3" t="s">
        <v>329</v>
      </c>
      <c r="S21" s="3"/>
    </row>
    <row r="22" collapsed="1">
      <c r="B22" s="12"/>
      <c r="C22" s="12"/>
      <c r="D22" s="13"/>
      <c r="E22" s="13"/>
      <c r="F22" s="13"/>
      <c r="G22" s="13"/>
      <c r="H22" s="62"/>
      <c r="I22" s="62"/>
      <c r="J22" s="4"/>
      <c r="S22" s="3" t="s">
        <v>330</v>
      </c>
    </row>
    <row r="23" hidden="1" outlineLevel="1">
      <c r="B23" s="15" t="s">
        <v>52</v>
      </c>
      <c r="C23" s="16"/>
      <c r="D23" s="16"/>
      <c r="E23" s="16"/>
      <c r="F23" s="17" t="s">
        <v>53</v>
      </c>
      <c r="G23" s="18"/>
      <c r="H23" s="18"/>
      <c r="I23" s="18"/>
      <c r="J23" s="18"/>
      <c r="K23" s="3"/>
      <c r="L23" s="3"/>
      <c r="M23" s="3"/>
      <c r="N23" s="3"/>
      <c r="O23" s="3"/>
      <c r="P23" s="3"/>
    </row>
    <row r="24" hidden="1" outlineLevel="1">
      <c r="A24" s="3"/>
      <c r="B24" s="16" t="s">
        <v>28</v>
      </c>
      <c r="C24" s="16"/>
      <c r="D24" s="16"/>
      <c r="E24" s="16"/>
      <c r="F24" s="20" t="s">
        <v>207</v>
      </c>
      <c r="G24" s="20">
        <v>0.085534</v>
      </c>
      <c r="H24" s="20">
        <v>-0.09657</v>
      </c>
      <c r="I24" s="20">
        <v>-0.074</v>
      </c>
      <c r="J24" s="18"/>
      <c r="K24" s="31"/>
      <c r="L24" s="31"/>
      <c r="M24" s="31"/>
      <c r="N24" s="31"/>
      <c r="O24" s="31"/>
      <c r="P24" s="31" t="s">
        <v>164</v>
      </c>
    </row>
    <row r="25" hidden="1" outlineLevel="1">
      <c r="A25" s="3"/>
      <c r="B25" s="16" t="s">
        <v>55</v>
      </c>
      <c r="C25" s="16"/>
      <c r="D25" s="16"/>
      <c r="E25" s="16"/>
      <c r="F25" s="20" t="s">
        <v>208</v>
      </c>
      <c r="G25" s="20">
        <v>0.0891</v>
      </c>
      <c r="H25" s="20">
        <v>0.015935</v>
      </c>
      <c r="I25" s="20">
        <v>-0.00482</v>
      </c>
      <c r="J25" s="86">
        <v>-0.022</v>
      </c>
      <c r="K25" s="3"/>
      <c r="L25" s="3"/>
      <c r="M25" s="3"/>
      <c r="N25" s="3"/>
      <c r="O25" s="3"/>
      <c r="P25" s="3" t="s">
        <v>56</v>
      </c>
    </row>
    <row r="26" hidden="1" outlineLevel="1">
      <c r="A26" s="3"/>
      <c r="B26" s="16" t="s">
        <v>57</v>
      </c>
      <c r="C26" s="16"/>
      <c r="D26" s="16"/>
      <c r="E26" s="16"/>
      <c r="F26" s="57" t="s">
        <v>209</v>
      </c>
      <c r="G26" s="20">
        <v>0.166436</v>
      </c>
      <c r="H26" s="20">
        <v>-0.21198</v>
      </c>
      <c r="I26" s="20">
        <v>-0.40366</v>
      </c>
      <c r="J26" s="88">
        <v>-0.267</v>
      </c>
      <c r="K26" s="3"/>
      <c r="L26" s="3"/>
      <c r="M26" s="3"/>
      <c r="N26" s="3"/>
      <c r="O26" s="3"/>
      <c r="P26" s="3" t="s">
        <v>56</v>
      </c>
    </row>
    <row r="27" hidden="1" outlineLevel="1">
      <c r="A27" s="3"/>
      <c r="B27" s="16" t="s">
        <v>58</v>
      </c>
      <c r="C27" s="16"/>
      <c r="D27" s="16"/>
      <c r="E27" s="16"/>
      <c r="F27" s="20" t="s">
        <v>210</v>
      </c>
      <c r="G27" s="20">
        <v>0.09644</v>
      </c>
      <c r="H27" s="20">
        <v>-0.01752</v>
      </c>
      <c r="I27" s="20">
        <v>0.090012</v>
      </c>
      <c r="J27" s="88">
        <v>-0.051</v>
      </c>
      <c r="K27" s="3"/>
      <c r="L27" s="3"/>
      <c r="M27" s="3"/>
      <c r="N27" s="3"/>
      <c r="O27" s="3"/>
      <c r="P27" s="3" t="s">
        <v>56</v>
      </c>
    </row>
    <row r="28" hidden="1" outlineLevel="1">
      <c r="A28" s="3"/>
      <c r="B28" s="16" t="s">
        <v>60</v>
      </c>
      <c r="C28" s="16"/>
      <c r="D28" s="16"/>
      <c r="E28" s="16"/>
      <c r="F28" s="20" t="s">
        <v>211</v>
      </c>
      <c r="G28" s="20">
        <v>0.136107</v>
      </c>
      <c r="H28" s="20">
        <v>0.038548</v>
      </c>
      <c r="I28" s="20">
        <v>-0.09601</v>
      </c>
      <c r="J28" s="88">
        <v>-0.099</v>
      </c>
      <c r="K28" s="3"/>
      <c r="L28" s="3"/>
      <c r="M28" s="3"/>
      <c r="N28" s="3"/>
      <c r="O28" s="3"/>
      <c r="P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c r="M29" s="3"/>
      <c r="N29" s="3"/>
      <c r="O29" s="3"/>
      <c r="P29" s="3" t="s">
        <v>63</v>
      </c>
    </row>
    <row r="30" hidden="1" outlineLevel="1">
      <c r="A30" s="3"/>
      <c r="B30" s="16" t="s">
        <v>64</v>
      </c>
      <c r="C30" s="16"/>
      <c r="D30" s="16"/>
      <c r="E30" s="16"/>
      <c r="F30" s="95">
        <v>0.09</v>
      </c>
      <c r="G30" s="20">
        <v>0.08</v>
      </c>
      <c r="H30" s="20">
        <v>0.07</v>
      </c>
      <c r="I30" s="20">
        <v>0.07</v>
      </c>
      <c r="J30" s="86">
        <v>0.07</v>
      </c>
      <c r="K30" s="3"/>
      <c r="L30" s="3"/>
      <c r="M30" s="3"/>
      <c r="N30" s="3"/>
      <c r="O30" s="3"/>
      <c r="P30" s="3" t="s">
        <v>65</v>
      </c>
    </row>
    <row r="31" hidden="1" outlineLevel="1">
      <c r="A31" s="3"/>
      <c r="B31" s="16" t="s">
        <v>66</v>
      </c>
      <c r="C31" s="16"/>
      <c r="D31" s="16"/>
      <c r="E31" s="16"/>
      <c r="F31" s="21">
        <v>0.042</v>
      </c>
      <c r="G31" s="21">
        <v>0.042</v>
      </c>
      <c r="H31" s="21">
        <v>0.042</v>
      </c>
      <c r="I31" s="21">
        <v>0.042</v>
      </c>
      <c r="J31" s="88">
        <v>0.042</v>
      </c>
      <c r="K31" s="3"/>
      <c r="L31" s="3"/>
      <c r="M31" s="3"/>
      <c r="N31" s="3"/>
      <c r="O31" s="3"/>
      <c r="P31" s="3" t="s">
        <v>67</v>
      </c>
    </row>
    <row r="32" hidden="1" outlineLevel="1">
      <c r="A32" s="3"/>
      <c r="B32" s="16" t="s">
        <v>68</v>
      </c>
      <c r="C32" s="16"/>
      <c r="D32" s="16"/>
      <c r="E32" s="16"/>
      <c r="F32" s="21">
        <v>0.024</v>
      </c>
      <c r="G32" s="21">
        <v>0.024</v>
      </c>
      <c r="H32" s="21">
        <v>0.024</v>
      </c>
      <c r="I32" s="21">
        <v>0.024</v>
      </c>
      <c r="J32" s="88">
        <v>0.024</v>
      </c>
      <c r="K32" s="3"/>
      <c r="L32" s="3"/>
      <c r="M32" s="3"/>
      <c r="N32" s="3"/>
      <c r="O32" s="3"/>
      <c r="P32" s="3" t="s">
        <v>67</v>
      </c>
    </row>
    <row r="33">
      <c r="F33" s="3" t="s">
        <v>15</v>
      </c>
      <c r="G33" s="177">
        <v>85.6</v>
      </c>
      <c r="H33" s="177">
        <v>66.5</v>
      </c>
      <c r="I33" s="203">
        <v>63.0</v>
      </c>
      <c r="J33" s="203">
        <v>65.0</v>
      </c>
      <c r="P33" s="6" t="s">
        <v>408</v>
      </c>
      <c r="S33" s="178" t="s">
        <v>331</v>
      </c>
      <c r="T33" s="179" t="s">
        <v>81</v>
      </c>
      <c r="U33" s="179" t="s">
        <v>114</v>
      </c>
    </row>
    <row r="34">
      <c r="A34" s="31"/>
      <c r="B34" s="3"/>
      <c r="C34" s="3"/>
      <c r="D34" s="3"/>
      <c r="F34" s="3" t="s">
        <v>15</v>
      </c>
      <c r="G34" s="177">
        <v>85.6</v>
      </c>
      <c r="H34" s="177">
        <v>66.5</v>
      </c>
      <c r="I34" s="198">
        <v>68.3</v>
      </c>
      <c r="J34" s="198">
        <v>76.7</v>
      </c>
      <c r="K34" s="3"/>
      <c r="L34" s="3"/>
      <c r="M34" s="3"/>
      <c r="N34" s="3"/>
      <c r="O34" s="3"/>
      <c r="P34" s="6" t="s">
        <v>409</v>
      </c>
      <c r="Q34" s="3"/>
      <c r="R34" s="3"/>
      <c r="S34" s="180"/>
      <c r="T34" s="181"/>
      <c r="U34" s="181"/>
    </row>
    <row r="35">
      <c r="A35" s="205" t="s">
        <v>422</v>
      </c>
      <c r="B35" s="3"/>
      <c r="C35" s="3"/>
      <c r="D35" s="3"/>
      <c r="F35" s="4"/>
      <c r="G35" s="4"/>
      <c r="H35" s="4"/>
      <c r="I35" s="4"/>
      <c r="J35" s="4"/>
      <c r="K35" s="3"/>
      <c r="L35" s="3"/>
      <c r="M35" s="3"/>
      <c r="N35" s="3"/>
      <c r="O35" s="3"/>
      <c r="P35" s="3"/>
      <c r="Q35" s="3"/>
      <c r="R35" s="3"/>
      <c r="S35" s="180" t="s">
        <v>332</v>
      </c>
      <c r="T35" s="181" t="s">
        <v>333</v>
      </c>
      <c r="U35" s="181" t="s">
        <v>334</v>
      </c>
    </row>
    <row r="36">
      <c r="A36" s="3" t="s">
        <v>28</v>
      </c>
      <c r="B36" s="10" t="s">
        <v>69</v>
      </c>
      <c r="C36" s="167">
        <v>61.0</v>
      </c>
      <c r="D36" s="167">
        <v>69.0</v>
      </c>
      <c r="E36" s="167">
        <v>73.0</v>
      </c>
      <c r="F36" s="167">
        <v>79.0</v>
      </c>
      <c r="G36" s="193">
        <v>88.0</v>
      </c>
      <c r="H36" s="193">
        <v>81.0</v>
      </c>
      <c r="I36" s="193">
        <v>60.0</v>
      </c>
      <c r="J36" s="193">
        <v>62.5</v>
      </c>
      <c r="K36" s="193"/>
      <c r="L36" s="193"/>
      <c r="M36" s="193"/>
      <c r="N36" s="193"/>
      <c r="O36" s="193">
        <v>70.0</v>
      </c>
      <c r="P36" s="122" t="s">
        <v>247</v>
      </c>
      <c r="S36" s="180" t="s">
        <v>335</v>
      </c>
      <c r="T36" s="181" t="s">
        <v>336</v>
      </c>
      <c r="U36" s="181" t="s">
        <v>337</v>
      </c>
    </row>
    <row r="37">
      <c r="A37" s="22" t="s">
        <v>74</v>
      </c>
      <c r="B37" s="10" t="s">
        <v>75</v>
      </c>
      <c r="C37" s="193">
        <v>169.0</v>
      </c>
      <c r="D37" s="193">
        <v>202.0</v>
      </c>
      <c r="E37" s="193">
        <v>278.0</v>
      </c>
      <c r="F37" s="193">
        <v>374.0</v>
      </c>
      <c r="G37" s="193">
        <v>368.0</v>
      </c>
      <c r="H37" s="193">
        <v>267.0</v>
      </c>
      <c r="I37" s="193">
        <v>309.0</v>
      </c>
      <c r="J37" s="193">
        <v>298.0</v>
      </c>
      <c r="K37" s="193"/>
      <c r="L37" s="193"/>
      <c r="M37" s="193"/>
      <c r="N37" s="193"/>
      <c r="O37" s="193">
        <v>262.0</v>
      </c>
      <c r="P37" s="3" t="s">
        <v>309</v>
      </c>
      <c r="S37" s="180" t="s">
        <v>338</v>
      </c>
      <c r="T37" s="181" t="s">
        <v>339</v>
      </c>
      <c r="U37" s="181" t="s">
        <v>337</v>
      </c>
    </row>
    <row r="38">
      <c r="A38" s="22" t="s">
        <v>74</v>
      </c>
      <c r="B38" s="10" t="s">
        <v>248</v>
      </c>
      <c r="C38" s="123">
        <f t="shared" ref="C38:J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c r="L38" s="123"/>
      <c r="M38" s="123"/>
      <c r="N38" s="123"/>
      <c r="O38" s="123">
        <f>O37/35.3</f>
        <v>7.422096317</v>
      </c>
      <c r="P38" s="3" t="s">
        <v>309</v>
      </c>
      <c r="Q38" s="124"/>
      <c r="R38" s="124"/>
      <c r="S38" s="180" t="s">
        <v>340</v>
      </c>
      <c r="T38" s="181" t="s">
        <v>341</v>
      </c>
      <c r="U38" s="181" t="s">
        <v>337</v>
      </c>
    </row>
    <row r="39">
      <c r="A39" s="3" t="s">
        <v>249</v>
      </c>
      <c r="B39" s="10" t="s">
        <v>248</v>
      </c>
      <c r="C39" s="11">
        <v>6.8</v>
      </c>
      <c r="D39" s="11">
        <v>8.7</v>
      </c>
      <c r="E39" s="11">
        <v>16.9</v>
      </c>
      <c r="F39" s="11">
        <v>29.0</v>
      </c>
      <c r="G39" s="11">
        <v>29.0</v>
      </c>
      <c r="H39" s="11">
        <v>15.0</v>
      </c>
      <c r="I39" s="11">
        <v>11.0</v>
      </c>
      <c r="J39" s="11">
        <v>15.0</v>
      </c>
      <c r="K39" s="11"/>
      <c r="L39" s="11"/>
      <c r="M39" s="11"/>
      <c r="N39" s="11"/>
      <c r="O39" s="11">
        <v>15.0</v>
      </c>
      <c r="P39" s="125" t="s">
        <v>250</v>
      </c>
      <c r="S39" s="180" t="s">
        <v>171</v>
      </c>
      <c r="T39" s="181" t="s">
        <v>342</v>
      </c>
      <c r="U39" s="181" t="s">
        <v>337</v>
      </c>
    </row>
    <row r="40">
      <c r="A40" s="3"/>
      <c r="B40" s="10"/>
      <c r="C40" s="126"/>
      <c r="D40" s="126"/>
      <c r="E40" s="126"/>
      <c r="F40" s="11"/>
      <c r="G40" s="11">
        <v>29.0</v>
      </c>
      <c r="H40" s="11">
        <v>29.0</v>
      </c>
      <c r="I40" s="11">
        <v>28.5</v>
      </c>
      <c r="J40" s="11">
        <v>29.5</v>
      </c>
      <c r="K40" s="127"/>
      <c r="L40" s="127"/>
      <c r="M40" s="127"/>
      <c r="N40" s="127"/>
      <c r="O40" s="127"/>
      <c r="P40" s="127" t="s">
        <v>251</v>
      </c>
      <c r="S40" s="180" t="s">
        <v>343</v>
      </c>
      <c r="T40" s="181" t="s">
        <v>344</v>
      </c>
      <c r="U40" s="181" t="s">
        <v>337</v>
      </c>
    </row>
    <row r="41">
      <c r="A41" s="3" t="s">
        <v>252</v>
      </c>
      <c r="B41" s="10" t="s">
        <v>248</v>
      </c>
      <c r="C41" s="128">
        <f t="shared" ref="C41:J41" si="3">14%*C36</f>
        <v>8.54</v>
      </c>
      <c r="D41" s="128">
        <f t="shared" si="3"/>
        <v>9.66</v>
      </c>
      <c r="E41" s="128">
        <f t="shared" si="3"/>
        <v>10.22</v>
      </c>
      <c r="F41" s="128">
        <f t="shared" si="3"/>
        <v>11.06</v>
      </c>
      <c r="G41" s="128">
        <f t="shared" si="3"/>
        <v>12.32</v>
      </c>
      <c r="H41" s="128">
        <f t="shared" si="3"/>
        <v>11.34</v>
      </c>
      <c r="I41" s="128">
        <f t="shared" si="3"/>
        <v>8.4</v>
      </c>
      <c r="J41" s="128">
        <f t="shared" si="3"/>
        <v>8.75</v>
      </c>
      <c r="K41" s="128"/>
      <c r="L41" s="128"/>
      <c r="M41" s="128"/>
      <c r="N41" s="128"/>
      <c r="O41" s="128">
        <f>14%*O36</f>
        <v>9.8</v>
      </c>
      <c r="P41" s="127" t="s">
        <v>253</v>
      </c>
      <c r="S41" s="180" t="s">
        <v>345</v>
      </c>
      <c r="T41" s="181" t="s">
        <v>346</v>
      </c>
      <c r="U41" s="181" t="s">
        <v>334</v>
      </c>
    </row>
    <row r="42">
      <c r="A42" s="3" t="s">
        <v>254</v>
      </c>
      <c r="B42" s="10" t="s">
        <v>248</v>
      </c>
      <c r="C42" s="128">
        <f>0.8*C39 + 0.2*C41</f>
        <v>7.148</v>
      </c>
      <c r="D42" s="128">
        <f t="shared" ref="D42:J42" si="4">0.8*D39+0.2*D41</f>
        <v>8.892</v>
      </c>
      <c r="E42" s="128">
        <f t="shared" si="4"/>
        <v>15.564</v>
      </c>
      <c r="F42" s="128">
        <f t="shared" si="4"/>
        <v>25.412</v>
      </c>
      <c r="G42" s="128">
        <f t="shared" si="4"/>
        <v>25.664</v>
      </c>
      <c r="H42" s="128">
        <f t="shared" si="4"/>
        <v>14.268</v>
      </c>
      <c r="I42" s="128">
        <f t="shared" si="4"/>
        <v>10.48</v>
      </c>
      <c r="J42" s="128">
        <f t="shared" si="4"/>
        <v>13.75</v>
      </c>
      <c r="K42" s="128"/>
      <c r="L42" s="128"/>
      <c r="M42" s="128"/>
      <c r="N42" s="128"/>
      <c r="O42" s="128">
        <f>0.8*O39+0.2*O41</f>
        <v>13.96</v>
      </c>
      <c r="P42" s="127" t="s">
        <v>255</v>
      </c>
      <c r="Q42" s="22"/>
      <c r="S42" s="180" t="s">
        <v>347</v>
      </c>
      <c r="T42" s="181" t="s">
        <v>344</v>
      </c>
      <c r="U42" s="181" t="s">
        <v>334</v>
      </c>
    </row>
    <row r="43">
      <c r="A43" s="129" t="s">
        <v>256</v>
      </c>
      <c r="B43" s="130"/>
      <c r="C43" s="131">
        <f t="shared" ref="C43:J43" si="5">C42-C38</f>
        <v>2.360464589</v>
      </c>
      <c r="D43" s="131">
        <f t="shared" si="5"/>
        <v>3.169620397</v>
      </c>
      <c r="E43" s="131">
        <f t="shared" si="5"/>
        <v>7.688645892</v>
      </c>
      <c r="F43" s="131">
        <f t="shared" si="5"/>
        <v>14.81709915</v>
      </c>
      <c r="G43" s="131">
        <f t="shared" si="5"/>
        <v>15.23907082</v>
      </c>
      <c r="H43" s="131">
        <f t="shared" si="5"/>
        <v>6.704260623</v>
      </c>
      <c r="I43" s="131">
        <f t="shared" si="5"/>
        <v>1.726458924</v>
      </c>
      <c r="J43" s="131">
        <f t="shared" si="5"/>
        <v>5.308073654</v>
      </c>
      <c r="K43" s="130"/>
      <c r="L43" s="130"/>
      <c r="M43" s="130"/>
      <c r="N43" s="130"/>
      <c r="O43" s="131">
        <f>O42-O38</f>
        <v>6.537903683</v>
      </c>
      <c r="P43" s="129" t="s">
        <v>257</v>
      </c>
      <c r="Q43" s="130"/>
      <c r="R43" s="130"/>
      <c r="S43" s="180" t="s">
        <v>348</v>
      </c>
      <c r="T43" s="181" t="s">
        <v>349</v>
      </c>
      <c r="U43" s="181" t="s">
        <v>334</v>
      </c>
      <c r="V43" s="130"/>
      <c r="W43" s="130"/>
      <c r="X43" s="130"/>
      <c r="Y43" s="130"/>
      <c r="Z43" s="130"/>
      <c r="AA43" s="130"/>
      <c r="AB43" s="130"/>
      <c r="AC43" s="130"/>
      <c r="AD43" s="130"/>
      <c r="AE43" s="130"/>
      <c r="AF43" s="130"/>
      <c r="AG43" s="130"/>
      <c r="AH43" s="130"/>
      <c r="AI43" s="130"/>
      <c r="AJ43" s="130"/>
    </row>
    <row r="44">
      <c r="S44" s="180" t="s">
        <v>350</v>
      </c>
      <c r="T44" s="181" t="s">
        <v>351</v>
      </c>
      <c r="U44" s="181" t="s">
        <v>352</v>
      </c>
    </row>
    <row r="45">
      <c r="A45" s="22" t="s">
        <v>76</v>
      </c>
      <c r="B45" s="10" t="s">
        <v>77</v>
      </c>
      <c r="C45" s="63">
        <v>1038.0</v>
      </c>
      <c r="D45" s="63">
        <v>1394.0</v>
      </c>
      <c r="E45" s="63">
        <v>1785.0</v>
      </c>
      <c r="F45" s="63">
        <v>1863.0</v>
      </c>
      <c r="G45" s="63">
        <v>1364.0</v>
      </c>
      <c r="H45" s="63">
        <v>1249.0</v>
      </c>
      <c r="I45" s="63">
        <v>1511.0</v>
      </c>
      <c r="J45" s="63">
        <v>1478.0</v>
      </c>
      <c r="K45" s="63"/>
      <c r="L45" s="63"/>
      <c r="M45" s="63"/>
      <c r="N45" s="63"/>
      <c r="O45" s="63">
        <v>1423.0</v>
      </c>
      <c r="P45" s="3" t="s">
        <v>54</v>
      </c>
      <c r="S45" s="180" t="s">
        <v>353</v>
      </c>
      <c r="T45" s="181" t="s">
        <v>354</v>
      </c>
      <c r="U45" s="181" t="s">
        <v>352</v>
      </c>
    </row>
    <row r="46">
      <c r="A46" s="132"/>
      <c r="B46" s="132"/>
      <c r="C46" s="133"/>
      <c r="D46" s="133"/>
      <c r="E46" s="133"/>
      <c r="F46" s="133"/>
      <c r="G46" s="133"/>
      <c r="H46" s="133"/>
      <c r="I46" s="133"/>
      <c r="J46" s="133"/>
      <c r="K46" s="134"/>
      <c r="L46" s="134"/>
      <c r="M46" s="134"/>
      <c r="N46" s="134"/>
      <c r="O46" s="134"/>
      <c r="P46" s="134"/>
      <c r="Q46" s="134"/>
      <c r="R46" s="134"/>
      <c r="S46" s="180" t="s">
        <v>355</v>
      </c>
      <c r="T46" s="181" t="s">
        <v>356</v>
      </c>
      <c r="U46" s="181" t="s">
        <v>357</v>
      </c>
      <c r="V46" s="134"/>
      <c r="W46" s="134"/>
      <c r="X46" s="134"/>
      <c r="Y46" s="134"/>
      <c r="Z46" s="134"/>
      <c r="AA46" s="134"/>
      <c r="AB46" s="134"/>
      <c r="AC46" s="134"/>
      <c r="AD46" s="134"/>
      <c r="AE46" s="134"/>
      <c r="AF46" s="134"/>
      <c r="AG46" s="134"/>
      <c r="AH46" s="134"/>
      <c r="AI46" s="134"/>
      <c r="AJ46" s="134"/>
    </row>
    <row r="47">
      <c r="A47" s="194" t="s">
        <v>78</v>
      </c>
      <c r="B47" s="195" t="s">
        <v>79</v>
      </c>
      <c r="C47" s="64">
        <v>99.3</v>
      </c>
      <c r="D47" s="64">
        <v>110.5</v>
      </c>
      <c r="E47" s="64">
        <v>104.3</v>
      </c>
      <c r="F47" s="64">
        <v>99.9</v>
      </c>
      <c r="G47" s="64">
        <v>98.2</v>
      </c>
      <c r="H47" s="64">
        <v>97.1</v>
      </c>
      <c r="I47" s="64">
        <v>94.8</v>
      </c>
      <c r="J47" s="64">
        <v>96.8</v>
      </c>
      <c r="K47" s="64"/>
      <c r="L47" s="64"/>
      <c r="M47" s="64"/>
      <c r="N47" s="64"/>
      <c r="O47" s="64">
        <v>103.5</v>
      </c>
    </row>
    <row r="48">
      <c r="A48" s="194" t="s">
        <v>80</v>
      </c>
      <c r="B48" s="194" t="s">
        <v>79</v>
      </c>
      <c r="C48" s="64">
        <v>97.2</v>
      </c>
      <c r="D48" s="64">
        <v>128.1</v>
      </c>
      <c r="E48" s="64">
        <v>110.3</v>
      </c>
      <c r="F48" s="64">
        <v>101.0</v>
      </c>
      <c r="G48" s="64">
        <v>100.0</v>
      </c>
      <c r="H48" s="64">
        <v>90.0</v>
      </c>
      <c r="I48" s="64">
        <v>90.0</v>
      </c>
      <c r="J48" s="64">
        <v>90.0</v>
      </c>
      <c r="K48" s="64"/>
      <c r="L48" s="64"/>
      <c r="M48" s="64"/>
      <c r="N48" s="64"/>
      <c r="O48" s="64">
        <v>101.5</v>
      </c>
    </row>
    <row r="49">
      <c r="A49" s="194" t="s">
        <v>81</v>
      </c>
      <c r="B49" s="194" t="s">
        <v>79</v>
      </c>
      <c r="C49" s="64">
        <v>105.5</v>
      </c>
      <c r="D49" s="64">
        <v>106.0</v>
      </c>
      <c r="E49" s="64">
        <v>106.8</v>
      </c>
      <c r="F49" s="64">
        <v>108.3</v>
      </c>
      <c r="G49" s="64">
        <v>99.6</v>
      </c>
      <c r="H49" s="64">
        <v>90.2</v>
      </c>
      <c r="I49" s="64">
        <v>90.2</v>
      </c>
      <c r="J49" s="64">
        <v>90.1</v>
      </c>
      <c r="K49" s="64"/>
      <c r="L49" s="64"/>
      <c r="M49" s="64"/>
      <c r="N49" s="64"/>
      <c r="O49" s="64">
        <v>103.0</v>
      </c>
      <c r="P49" s="3" t="s">
        <v>381</v>
      </c>
    </row>
    <row r="50">
      <c r="A50" s="3" t="s">
        <v>259</v>
      </c>
      <c r="B50" s="3" t="s">
        <v>260</v>
      </c>
      <c r="C50" s="196">
        <v>22.0</v>
      </c>
      <c r="D50" s="196">
        <v>17.0</v>
      </c>
      <c r="E50" s="196">
        <v>36.0</v>
      </c>
      <c r="F50" s="196">
        <v>47.0</v>
      </c>
      <c r="G50" s="196">
        <v>43.0</v>
      </c>
      <c r="H50" s="196">
        <v>55.0</v>
      </c>
      <c r="I50" s="196">
        <v>23.0</v>
      </c>
      <c r="J50" s="196">
        <v>38.0</v>
      </c>
      <c r="K50" s="196"/>
      <c r="L50" s="196"/>
      <c r="M50" s="196"/>
      <c r="N50" s="196"/>
      <c r="O50" s="196">
        <v>21.0</v>
      </c>
    </row>
    <row r="53">
      <c r="A53" s="3" t="s">
        <v>137</v>
      </c>
      <c r="B53" s="11"/>
      <c r="C53" s="63">
        <v>74.4</v>
      </c>
      <c r="D53" s="63">
        <v>73.6</v>
      </c>
      <c r="E53" s="63">
        <v>72.8</v>
      </c>
      <c r="F53" s="63">
        <v>72.8</v>
      </c>
      <c r="G53" s="63">
        <v>86.2</v>
      </c>
      <c r="H53" s="63">
        <v>86.0</v>
      </c>
      <c r="I53" s="63">
        <v>89.2</v>
      </c>
      <c r="J53" s="63">
        <v>88.1</v>
      </c>
      <c r="K53" s="63"/>
      <c r="L53" s="63"/>
      <c r="M53" s="63"/>
      <c r="N53" s="63"/>
      <c r="O53" s="63">
        <v>95.4</v>
      </c>
      <c r="P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60</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60</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65</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65</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62.5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62.5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c r="Q67" s="66"/>
      <c r="R67" s="66"/>
      <c r="S67" s="66"/>
      <c r="T67" s="66"/>
    </row>
    <row r="68">
      <c r="A68" s="66"/>
      <c r="B68" s="18" t="s">
        <v>167</v>
      </c>
      <c r="C68" s="18" t="s">
        <v>168</v>
      </c>
      <c r="D68" s="67" t="s">
        <v>169</v>
      </c>
      <c r="E68" s="18" t="s">
        <v>170</v>
      </c>
      <c r="F68" s="18" t="s">
        <v>171</v>
      </c>
      <c r="G68" s="67" t="s">
        <v>172</v>
      </c>
      <c r="H68" s="18" t="s">
        <v>173</v>
      </c>
      <c r="I68" s="18" t="s">
        <v>174</v>
      </c>
      <c r="J68" s="67" t="s">
        <v>175</v>
      </c>
      <c r="K68" s="18"/>
      <c r="L68" s="18"/>
      <c r="M68" s="18"/>
      <c r="N68" s="18"/>
      <c r="O68" s="18" t="s">
        <v>176</v>
      </c>
      <c r="P68" s="18" t="s">
        <v>177</v>
      </c>
      <c r="Q68" s="67" t="s">
        <v>178</v>
      </c>
      <c r="R68" s="66"/>
      <c r="S68" s="66"/>
    </row>
    <row r="69">
      <c r="A69" s="68">
        <v>2021.0</v>
      </c>
      <c r="B69" s="69">
        <v>0.67</v>
      </c>
      <c r="C69" s="69">
        <v>0.78</v>
      </c>
      <c r="D69" s="69">
        <v>0.66</v>
      </c>
      <c r="E69" s="69">
        <v>0.58</v>
      </c>
      <c r="F69" s="69">
        <v>0.74</v>
      </c>
      <c r="G69" s="69">
        <v>0.69</v>
      </c>
      <c r="H69" s="98">
        <v>0.31</v>
      </c>
      <c r="I69" s="98">
        <v>0.17</v>
      </c>
      <c r="J69" s="98">
        <v>0.6</v>
      </c>
      <c r="K69" s="98"/>
      <c r="L69" s="98"/>
      <c r="M69" s="98"/>
      <c r="N69" s="98"/>
      <c r="O69" s="170">
        <v>1.11</v>
      </c>
      <c r="P69" s="170">
        <v>0.96</v>
      </c>
      <c r="Q69" s="183">
        <v>0.82</v>
      </c>
      <c r="R69" s="73"/>
      <c r="S69" s="74"/>
    </row>
    <row r="70">
      <c r="A70" s="75" t="s">
        <v>179</v>
      </c>
      <c r="B70" s="91">
        <v>5.19</v>
      </c>
      <c r="C70" s="76">
        <v>5.67</v>
      </c>
      <c r="D70" s="76">
        <v>5.79</v>
      </c>
      <c r="E70" s="76">
        <v>5.53</v>
      </c>
      <c r="F70" s="76">
        <v>6.02</v>
      </c>
      <c r="G70" s="76">
        <v>6.5</v>
      </c>
      <c r="H70" s="77">
        <v>6.46</v>
      </c>
      <c r="I70" s="77">
        <v>6.68</v>
      </c>
      <c r="J70" s="135">
        <v>7.4</v>
      </c>
      <c r="K70" s="135"/>
      <c r="L70" s="135"/>
      <c r="M70" s="135"/>
      <c r="N70" s="135"/>
      <c r="O70" s="135">
        <v>8.13</v>
      </c>
      <c r="P70" s="77">
        <v>8.4</v>
      </c>
      <c r="Q70" s="184">
        <v>8.39</v>
      </c>
      <c r="R70" s="79"/>
      <c r="S70" s="80">
        <v>2021.0</v>
      </c>
    </row>
    <row r="71">
      <c r="A71" s="66"/>
      <c r="B71" s="66"/>
      <c r="C71" s="66"/>
      <c r="D71" s="66"/>
      <c r="E71" s="66"/>
      <c r="F71" s="66"/>
      <c r="G71" s="66"/>
      <c r="H71" s="66"/>
      <c r="I71" s="66"/>
      <c r="J71" s="66"/>
      <c r="K71" s="66"/>
      <c r="L71" s="66"/>
      <c r="M71" s="66"/>
      <c r="N71" s="66"/>
      <c r="O71" s="66"/>
      <c r="P71" s="66"/>
      <c r="Q71" s="66"/>
      <c r="R71" s="81"/>
    </row>
    <row r="72">
      <c r="A72" s="18" t="s">
        <v>181</v>
      </c>
      <c r="B72" s="18">
        <v>0.6</v>
      </c>
      <c r="C72" s="18">
        <v>0.4</v>
      </c>
      <c r="D72" s="18">
        <v>0.5</v>
      </c>
      <c r="E72" s="18">
        <v>0.4</v>
      </c>
      <c r="F72" s="18">
        <v>0.4</v>
      </c>
      <c r="G72" s="18">
        <v>0.4</v>
      </c>
      <c r="H72" s="18">
        <v>0.5</v>
      </c>
      <c r="I72" s="18">
        <v>0.0</v>
      </c>
      <c r="J72" s="18">
        <v>0.2</v>
      </c>
      <c r="K72" s="18"/>
      <c r="L72" s="18"/>
      <c r="M72" s="18"/>
      <c r="N72" s="18"/>
      <c r="O72" s="18">
        <v>0.4</v>
      </c>
      <c r="P72" s="18">
        <v>0.5</v>
      </c>
      <c r="Q72" s="18">
        <v>0.5</v>
      </c>
      <c r="R72" s="66"/>
      <c r="S72" s="66"/>
    </row>
    <row r="73">
      <c r="A73" s="18" t="s">
        <v>182</v>
      </c>
      <c r="B73" s="18">
        <v>0.5</v>
      </c>
      <c r="C73" s="18">
        <v>0.3</v>
      </c>
      <c r="D73" s="18">
        <v>0.3</v>
      </c>
      <c r="E73" s="18">
        <v>0.4</v>
      </c>
      <c r="F73" s="18">
        <v>0.4</v>
      </c>
      <c r="G73" s="18">
        <v>0.4</v>
      </c>
      <c r="H73" s="18">
        <v>0.2</v>
      </c>
      <c r="I73" s="82">
        <v>-0.1</v>
      </c>
      <c r="J73" s="82">
        <v>-0.1</v>
      </c>
      <c r="K73" s="18"/>
      <c r="L73" s="18"/>
      <c r="M73" s="18"/>
      <c r="N73" s="18"/>
      <c r="O73" s="18">
        <v>0.3</v>
      </c>
      <c r="P73" s="18">
        <v>0.4</v>
      </c>
      <c r="Q73" s="18">
        <v>0.6</v>
      </c>
      <c r="R73" s="66"/>
      <c r="S73" s="66"/>
    </row>
    <row r="74">
      <c r="A74" s="66"/>
      <c r="B74" s="18" t="s">
        <v>183</v>
      </c>
      <c r="C74" s="18" t="s">
        <v>184</v>
      </c>
      <c r="D74" s="18" t="s">
        <v>169</v>
      </c>
      <c r="E74" s="18" t="s">
        <v>185</v>
      </c>
      <c r="F74" s="18" t="s">
        <v>186</v>
      </c>
      <c r="G74" s="18" t="s">
        <v>172</v>
      </c>
      <c r="H74" s="18" t="s">
        <v>187</v>
      </c>
      <c r="I74" s="18" t="s">
        <v>188</v>
      </c>
      <c r="J74" s="18" t="s">
        <v>175</v>
      </c>
      <c r="K74" s="18"/>
      <c r="L74" s="18"/>
      <c r="M74" s="18"/>
      <c r="N74" s="18"/>
      <c r="O74" s="18" t="s">
        <v>189</v>
      </c>
      <c r="P74" s="18" t="s">
        <v>190</v>
      </c>
      <c r="Q74" s="18" t="s">
        <v>178</v>
      </c>
      <c r="R74" s="66"/>
      <c r="S74" s="66"/>
    </row>
    <row r="75">
      <c r="A75" s="66"/>
      <c r="B75" s="199">
        <v>0.0099</v>
      </c>
      <c r="C75" s="199">
        <v>0.0117</v>
      </c>
      <c r="D75" s="199">
        <v>0.0761</v>
      </c>
      <c r="E75" s="199">
        <v>0.0156</v>
      </c>
      <c r="F75" s="199">
        <v>0.0012</v>
      </c>
      <c r="G75" s="199">
        <v>-0.0035</v>
      </c>
      <c r="H75" s="199">
        <v>0.007</v>
      </c>
      <c r="I75" s="200">
        <f t="shared" ref="I75:J75" si="13"> (12% - SUM( $B$75:$H$75 ) ) * I73 / SUM( $I$73:$Q$73 )</f>
        <v>-0.0001818181818</v>
      </c>
      <c r="J75" s="200">
        <f t="shared" si="13"/>
        <v>-0.0001818181818</v>
      </c>
      <c r="K75" s="200"/>
      <c r="L75" s="200"/>
      <c r="M75" s="200"/>
      <c r="N75" s="200"/>
      <c r="O75" s="200">
        <f t="shared" ref="O75:Q75" si="14"> (12% - SUM( $B$75:$H$75 ) ) * O73 / SUM( $I$73:$Q$73 )</f>
        <v>0.0005454545455</v>
      </c>
      <c r="P75" s="200">
        <f t="shared" si="14"/>
        <v>0.0007272727273</v>
      </c>
      <c r="Q75" s="200">
        <f t="shared" si="14"/>
        <v>0.001090909091</v>
      </c>
      <c r="R75" s="66"/>
      <c r="S75" s="201">
        <f> SUM( B75:Q75 )</f>
        <v>0.12</v>
      </c>
    </row>
    <row r="76">
      <c r="A76" s="66"/>
      <c r="B76" s="66"/>
      <c r="C76" s="66"/>
      <c r="D76" s="66"/>
      <c r="E76" s="66"/>
      <c r="F76" s="66"/>
      <c r="G76" s="66"/>
      <c r="H76" s="66"/>
      <c r="I76" s="66"/>
      <c r="J76" s="66"/>
      <c r="K76" s="66"/>
      <c r="L76" s="66"/>
      <c r="M76" s="66"/>
      <c r="N76" s="66"/>
      <c r="O76" s="66"/>
      <c r="P76" s="66"/>
      <c r="Q76" s="66"/>
      <c r="R76" s="66"/>
      <c r="S76" s="66"/>
    </row>
    <row r="77">
      <c r="A77" s="66"/>
      <c r="B77" s="18" t="s">
        <v>167</v>
      </c>
      <c r="C77" s="18" t="s">
        <v>168</v>
      </c>
      <c r="D77" s="83" t="s">
        <v>169</v>
      </c>
      <c r="E77" s="18" t="s">
        <v>170</v>
      </c>
      <c r="F77" s="18" t="s">
        <v>171</v>
      </c>
      <c r="G77" s="83" t="s">
        <v>172</v>
      </c>
      <c r="H77" s="18" t="s">
        <v>173</v>
      </c>
      <c r="I77" s="18" t="s">
        <v>174</v>
      </c>
      <c r="J77" s="83" t="s">
        <v>175</v>
      </c>
      <c r="K77" s="18"/>
      <c r="L77" s="18"/>
      <c r="M77" s="18"/>
      <c r="N77" s="18"/>
      <c r="O77" s="18" t="s">
        <v>176</v>
      </c>
      <c r="P77" s="18" t="s">
        <v>177</v>
      </c>
      <c r="Q77" s="83" t="s">
        <v>178</v>
      </c>
      <c r="R77" s="66"/>
      <c r="S77" s="66"/>
    </row>
    <row r="78">
      <c r="A78" s="68">
        <v>2022.0</v>
      </c>
      <c r="B78" s="70">
        <v>1.0</v>
      </c>
      <c r="C78" s="70">
        <v>0.5</v>
      </c>
      <c r="D78" s="70">
        <v>0.5</v>
      </c>
      <c r="E78" s="70">
        <v>0.5</v>
      </c>
      <c r="F78" s="70">
        <v>0.4</v>
      </c>
      <c r="G78" s="70">
        <v>0.5</v>
      </c>
      <c r="H78" s="71">
        <v>0.4</v>
      </c>
      <c r="I78" s="71">
        <v>0.0</v>
      </c>
      <c r="J78" s="71">
        <v>0.2</v>
      </c>
      <c r="K78" s="71"/>
      <c r="L78" s="71"/>
      <c r="M78" s="71"/>
      <c r="N78" s="71"/>
      <c r="O78" s="71">
        <v>0.4</v>
      </c>
      <c r="P78" s="71">
        <v>0.5</v>
      </c>
      <c r="Q78" s="72">
        <v>0.6</v>
      </c>
      <c r="R78" s="66"/>
      <c r="S78" s="66"/>
    </row>
    <row r="79">
      <c r="A79" s="75" t="s">
        <v>179</v>
      </c>
      <c r="B79" s="91">
        <v>8.75</v>
      </c>
      <c r="C79" s="76">
        <v>8.45</v>
      </c>
      <c r="D79" s="76">
        <v>8.28</v>
      </c>
      <c r="E79" s="76">
        <v>8.19</v>
      </c>
      <c r="F79" s="76">
        <v>7.82</v>
      </c>
      <c r="G79" s="76">
        <v>7.62</v>
      </c>
      <c r="H79" s="77">
        <v>7.72</v>
      </c>
      <c r="I79" s="77">
        <v>7.53</v>
      </c>
      <c r="J79" s="77">
        <v>7.11</v>
      </c>
      <c r="K79" s="77"/>
      <c r="L79" s="77"/>
      <c r="M79" s="77"/>
      <c r="N79" s="77"/>
      <c r="O79" s="77">
        <v>6.35</v>
      </c>
      <c r="P79" s="77">
        <v>5.87</v>
      </c>
      <c r="Q79" s="78">
        <v>5.64</v>
      </c>
      <c r="R79" s="79"/>
      <c r="S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c r="L82" s="186"/>
      <c r="M82" s="186"/>
      <c r="N82" s="186"/>
      <c r="O82" s="186" t="s">
        <v>383</v>
      </c>
    </row>
    <row r="83">
      <c r="A83" s="3" t="s">
        <v>384</v>
      </c>
      <c r="C83" s="187">
        <v>74.4</v>
      </c>
      <c r="D83" s="187">
        <v>74.2</v>
      </c>
      <c r="E83" s="187">
        <v>73.5</v>
      </c>
      <c r="F83" s="187">
        <v>72.7</v>
      </c>
      <c r="G83" s="187">
        <v>87.8</v>
      </c>
      <c r="H83" s="187">
        <v>85.4</v>
      </c>
      <c r="I83" s="187">
        <v>82.7</v>
      </c>
      <c r="J83" s="187">
        <v>80.5</v>
      </c>
      <c r="K83" s="188"/>
      <c r="L83" s="188"/>
      <c r="M83" s="188"/>
      <c r="N83" s="188"/>
      <c r="O83" s="188" t="s">
        <v>385</v>
      </c>
    </row>
  </sheetData>
  <mergeCells count="1">
    <mergeCell ref="R71:S7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5" width="14.5"/>
    <col customWidth="1" min="16" max="16" width="16.63"/>
  </cols>
  <sheetData>
    <row r="1">
      <c r="A1" s="92">
        <v>45005.0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v>2024.0</v>
      </c>
      <c r="R1" s="2"/>
      <c r="S1" s="2"/>
      <c r="T1" s="2"/>
      <c r="U1" s="2"/>
      <c r="V1" s="2"/>
    </row>
    <row r="2">
      <c r="A2" s="191"/>
      <c r="B2" s="54"/>
      <c r="C2" s="4"/>
      <c r="D2" s="4"/>
      <c r="E2" s="54"/>
      <c r="F2" s="54"/>
      <c r="G2" s="54"/>
      <c r="H2" s="54"/>
      <c r="J2" s="5"/>
      <c r="Q2" s="3"/>
      <c r="S2" s="7"/>
      <c r="T2" s="52"/>
      <c r="U2" s="3"/>
      <c r="V2" s="52"/>
    </row>
    <row r="3">
      <c r="A3" s="3" t="s">
        <v>15</v>
      </c>
      <c r="B3" s="4"/>
      <c r="C3" s="4" t="s">
        <v>16</v>
      </c>
      <c r="D3" s="4" t="s">
        <v>16</v>
      </c>
      <c r="E3" s="54" t="s">
        <v>152</v>
      </c>
      <c r="F3" s="54" t="s">
        <v>293</v>
      </c>
      <c r="G3" s="54" t="s">
        <v>18</v>
      </c>
      <c r="H3" s="54" t="s">
        <v>18</v>
      </c>
      <c r="I3" s="112" t="s">
        <v>416</v>
      </c>
      <c r="J3" s="112" t="s">
        <v>397</v>
      </c>
      <c r="K3" s="8">
        <v>73.0</v>
      </c>
      <c r="L3" s="8">
        <v>78.0</v>
      </c>
      <c r="M3" s="8">
        <v>79.0</v>
      </c>
      <c r="N3" s="8">
        <v>82.0</v>
      </c>
      <c r="O3" s="208">
        <v>78.0</v>
      </c>
      <c r="Q3" s="8">
        <v>82.0</v>
      </c>
      <c r="R3" s="5"/>
      <c r="S3" s="7"/>
      <c r="T3" s="52"/>
      <c r="V3" s="52"/>
    </row>
    <row r="4">
      <c r="A4" s="3" t="s">
        <v>24</v>
      </c>
      <c r="B4" s="4"/>
      <c r="C4" s="4" t="s">
        <v>25</v>
      </c>
      <c r="D4" s="4" t="s">
        <v>25</v>
      </c>
      <c r="E4" s="54" t="s">
        <v>153</v>
      </c>
      <c r="F4" s="54" t="s">
        <v>295</v>
      </c>
      <c r="G4" s="54" t="s">
        <v>153</v>
      </c>
      <c r="H4" s="54" t="s">
        <v>153</v>
      </c>
      <c r="I4" s="112" t="s">
        <v>416</v>
      </c>
      <c r="J4" s="112" t="s">
        <v>397</v>
      </c>
      <c r="K4" s="8"/>
      <c r="L4" s="8"/>
      <c r="M4" s="8"/>
      <c r="N4" s="8"/>
      <c r="O4" s="8"/>
      <c r="P4" s="3" t="s">
        <v>426</v>
      </c>
      <c r="Q4" s="5"/>
      <c r="R4" s="5"/>
      <c r="S4" s="7"/>
      <c r="T4" s="52"/>
      <c r="V4" s="52"/>
    </row>
    <row r="5">
      <c r="A5" s="3" t="s">
        <v>28</v>
      </c>
      <c r="B5" s="4"/>
      <c r="C5" s="4" t="s">
        <v>29</v>
      </c>
      <c r="D5" s="4" t="s">
        <v>139</v>
      </c>
      <c r="E5" s="54" t="s">
        <v>199</v>
      </c>
      <c r="F5" s="54" t="s">
        <v>298</v>
      </c>
      <c r="G5" s="54" t="s">
        <v>391</v>
      </c>
      <c r="H5" s="54" t="s">
        <v>392</v>
      </c>
      <c r="I5" s="112" t="s">
        <v>410</v>
      </c>
      <c r="J5" s="112" t="s">
        <v>411</v>
      </c>
      <c r="K5" s="8">
        <v>80.0</v>
      </c>
      <c r="L5" s="8">
        <v>75.0</v>
      </c>
      <c r="M5" s="8">
        <v>75.0</v>
      </c>
      <c r="N5" s="8">
        <v>70.0</v>
      </c>
      <c r="O5" s="8">
        <v>75.0</v>
      </c>
      <c r="P5" s="3" t="s">
        <v>440</v>
      </c>
      <c r="Q5" s="8">
        <v>70.0</v>
      </c>
      <c r="R5" s="8" t="s">
        <v>441</v>
      </c>
    </row>
    <row r="6" ht="26.25" customHeight="1" collapsed="1">
      <c r="A6" s="3" t="s">
        <v>399</v>
      </c>
      <c r="B6" s="4"/>
      <c r="C6" s="4">
        <v>5.7</v>
      </c>
      <c r="D6" s="54" t="s">
        <v>144</v>
      </c>
      <c r="E6" s="54" t="s">
        <v>201</v>
      </c>
      <c r="F6" s="54" t="s">
        <v>299</v>
      </c>
      <c r="G6" s="54" t="s">
        <v>319</v>
      </c>
      <c r="H6" s="54" t="s">
        <v>304</v>
      </c>
      <c r="I6" s="112" t="s">
        <v>400</v>
      </c>
      <c r="J6" s="112" t="s">
        <v>420</v>
      </c>
      <c r="K6" s="8">
        <v>3.4</v>
      </c>
      <c r="L6" s="24">
        <v>4.3</v>
      </c>
      <c r="M6" s="24">
        <v>6.3</v>
      </c>
      <c r="N6" s="209">
        <v>7.5</v>
      </c>
      <c r="O6" s="209">
        <v>7.5</v>
      </c>
      <c r="P6" s="3" t="s">
        <v>442</v>
      </c>
      <c r="Q6" s="8">
        <v>5.5</v>
      </c>
      <c r="R6" s="5"/>
      <c r="S6" s="7"/>
    </row>
    <row r="7" hidden="1" outlineLevel="1">
      <c r="A7" s="3"/>
      <c r="B7" s="4"/>
      <c r="C7" s="4"/>
      <c r="D7" s="54"/>
      <c r="E7" s="111" t="s">
        <v>241</v>
      </c>
      <c r="F7" s="112" t="s">
        <v>236</v>
      </c>
      <c r="G7" s="54" t="s">
        <v>237</v>
      </c>
      <c r="H7" s="54" t="s">
        <v>238</v>
      </c>
      <c r="I7" s="112" t="s">
        <v>239</v>
      </c>
      <c r="J7" s="206"/>
      <c r="K7" s="192"/>
      <c r="L7" s="192"/>
      <c r="M7" s="192"/>
      <c r="N7" s="192"/>
      <c r="O7" s="192"/>
      <c r="Q7" s="5"/>
      <c r="R7" s="5"/>
      <c r="S7" s="7"/>
    </row>
    <row r="8">
      <c r="A8" s="3" t="s">
        <v>402</v>
      </c>
      <c r="B8" s="4"/>
      <c r="C8" s="4"/>
      <c r="D8" s="54"/>
      <c r="E8" s="54"/>
      <c r="F8" s="54"/>
      <c r="G8" s="54"/>
      <c r="H8" s="54"/>
      <c r="I8" s="112"/>
      <c r="J8" s="207"/>
      <c r="K8" s="54"/>
      <c r="L8" s="54"/>
      <c r="M8" s="54"/>
      <c r="N8" s="54"/>
      <c r="O8" s="54"/>
      <c r="P8" s="3"/>
      <c r="Q8" s="5"/>
      <c r="R8" s="5"/>
      <c r="S8" s="7"/>
    </row>
    <row r="9">
      <c r="A9" s="3" t="s">
        <v>413</v>
      </c>
      <c r="B9" s="4"/>
      <c r="C9" s="4">
        <v>4.5</v>
      </c>
      <c r="D9" s="54">
        <v>5.5</v>
      </c>
      <c r="E9" s="54" t="s">
        <v>194</v>
      </c>
      <c r="F9" s="54">
        <v>8.5</v>
      </c>
      <c r="G9" s="54" t="s">
        <v>387</v>
      </c>
      <c r="H9" s="54" t="s">
        <v>387</v>
      </c>
      <c r="I9" s="207">
        <v>44780.0</v>
      </c>
      <c r="J9" s="112">
        <v>7.5</v>
      </c>
      <c r="K9" s="211">
        <v>7.5</v>
      </c>
      <c r="L9" s="211">
        <v>8.0</v>
      </c>
      <c r="M9" s="211">
        <v>8.5</v>
      </c>
      <c r="N9" s="211">
        <v>9.0</v>
      </c>
      <c r="O9" s="211">
        <v>9.0</v>
      </c>
      <c r="Q9" s="8">
        <v>8.0</v>
      </c>
      <c r="R9" s="99" t="s">
        <v>443</v>
      </c>
      <c r="S9" s="7"/>
    </row>
    <row r="10">
      <c r="A10" s="3" t="s">
        <v>405</v>
      </c>
      <c r="E10" s="114"/>
      <c r="F10" s="115"/>
      <c r="G10" s="115"/>
      <c r="H10" s="115"/>
      <c r="I10" s="112" t="s">
        <v>406</v>
      </c>
      <c r="J10" s="112" t="s">
        <v>406</v>
      </c>
      <c r="K10" s="213" t="s">
        <v>431</v>
      </c>
      <c r="N10" s="3" t="s">
        <v>444</v>
      </c>
      <c r="T10" s="55"/>
      <c r="V10" s="55"/>
    </row>
    <row r="11">
      <c r="E11" s="114" t="s">
        <v>241</v>
      </c>
      <c r="F11" s="115" t="s">
        <v>242</v>
      </c>
      <c r="G11" s="115" t="s">
        <v>242</v>
      </c>
      <c r="H11" s="115" t="s">
        <v>194</v>
      </c>
      <c r="I11" s="115" t="s">
        <v>148</v>
      </c>
      <c r="K11" s="3" t="s">
        <v>433</v>
      </c>
      <c r="L11" s="3"/>
      <c r="N11" s="3" t="s">
        <v>445</v>
      </c>
      <c r="T11" s="55"/>
      <c r="V11" s="55"/>
    </row>
    <row r="12">
      <c r="A12" s="3" t="s">
        <v>47</v>
      </c>
      <c r="C12" s="4">
        <v>5.7</v>
      </c>
      <c r="D12" s="4">
        <v>6.5</v>
      </c>
      <c r="E12" s="62">
        <v>7.4</v>
      </c>
      <c r="F12" s="54">
        <v>8.1</v>
      </c>
      <c r="G12" s="54"/>
      <c r="H12" s="62"/>
      <c r="I12" s="62"/>
      <c r="J12" s="62"/>
      <c r="K12" s="3" t="s">
        <v>435</v>
      </c>
      <c r="N12" s="3" t="s">
        <v>446</v>
      </c>
      <c r="R12" s="52">
        <v>73.0</v>
      </c>
    </row>
    <row r="13">
      <c r="A13" s="3" t="s">
        <v>162</v>
      </c>
      <c r="D13" s="111" t="s">
        <v>241</v>
      </c>
      <c r="E13" s="117">
        <v>7.0</v>
      </c>
      <c r="F13" s="112">
        <v>7.3</v>
      </c>
      <c r="G13" s="112"/>
      <c r="H13" s="112"/>
      <c r="I13" s="117"/>
      <c r="J13" s="112"/>
      <c r="K13" s="3" t="s">
        <v>437</v>
      </c>
      <c r="N13" s="3" t="s">
        <v>447</v>
      </c>
      <c r="R13" s="52">
        <v>75.0</v>
      </c>
    </row>
    <row r="14">
      <c r="C14" s="10"/>
      <c r="D14" s="10"/>
      <c r="E14" s="10"/>
      <c r="F14" s="10"/>
      <c r="G14" s="10"/>
      <c r="H14" s="10"/>
      <c r="I14" s="10"/>
      <c r="J14" s="10"/>
      <c r="R14" s="52"/>
    </row>
    <row r="15">
      <c r="E15" s="118">
        <v>74.5</v>
      </c>
      <c r="F15" s="118">
        <v>74.2</v>
      </c>
      <c r="G15" s="118">
        <v>76.5</v>
      </c>
      <c r="H15" s="118">
        <v>77.7</v>
      </c>
      <c r="I15" s="118">
        <v>77.7</v>
      </c>
      <c r="J15" s="118">
        <v>76.5</v>
      </c>
      <c r="K15" s="119"/>
      <c r="L15" s="119"/>
      <c r="M15" s="119"/>
      <c r="N15" s="119"/>
      <c r="O15" s="119"/>
      <c r="P15" s="119" t="s">
        <v>305</v>
      </c>
      <c r="R15" s="210" t="s">
        <v>429</v>
      </c>
      <c r="S15" s="157">
        <f>R13/R12-1</f>
        <v>0.02739726027</v>
      </c>
    </row>
    <row r="16">
      <c r="A16" s="3" t="s">
        <v>48</v>
      </c>
      <c r="C16" s="164">
        <v>74.4</v>
      </c>
      <c r="D16" s="164">
        <v>74.2</v>
      </c>
      <c r="E16" s="164">
        <v>73.5</v>
      </c>
      <c r="F16" s="118">
        <v>72.4</v>
      </c>
      <c r="G16" s="118">
        <v>71.4</v>
      </c>
      <c r="H16" s="118">
        <v>76.4</v>
      </c>
      <c r="I16" s="118">
        <v>78.1</v>
      </c>
      <c r="J16" s="118">
        <v>75.9</v>
      </c>
      <c r="K16" s="119"/>
      <c r="L16" s="119"/>
      <c r="M16" s="119"/>
      <c r="N16" s="119"/>
      <c r="O16" s="119"/>
      <c r="P16" s="119" t="s">
        <v>325</v>
      </c>
      <c r="R16" s="210" t="s">
        <v>430</v>
      </c>
      <c r="S16" s="212">
        <f>S15*0.2</f>
        <v>0.005479452055</v>
      </c>
    </row>
    <row r="17">
      <c r="A17" s="3" t="s">
        <v>15</v>
      </c>
      <c r="B17" s="11"/>
      <c r="C17" s="63">
        <v>74.4</v>
      </c>
      <c r="D17" s="63">
        <v>74.2</v>
      </c>
      <c r="E17" s="63">
        <v>73.5</v>
      </c>
      <c r="F17" s="93">
        <v>73.65</v>
      </c>
      <c r="G17" s="93">
        <v>87.34</v>
      </c>
      <c r="H17" s="93">
        <v>66.51</v>
      </c>
      <c r="I17" s="63">
        <v>88.0</v>
      </c>
      <c r="J17" s="63">
        <v>86.4</v>
      </c>
      <c r="K17" s="63"/>
      <c r="L17" s="63"/>
      <c r="M17" s="63"/>
      <c r="N17" s="63"/>
      <c r="O17" s="63">
        <v>89.5</v>
      </c>
      <c r="P17" s="6" t="s">
        <v>407</v>
      </c>
      <c r="R17" s="3" t="s">
        <v>448</v>
      </c>
    </row>
    <row r="18">
      <c r="A18" s="3"/>
      <c r="B18" s="12"/>
      <c r="C18" s="12"/>
      <c r="D18" s="13"/>
      <c r="E18" s="13"/>
      <c r="F18" s="13"/>
      <c r="G18" s="13"/>
      <c r="H18" s="13"/>
      <c r="I18" s="13"/>
      <c r="J18" s="13"/>
      <c r="K18" s="13"/>
      <c r="L18" s="13"/>
      <c r="M18" s="13"/>
      <c r="N18" s="13"/>
      <c r="O18" s="13"/>
      <c r="P18" s="13"/>
      <c r="Q18" s="13"/>
    </row>
    <row r="19">
      <c r="A19" s="119" t="s">
        <v>50</v>
      </c>
      <c r="B19" s="119"/>
      <c r="C19" s="119"/>
      <c r="D19" s="173"/>
      <c r="E19" s="173"/>
      <c r="F19" s="174">
        <v>8.2</v>
      </c>
      <c r="G19" s="175">
        <v>7.0</v>
      </c>
      <c r="H19" s="174">
        <v>44202.0</v>
      </c>
      <c r="I19" s="174">
        <v>44352.0</v>
      </c>
      <c r="J19" s="175">
        <v>4.9</v>
      </c>
      <c r="K19" s="119"/>
      <c r="L19" s="119"/>
      <c r="M19" s="119"/>
      <c r="N19" s="119"/>
      <c r="O19" s="119"/>
      <c r="P19" s="119" t="s">
        <v>327</v>
      </c>
      <c r="Q19" s="173"/>
      <c r="R19" s="173"/>
      <c r="S19" s="173"/>
      <c r="T19" s="173"/>
      <c r="U19" s="173"/>
      <c r="V19" s="173"/>
      <c r="W19" s="173"/>
      <c r="X19" s="173"/>
      <c r="Y19" s="173"/>
      <c r="Z19" s="173"/>
      <c r="AA19" s="173"/>
      <c r="AB19" s="173"/>
      <c r="AC19" s="173"/>
      <c r="AD19" s="173"/>
      <c r="AE19" s="173"/>
      <c r="AF19" s="173"/>
      <c r="AG19" s="173"/>
      <c r="AH19" s="173"/>
      <c r="AI19" s="173"/>
      <c r="AJ19" s="173"/>
    </row>
    <row r="20">
      <c r="A20" s="3" t="s">
        <v>50</v>
      </c>
      <c r="B20" s="12"/>
      <c r="C20" s="12"/>
      <c r="D20" s="13"/>
      <c r="E20" s="13"/>
      <c r="F20" s="14">
        <v>44659.0</v>
      </c>
      <c r="G20" s="14">
        <v>44780.0</v>
      </c>
      <c r="H20" s="14">
        <v>44718.0</v>
      </c>
      <c r="I20" s="14">
        <v>44598.0</v>
      </c>
      <c r="J20" s="14">
        <v>44625.0</v>
      </c>
      <c r="K20" s="3"/>
      <c r="L20" s="3"/>
      <c r="M20" s="3"/>
      <c r="N20" s="3"/>
      <c r="O20" s="3"/>
      <c r="P20" s="3" t="s">
        <v>328</v>
      </c>
    </row>
    <row r="21">
      <c r="B21" s="12"/>
      <c r="C21" s="12"/>
      <c r="D21" s="13"/>
      <c r="E21" s="13"/>
      <c r="F21" s="13"/>
      <c r="G21" s="176">
        <v>44659.0</v>
      </c>
      <c r="H21" s="176">
        <v>44749.0</v>
      </c>
      <c r="I21" s="176">
        <v>44779.0</v>
      </c>
      <c r="J21" s="176">
        <v>44625.0</v>
      </c>
      <c r="K21" s="3"/>
      <c r="L21" s="3"/>
      <c r="M21" s="3"/>
      <c r="N21" s="3"/>
      <c r="O21" s="3"/>
      <c r="P21" s="3" t="s">
        <v>329</v>
      </c>
      <c r="S21" s="3"/>
    </row>
    <row r="22" collapsed="1">
      <c r="B22" s="12"/>
      <c r="C22" s="12"/>
      <c r="D22" s="13"/>
      <c r="E22" s="13"/>
      <c r="F22" s="13"/>
      <c r="G22" s="13"/>
      <c r="H22" s="62"/>
      <c r="I22" s="62"/>
      <c r="J22" s="4"/>
      <c r="S22" s="3" t="s">
        <v>330</v>
      </c>
    </row>
    <row r="23" hidden="1" outlineLevel="1">
      <c r="B23" s="15" t="s">
        <v>52</v>
      </c>
      <c r="C23" s="16"/>
      <c r="D23" s="16"/>
      <c r="E23" s="16"/>
      <c r="F23" s="17" t="s">
        <v>53</v>
      </c>
      <c r="G23" s="18"/>
      <c r="H23" s="18"/>
      <c r="I23" s="18"/>
      <c r="J23" s="18"/>
      <c r="K23" s="3"/>
      <c r="L23" s="3"/>
      <c r="M23" s="3"/>
      <c r="N23" s="3"/>
      <c r="O23" s="3"/>
      <c r="P23" s="3"/>
    </row>
    <row r="24" hidden="1" outlineLevel="1">
      <c r="A24" s="3"/>
      <c r="B24" s="16" t="s">
        <v>28</v>
      </c>
      <c r="C24" s="16"/>
      <c r="D24" s="16"/>
      <c r="E24" s="16"/>
      <c r="F24" s="20" t="s">
        <v>207</v>
      </c>
      <c r="G24" s="20">
        <v>0.085534</v>
      </c>
      <c r="H24" s="20">
        <v>-0.09657</v>
      </c>
      <c r="I24" s="20">
        <v>-0.074</v>
      </c>
      <c r="J24" s="18"/>
      <c r="K24" s="31"/>
      <c r="L24" s="31"/>
      <c r="M24" s="31"/>
      <c r="N24" s="31"/>
      <c r="O24" s="31"/>
      <c r="P24" s="31" t="s">
        <v>164</v>
      </c>
    </row>
    <row r="25" hidden="1" outlineLevel="1">
      <c r="A25" s="3"/>
      <c r="B25" s="16" t="s">
        <v>55</v>
      </c>
      <c r="C25" s="16"/>
      <c r="D25" s="16"/>
      <c r="E25" s="16"/>
      <c r="F25" s="20" t="s">
        <v>208</v>
      </c>
      <c r="G25" s="20">
        <v>0.0891</v>
      </c>
      <c r="H25" s="20">
        <v>0.015935</v>
      </c>
      <c r="I25" s="20">
        <v>-0.00482</v>
      </c>
      <c r="J25" s="86">
        <v>-0.022</v>
      </c>
      <c r="K25" s="3"/>
      <c r="L25" s="3"/>
      <c r="M25" s="3"/>
      <c r="N25" s="3"/>
      <c r="O25" s="3"/>
      <c r="P25" s="3" t="s">
        <v>56</v>
      </c>
    </row>
    <row r="26" hidden="1" outlineLevel="1">
      <c r="A26" s="3"/>
      <c r="B26" s="16" t="s">
        <v>57</v>
      </c>
      <c r="C26" s="16"/>
      <c r="D26" s="16"/>
      <c r="E26" s="16"/>
      <c r="F26" s="57" t="s">
        <v>209</v>
      </c>
      <c r="G26" s="20">
        <v>0.166436</v>
      </c>
      <c r="H26" s="20">
        <v>-0.21198</v>
      </c>
      <c r="I26" s="20">
        <v>-0.40366</v>
      </c>
      <c r="J26" s="88">
        <v>-0.267</v>
      </c>
      <c r="K26" s="3"/>
      <c r="L26" s="3"/>
      <c r="M26" s="3"/>
      <c r="N26" s="3"/>
      <c r="O26" s="3"/>
      <c r="P26" s="3" t="s">
        <v>56</v>
      </c>
    </row>
    <row r="27" hidden="1" outlineLevel="1">
      <c r="A27" s="3"/>
      <c r="B27" s="16" t="s">
        <v>58</v>
      </c>
      <c r="C27" s="16"/>
      <c r="D27" s="16"/>
      <c r="E27" s="16"/>
      <c r="F27" s="20" t="s">
        <v>210</v>
      </c>
      <c r="G27" s="20">
        <v>0.09644</v>
      </c>
      <c r="H27" s="20">
        <v>-0.01752</v>
      </c>
      <c r="I27" s="20">
        <v>0.090012</v>
      </c>
      <c r="J27" s="88">
        <v>-0.051</v>
      </c>
      <c r="K27" s="3"/>
      <c r="L27" s="3"/>
      <c r="M27" s="3"/>
      <c r="N27" s="3"/>
      <c r="O27" s="3"/>
      <c r="P27" s="3" t="s">
        <v>56</v>
      </c>
    </row>
    <row r="28" hidden="1" outlineLevel="1">
      <c r="A28" s="3"/>
      <c r="B28" s="16" t="s">
        <v>60</v>
      </c>
      <c r="C28" s="16"/>
      <c r="D28" s="16"/>
      <c r="E28" s="16"/>
      <c r="F28" s="20" t="s">
        <v>211</v>
      </c>
      <c r="G28" s="20">
        <v>0.136107</v>
      </c>
      <c r="H28" s="20">
        <v>0.038548</v>
      </c>
      <c r="I28" s="20">
        <v>-0.09601</v>
      </c>
      <c r="J28" s="88">
        <v>-0.099</v>
      </c>
      <c r="K28" s="3"/>
      <c r="L28" s="3"/>
      <c r="M28" s="3"/>
      <c r="N28" s="3"/>
      <c r="O28" s="3"/>
      <c r="P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c r="M29" s="3"/>
      <c r="N29" s="3"/>
      <c r="O29" s="3"/>
      <c r="P29" s="3" t="s">
        <v>63</v>
      </c>
    </row>
    <row r="30" hidden="1" outlineLevel="1">
      <c r="A30" s="3"/>
      <c r="B30" s="16" t="s">
        <v>64</v>
      </c>
      <c r="C30" s="16"/>
      <c r="D30" s="16"/>
      <c r="E30" s="16"/>
      <c r="F30" s="95">
        <v>0.09</v>
      </c>
      <c r="G30" s="20">
        <v>0.08</v>
      </c>
      <c r="H30" s="20">
        <v>0.07</v>
      </c>
      <c r="I30" s="20">
        <v>0.07</v>
      </c>
      <c r="J30" s="86">
        <v>0.07</v>
      </c>
      <c r="K30" s="3"/>
      <c r="L30" s="3"/>
      <c r="M30" s="3"/>
      <c r="N30" s="3"/>
      <c r="O30" s="3"/>
      <c r="P30" s="3" t="s">
        <v>65</v>
      </c>
    </row>
    <row r="31" hidden="1" outlineLevel="1">
      <c r="A31" s="3"/>
      <c r="B31" s="16" t="s">
        <v>66</v>
      </c>
      <c r="C31" s="16"/>
      <c r="D31" s="16"/>
      <c r="E31" s="16"/>
      <c r="F31" s="21">
        <v>0.042</v>
      </c>
      <c r="G31" s="21">
        <v>0.042</v>
      </c>
      <c r="H31" s="21">
        <v>0.042</v>
      </c>
      <c r="I31" s="21">
        <v>0.042</v>
      </c>
      <c r="J31" s="88">
        <v>0.042</v>
      </c>
      <c r="K31" s="3"/>
      <c r="L31" s="3"/>
      <c r="M31" s="3"/>
      <c r="N31" s="3"/>
      <c r="O31" s="3"/>
      <c r="P31" s="3" t="s">
        <v>67</v>
      </c>
    </row>
    <row r="32" hidden="1" outlineLevel="1">
      <c r="A32" s="3"/>
      <c r="B32" s="16" t="s">
        <v>68</v>
      </c>
      <c r="C32" s="16"/>
      <c r="D32" s="16"/>
      <c r="E32" s="16"/>
      <c r="F32" s="21">
        <v>0.024</v>
      </c>
      <c r="G32" s="21">
        <v>0.024</v>
      </c>
      <c r="H32" s="21">
        <v>0.024</v>
      </c>
      <c r="I32" s="21">
        <v>0.024</v>
      </c>
      <c r="J32" s="88">
        <v>0.024</v>
      </c>
      <c r="K32" s="3"/>
      <c r="L32" s="3"/>
      <c r="M32" s="3"/>
      <c r="N32" s="3"/>
      <c r="O32" s="3"/>
      <c r="P32" s="3" t="s">
        <v>67</v>
      </c>
    </row>
    <row r="33">
      <c r="F33" s="3" t="s">
        <v>15</v>
      </c>
      <c r="G33" s="177">
        <v>85.6</v>
      </c>
      <c r="H33" s="177">
        <v>66.5</v>
      </c>
      <c r="I33" s="203">
        <v>63.0</v>
      </c>
      <c r="J33" s="203">
        <v>65.0</v>
      </c>
      <c r="P33" s="6" t="s">
        <v>408</v>
      </c>
      <c r="S33" s="178" t="s">
        <v>331</v>
      </c>
      <c r="T33" s="179" t="s">
        <v>81</v>
      </c>
      <c r="U33" s="179" t="s">
        <v>114</v>
      </c>
    </row>
    <row r="34">
      <c r="A34" s="31"/>
      <c r="B34" s="3"/>
      <c r="C34" s="3"/>
      <c r="D34" s="3"/>
      <c r="F34" s="3" t="s">
        <v>15</v>
      </c>
      <c r="G34" s="177">
        <v>85.6</v>
      </c>
      <c r="H34" s="177">
        <v>66.5</v>
      </c>
      <c r="I34" s="198">
        <v>68.3</v>
      </c>
      <c r="J34" s="198">
        <v>76.7</v>
      </c>
      <c r="K34" s="3"/>
      <c r="L34" s="3"/>
      <c r="M34" s="3"/>
      <c r="N34" s="3"/>
      <c r="O34" s="3"/>
      <c r="P34" s="6" t="s">
        <v>409</v>
      </c>
      <c r="Q34" s="3"/>
      <c r="R34" s="3"/>
      <c r="S34" s="180"/>
      <c r="T34" s="181"/>
      <c r="U34" s="181"/>
    </row>
    <row r="35">
      <c r="A35" s="205" t="s">
        <v>422</v>
      </c>
      <c r="B35" s="3"/>
      <c r="C35" s="3"/>
      <c r="D35" s="3"/>
      <c r="F35" s="4"/>
      <c r="G35" s="4"/>
      <c r="H35" s="4"/>
      <c r="I35" s="4"/>
      <c r="J35" s="4"/>
      <c r="K35" s="3"/>
      <c r="L35" s="3"/>
      <c r="M35" s="3"/>
      <c r="N35" s="3"/>
      <c r="O35" s="3"/>
      <c r="P35" s="3"/>
      <c r="Q35" s="3"/>
      <c r="R35" s="3"/>
      <c r="S35" s="180" t="s">
        <v>332</v>
      </c>
      <c r="T35" s="181" t="s">
        <v>333</v>
      </c>
      <c r="U35" s="181" t="s">
        <v>334</v>
      </c>
    </row>
    <row r="36">
      <c r="A36" s="3" t="s">
        <v>28</v>
      </c>
      <c r="B36" s="10" t="s">
        <v>69</v>
      </c>
      <c r="C36" s="167">
        <v>61.0</v>
      </c>
      <c r="D36" s="167">
        <v>69.0</v>
      </c>
      <c r="E36" s="167">
        <v>73.0</v>
      </c>
      <c r="F36" s="167">
        <v>79.0</v>
      </c>
      <c r="G36" s="193">
        <v>88.0</v>
      </c>
      <c r="H36" s="193">
        <v>81.0</v>
      </c>
      <c r="I36" s="193">
        <v>60.0</v>
      </c>
      <c r="J36" s="193">
        <v>62.5</v>
      </c>
      <c r="K36" s="193"/>
      <c r="L36" s="193"/>
      <c r="M36" s="193"/>
      <c r="N36" s="193"/>
      <c r="O36" s="193">
        <v>70.0</v>
      </c>
      <c r="P36" s="122" t="s">
        <v>247</v>
      </c>
      <c r="S36" s="180" t="s">
        <v>335</v>
      </c>
      <c r="T36" s="181" t="s">
        <v>336</v>
      </c>
      <c r="U36" s="181" t="s">
        <v>337</v>
      </c>
    </row>
    <row r="37">
      <c r="A37" s="22" t="s">
        <v>74</v>
      </c>
      <c r="B37" s="10" t="s">
        <v>75</v>
      </c>
      <c r="C37" s="193">
        <v>169.0</v>
      </c>
      <c r="D37" s="193">
        <v>202.0</v>
      </c>
      <c r="E37" s="193">
        <v>278.0</v>
      </c>
      <c r="F37" s="193">
        <v>374.0</v>
      </c>
      <c r="G37" s="193">
        <v>368.0</v>
      </c>
      <c r="H37" s="193">
        <v>267.0</v>
      </c>
      <c r="I37" s="193">
        <v>309.0</v>
      </c>
      <c r="J37" s="193">
        <v>298.0</v>
      </c>
      <c r="K37" s="193"/>
      <c r="L37" s="193"/>
      <c r="M37" s="193"/>
      <c r="N37" s="193"/>
      <c r="O37" s="193">
        <v>262.0</v>
      </c>
      <c r="P37" s="3" t="s">
        <v>309</v>
      </c>
      <c r="S37" s="180" t="s">
        <v>338</v>
      </c>
      <c r="T37" s="181" t="s">
        <v>339</v>
      </c>
      <c r="U37" s="181" t="s">
        <v>337</v>
      </c>
    </row>
    <row r="38">
      <c r="A38" s="22" t="s">
        <v>74</v>
      </c>
      <c r="B38" s="10" t="s">
        <v>248</v>
      </c>
      <c r="C38" s="123">
        <f t="shared" ref="C38:J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c r="L38" s="123"/>
      <c r="M38" s="123"/>
      <c r="N38" s="123"/>
      <c r="O38" s="123">
        <f>O37/35.3</f>
        <v>7.422096317</v>
      </c>
      <c r="P38" s="3" t="s">
        <v>309</v>
      </c>
      <c r="Q38" s="124"/>
      <c r="R38" s="124"/>
      <c r="S38" s="180" t="s">
        <v>340</v>
      </c>
      <c r="T38" s="181" t="s">
        <v>341</v>
      </c>
      <c r="U38" s="181" t="s">
        <v>337</v>
      </c>
    </row>
    <row r="39">
      <c r="A39" s="3" t="s">
        <v>249</v>
      </c>
      <c r="B39" s="10" t="s">
        <v>248</v>
      </c>
      <c r="C39" s="11">
        <v>6.8</v>
      </c>
      <c r="D39" s="11">
        <v>8.7</v>
      </c>
      <c r="E39" s="11">
        <v>16.9</v>
      </c>
      <c r="F39" s="11">
        <v>29.0</v>
      </c>
      <c r="G39" s="11">
        <v>29.0</v>
      </c>
      <c r="H39" s="11">
        <v>15.0</v>
      </c>
      <c r="I39" s="11">
        <v>11.0</v>
      </c>
      <c r="J39" s="11">
        <v>15.0</v>
      </c>
      <c r="K39" s="11"/>
      <c r="L39" s="11"/>
      <c r="M39" s="11"/>
      <c r="N39" s="11"/>
      <c r="O39" s="11">
        <v>15.0</v>
      </c>
      <c r="P39" s="125" t="s">
        <v>250</v>
      </c>
      <c r="S39" s="180" t="s">
        <v>171</v>
      </c>
      <c r="T39" s="181" t="s">
        <v>342</v>
      </c>
      <c r="U39" s="181" t="s">
        <v>337</v>
      </c>
    </row>
    <row r="40">
      <c r="A40" s="3"/>
      <c r="B40" s="10"/>
      <c r="C40" s="126"/>
      <c r="D40" s="126"/>
      <c r="E40" s="126"/>
      <c r="F40" s="11"/>
      <c r="G40" s="11">
        <v>29.0</v>
      </c>
      <c r="H40" s="11">
        <v>29.0</v>
      </c>
      <c r="I40" s="11">
        <v>28.5</v>
      </c>
      <c r="J40" s="11">
        <v>29.5</v>
      </c>
      <c r="K40" s="127"/>
      <c r="L40" s="127"/>
      <c r="M40" s="127"/>
      <c r="N40" s="127"/>
      <c r="O40" s="127"/>
      <c r="P40" s="127" t="s">
        <v>251</v>
      </c>
      <c r="S40" s="180" t="s">
        <v>343</v>
      </c>
      <c r="T40" s="181" t="s">
        <v>344</v>
      </c>
      <c r="U40" s="181" t="s">
        <v>337</v>
      </c>
    </row>
    <row r="41">
      <c r="A41" s="3" t="s">
        <v>252</v>
      </c>
      <c r="B41" s="10" t="s">
        <v>248</v>
      </c>
      <c r="C41" s="128">
        <f t="shared" ref="C41:J41" si="3">14%*C36</f>
        <v>8.54</v>
      </c>
      <c r="D41" s="128">
        <f t="shared" si="3"/>
        <v>9.66</v>
      </c>
      <c r="E41" s="128">
        <f t="shared" si="3"/>
        <v>10.22</v>
      </c>
      <c r="F41" s="128">
        <f t="shared" si="3"/>
        <v>11.06</v>
      </c>
      <c r="G41" s="128">
        <f t="shared" si="3"/>
        <v>12.32</v>
      </c>
      <c r="H41" s="128">
        <f t="shared" si="3"/>
        <v>11.34</v>
      </c>
      <c r="I41" s="128">
        <f t="shared" si="3"/>
        <v>8.4</v>
      </c>
      <c r="J41" s="128">
        <f t="shared" si="3"/>
        <v>8.75</v>
      </c>
      <c r="K41" s="128"/>
      <c r="L41" s="128"/>
      <c r="M41" s="128"/>
      <c r="N41" s="128"/>
      <c r="O41" s="128">
        <f>14%*O36</f>
        <v>9.8</v>
      </c>
      <c r="P41" s="127" t="s">
        <v>253</v>
      </c>
      <c r="S41" s="180" t="s">
        <v>345</v>
      </c>
      <c r="T41" s="181" t="s">
        <v>346</v>
      </c>
      <c r="U41" s="181" t="s">
        <v>334</v>
      </c>
    </row>
    <row r="42">
      <c r="A42" s="3" t="s">
        <v>254</v>
      </c>
      <c r="B42" s="10" t="s">
        <v>248</v>
      </c>
      <c r="C42" s="128">
        <f>0.8*C39 + 0.2*C41</f>
        <v>7.148</v>
      </c>
      <c r="D42" s="128">
        <f t="shared" ref="D42:J42" si="4">0.8*D39+0.2*D41</f>
        <v>8.892</v>
      </c>
      <c r="E42" s="128">
        <f t="shared" si="4"/>
        <v>15.564</v>
      </c>
      <c r="F42" s="128">
        <f t="shared" si="4"/>
        <v>25.412</v>
      </c>
      <c r="G42" s="128">
        <f t="shared" si="4"/>
        <v>25.664</v>
      </c>
      <c r="H42" s="128">
        <f t="shared" si="4"/>
        <v>14.268</v>
      </c>
      <c r="I42" s="128">
        <f t="shared" si="4"/>
        <v>10.48</v>
      </c>
      <c r="J42" s="128">
        <f t="shared" si="4"/>
        <v>13.75</v>
      </c>
      <c r="K42" s="128"/>
      <c r="L42" s="128"/>
      <c r="M42" s="128"/>
      <c r="N42" s="128"/>
      <c r="O42" s="128">
        <f>0.8*O39+0.2*O41</f>
        <v>13.96</v>
      </c>
      <c r="P42" s="127" t="s">
        <v>255</v>
      </c>
      <c r="Q42" s="22"/>
      <c r="S42" s="180" t="s">
        <v>347</v>
      </c>
      <c r="T42" s="181" t="s">
        <v>344</v>
      </c>
      <c r="U42" s="181" t="s">
        <v>334</v>
      </c>
    </row>
    <row r="43">
      <c r="A43" s="129" t="s">
        <v>256</v>
      </c>
      <c r="B43" s="130"/>
      <c r="C43" s="131">
        <f t="shared" ref="C43:J43" si="5">C42-C38</f>
        <v>2.360464589</v>
      </c>
      <c r="D43" s="131">
        <f t="shared" si="5"/>
        <v>3.169620397</v>
      </c>
      <c r="E43" s="131">
        <f t="shared" si="5"/>
        <v>7.688645892</v>
      </c>
      <c r="F43" s="131">
        <f t="shared" si="5"/>
        <v>14.81709915</v>
      </c>
      <c r="G43" s="131">
        <f t="shared" si="5"/>
        <v>15.23907082</v>
      </c>
      <c r="H43" s="131">
        <f t="shared" si="5"/>
        <v>6.704260623</v>
      </c>
      <c r="I43" s="131">
        <f t="shared" si="5"/>
        <v>1.726458924</v>
      </c>
      <c r="J43" s="131">
        <f t="shared" si="5"/>
        <v>5.308073654</v>
      </c>
      <c r="K43" s="130"/>
      <c r="L43" s="130"/>
      <c r="M43" s="130"/>
      <c r="N43" s="130"/>
      <c r="O43" s="131">
        <f>O42-O38</f>
        <v>6.537903683</v>
      </c>
      <c r="P43" s="129" t="s">
        <v>257</v>
      </c>
      <c r="Q43" s="130"/>
      <c r="R43" s="130"/>
      <c r="S43" s="180" t="s">
        <v>348</v>
      </c>
      <c r="T43" s="181" t="s">
        <v>349</v>
      </c>
      <c r="U43" s="181" t="s">
        <v>334</v>
      </c>
      <c r="V43" s="130"/>
      <c r="W43" s="130"/>
      <c r="X43" s="130"/>
      <c r="Y43" s="130"/>
      <c r="Z43" s="130"/>
      <c r="AA43" s="130"/>
      <c r="AB43" s="130"/>
      <c r="AC43" s="130"/>
      <c r="AD43" s="130"/>
      <c r="AE43" s="130"/>
      <c r="AF43" s="130"/>
      <c r="AG43" s="130"/>
      <c r="AH43" s="130"/>
      <c r="AI43" s="130"/>
      <c r="AJ43" s="130"/>
    </row>
    <row r="44">
      <c r="S44" s="180" t="s">
        <v>350</v>
      </c>
      <c r="T44" s="181" t="s">
        <v>351</v>
      </c>
      <c r="U44" s="181" t="s">
        <v>352</v>
      </c>
    </row>
    <row r="45">
      <c r="A45" s="22" t="s">
        <v>76</v>
      </c>
      <c r="B45" s="10" t="s">
        <v>77</v>
      </c>
      <c r="C45" s="63">
        <v>1038.0</v>
      </c>
      <c r="D45" s="63">
        <v>1394.0</v>
      </c>
      <c r="E45" s="63">
        <v>1785.0</v>
      </c>
      <c r="F45" s="63">
        <v>1863.0</v>
      </c>
      <c r="G45" s="63">
        <v>1364.0</v>
      </c>
      <c r="H45" s="63">
        <v>1249.0</v>
      </c>
      <c r="I45" s="63">
        <v>1511.0</v>
      </c>
      <c r="J45" s="63">
        <v>1478.0</v>
      </c>
      <c r="K45" s="63"/>
      <c r="L45" s="63"/>
      <c r="M45" s="63"/>
      <c r="N45" s="63"/>
      <c r="O45" s="63">
        <v>1423.0</v>
      </c>
      <c r="P45" s="3" t="s">
        <v>54</v>
      </c>
      <c r="S45" s="180" t="s">
        <v>353</v>
      </c>
      <c r="T45" s="181" t="s">
        <v>354</v>
      </c>
      <c r="U45" s="181" t="s">
        <v>352</v>
      </c>
    </row>
    <row r="46">
      <c r="A46" s="132"/>
      <c r="B46" s="132"/>
      <c r="C46" s="133"/>
      <c r="D46" s="133"/>
      <c r="E46" s="133"/>
      <c r="F46" s="133"/>
      <c r="G46" s="133"/>
      <c r="H46" s="133"/>
      <c r="I46" s="133"/>
      <c r="J46" s="133"/>
      <c r="K46" s="134"/>
      <c r="L46" s="134"/>
      <c r="M46" s="134"/>
      <c r="N46" s="134"/>
      <c r="O46" s="134"/>
      <c r="P46" s="134"/>
      <c r="Q46" s="134"/>
      <c r="R46" s="134"/>
      <c r="S46" s="180" t="s">
        <v>355</v>
      </c>
      <c r="T46" s="181" t="s">
        <v>356</v>
      </c>
      <c r="U46" s="181" t="s">
        <v>357</v>
      </c>
      <c r="V46" s="134"/>
      <c r="W46" s="134"/>
      <c r="X46" s="134"/>
      <c r="Y46" s="134"/>
      <c r="Z46" s="134"/>
      <c r="AA46" s="134"/>
      <c r="AB46" s="134"/>
      <c r="AC46" s="134"/>
      <c r="AD46" s="134"/>
      <c r="AE46" s="134"/>
      <c r="AF46" s="134"/>
      <c r="AG46" s="134"/>
      <c r="AH46" s="134"/>
      <c r="AI46" s="134"/>
      <c r="AJ46" s="134"/>
    </row>
    <row r="47">
      <c r="A47" s="194" t="s">
        <v>78</v>
      </c>
      <c r="B47" s="195" t="s">
        <v>79</v>
      </c>
      <c r="C47" s="64">
        <v>99.3</v>
      </c>
      <c r="D47" s="64">
        <v>110.5</v>
      </c>
      <c r="E47" s="64">
        <v>104.3</v>
      </c>
      <c r="F47" s="64">
        <v>99.9</v>
      </c>
      <c r="G47" s="64">
        <v>98.2</v>
      </c>
      <c r="H47" s="64">
        <v>97.1</v>
      </c>
      <c r="I47" s="64">
        <v>94.8</v>
      </c>
      <c r="J47" s="64">
        <v>96.8</v>
      </c>
      <c r="K47" s="64"/>
      <c r="L47" s="64"/>
      <c r="M47" s="64"/>
      <c r="N47" s="64"/>
      <c r="O47" s="64">
        <v>103.5</v>
      </c>
    </row>
    <row r="48">
      <c r="A48" s="194" t="s">
        <v>80</v>
      </c>
      <c r="B48" s="194" t="s">
        <v>79</v>
      </c>
      <c r="C48" s="64">
        <v>97.2</v>
      </c>
      <c r="D48" s="64">
        <v>128.1</v>
      </c>
      <c r="E48" s="64">
        <v>110.3</v>
      </c>
      <c r="F48" s="64">
        <v>101.0</v>
      </c>
      <c r="G48" s="64">
        <v>100.0</v>
      </c>
      <c r="H48" s="64">
        <v>90.0</v>
      </c>
      <c r="I48" s="64">
        <v>90.0</v>
      </c>
      <c r="J48" s="64">
        <v>90.0</v>
      </c>
      <c r="K48" s="64"/>
      <c r="L48" s="64"/>
      <c r="M48" s="64"/>
      <c r="N48" s="64"/>
      <c r="O48" s="64">
        <v>101.5</v>
      </c>
    </row>
    <row r="49">
      <c r="A49" s="194" t="s">
        <v>81</v>
      </c>
      <c r="B49" s="194" t="s">
        <v>79</v>
      </c>
      <c r="C49" s="64">
        <v>105.5</v>
      </c>
      <c r="D49" s="64">
        <v>106.0</v>
      </c>
      <c r="E49" s="64">
        <v>106.8</v>
      </c>
      <c r="F49" s="64">
        <v>108.3</v>
      </c>
      <c r="G49" s="64">
        <v>99.6</v>
      </c>
      <c r="H49" s="64">
        <v>90.2</v>
      </c>
      <c r="I49" s="64">
        <v>90.2</v>
      </c>
      <c r="J49" s="64">
        <v>90.1</v>
      </c>
      <c r="K49" s="64"/>
      <c r="L49" s="64"/>
      <c r="M49" s="64"/>
      <c r="N49" s="64"/>
      <c r="O49" s="64">
        <v>103.0</v>
      </c>
      <c r="P49" s="3" t="s">
        <v>381</v>
      </c>
    </row>
    <row r="50">
      <c r="A50" s="3" t="s">
        <v>259</v>
      </c>
      <c r="B50" s="3" t="s">
        <v>260</v>
      </c>
      <c r="C50" s="196">
        <v>22.0</v>
      </c>
      <c r="D50" s="196">
        <v>17.0</v>
      </c>
      <c r="E50" s="196">
        <v>36.0</v>
      </c>
      <c r="F50" s="196">
        <v>47.0</v>
      </c>
      <c r="G50" s="196">
        <v>43.0</v>
      </c>
      <c r="H50" s="196">
        <v>55.0</v>
      </c>
      <c r="I50" s="196">
        <v>23.0</v>
      </c>
      <c r="J50" s="196">
        <v>38.0</v>
      </c>
      <c r="K50" s="196"/>
      <c r="L50" s="196"/>
      <c r="M50" s="196"/>
      <c r="N50" s="196"/>
      <c r="O50" s="196">
        <v>21.0</v>
      </c>
    </row>
    <row r="53">
      <c r="A53" s="3" t="s">
        <v>137</v>
      </c>
      <c r="B53" s="11"/>
      <c r="C53" s="63">
        <v>74.4</v>
      </c>
      <c r="D53" s="63">
        <v>73.6</v>
      </c>
      <c r="E53" s="63">
        <v>72.8</v>
      </c>
      <c r="F53" s="63">
        <v>72.8</v>
      </c>
      <c r="G53" s="63">
        <v>86.2</v>
      </c>
      <c r="H53" s="63">
        <v>86.0</v>
      </c>
      <c r="I53" s="63">
        <v>89.2</v>
      </c>
      <c r="J53" s="63">
        <v>88.1</v>
      </c>
      <c r="K53" s="63"/>
      <c r="L53" s="63"/>
      <c r="M53" s="63"/>
      <c r="N53" s="63"/>
      <c r="O53" s="63">
        <v>95.4</v>
      </c>
      <c r="P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60</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60</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65</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65</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62.5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62.5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c r="Q67" s="66"/>
      <c r="R67" s="66"/>
      <c r="S67" s="66"/>
      <c r="T67" s="66"/>
    </row>
    <row r="68">
      <c r="A68" s="66"/>
      <c r="B68" s="18" t="s">
        <v>167</v>
      </c>
      <c r="C68" s="18" t="s">
        <v>168</v>
      </c>
      <c r="D68" s="67" t="s">
        <v>169</v>
      </c>
      <c r="E68" s="18" t="s">
        <v>170</v>
      </c>
      <c r="F68" s="18" t="s">
        <v>171</v>
      </c>
      <c r="G68" s="67" t="s">
        <v>172</v>
      </c>
      <c r="H68" s="18" t="s">
        <v>173</v>
      </c>
      <c r="I68" s="18" t="s">
        <v>174</v>
      </c>
      <c r="J68" s="67" t="s">
        <v>175</v>
      </c>
      <c r="K68" s="18"/>
      <c r="L68" s="18"/>
      <c r="M68" s="18"/>
      <c r="N68" s="18"/>
      <c r="O68" s="18" t="s">
        <v>176</v>
      </c>
      <c r="P68" s="18" t="s">
        <v>177</v>
      </c>
      <c r="Q68" s="67" t="s">
        <v>178</v>
      </c>
      <c r="R68" s="66"/>
      <c r="S68" s="66"/>
    </row>
    <row r="69">
      <c r="A69" s="68">
        <v>2021.0</v>
      </c>
      <c r="B69" s="69">
        <v>0.67</v>
      </c>
      <c r="C69" s="69">
        <v>0.78</v>
      </c>
      <c r="D69" s="69">
        <v>0.66</v>
      </c>
      <c r="E69" s="69">
        <v>0.58</v>
      </c>
      <c r="F69" s="69">
        <v>0.74</v>
      </c>
      <c r="G69" s="69">
        <v>0.69</v>
      </c>
      <c r="H69" s="98">
        <v>0.31</v>
      </c>
      <c r="I69" s="98">
        <v>0.17</v>
      </c>
      <c r="J69" s="98">
        <v>0.6</v>
      </c>
      <c r="K69" s="98"/>
      <c r="L69" s="98"/>
      <c r="M69" s="98"/>
      <c r="N69" s="98"/>
      <c r="O69" s="170">
        <v>1.11</v>
      </c>
      <c r="P69" s="170">
        <v>0.96</v>
      </c>
      <c r="Q69" s="183">
        <v>0.82</v>
      </c>
      <c r="R69" s="73"/>
      <c r="S69" s="74"/>
    </row>
    <row r="70">
      <c r="A70" s="75" t="s">
        <v>179</v>
      </c>
      <c r="B70" s="91">
        <v>5.19</v>
      </c>
      <c r="C70" s="76">
        <v>5.67</v>
      </c>
      <c r="D70" s="76">
        <v>5.79</v>
      </c>
      <c r="E70" s="76">
        <v>5.53</v>
      </c>
      <c r="F70" s="76">
        <v>6.02</v>
      </c>
      <c r="G70" s="76">
        <v>6.5</v>
      </c>
      <c r="H70" s="77">
        <v>6.46</v>
      </c>
      <c r="I70" s="77">
        <v>6.68</v>
      </c>
      <c r="J70" s="135">
        <v>7.4</v>
      </c>
      <c r="K70" s="135"/>
      <c r="L70" s="135"/>
      <c r="M70" s="135"/>
      <c r="N70" s="135"/>
      <c r="O70" s="135">
        <v>8.13</v>
      </c>
      <c r="P70" s="77">
        <v>8.4</v>
      </c>
      <c r="Q70" s="184">
        <v>8.39</v>
      </c>
      <c r="R70" s="79"/>
      <c r="S70" s="80">
        <v>2021.0</v>
      </c>
    </row>
    <row r="71">
      <c r="A71" s="66"/>
      <c r="B71" s="66"/>
      <c r="C71" s="66"/>
      <c r="D71" s="66"/>
      <c r="E71" s="66"/>
      <c r="F71" s="66"/>
      <c r="G71" s="66"/>
      <c r="H71" s="66"/>
      <c r="I71" s="66"/>
      <c r="J71" s="66"/>
      <c r="K71" s="66"/>
      <c r="L71" s="66"/>
      <c r="M71" s="66"/>
      <c r="N71" s="66"/>
      <c r="O71" s="66"/>
      <c r="P71" s="66"/>
      <c r="Q71" s="66"/>
      <c r="R71" s="81"/>
    </row>
    <row r="72">
      <c r="A72" s="18" t="s">
        <v>181</v>
      </c>
      <c r="B72" s="18">
        <v>0.6</v>
      </c>
      <c r="C72" s="18">
        <v>0.4</v>
      </c>
      <c r="D72" s="18">
        <v>0.5</v>
      </c>
      <c r="E72" s="18">
        <v>0.4</v>
      </c>
      <c r="F72" s="18">
        <v>0.4</v>
      </c>
      <c r="G72" s="18">
        <v>0.4</v>
      </c>
      <c r="H72" s="18">
        <v>0.5</v>
      </c>
      <c r="I72" s="18">
        <v>0.0</v>
      </c>
      <c r="J72" s="18">
        <v>0.2</v>
      </c>
      <c r="K72" s="18"/>
      <c r="L72" s="18"/>
      <c r="M72" s="18"/>
      <c r="N72" s="18"/>
      <c r="O72" s="18">
        <v>0.4</v>
      </c>
      <c r="P72" s="18">
        <v>0.5</v>
      </c>
      <c r="Q72" s="18">
        <v>0.5</v>
      </c>
      <c r="R72" s="66"/>
      <c r="S72" s="66"/>
    </row>
    <row r="73">
      <c r="A73" s="18" t="s">
        <v>182</v>
      </c>
      <c r="B73" s="18">
        <v>0.5</v>
      </c>
      <c r="C73" s="18">
        <v>0.3</v>
      </c>
      <c r="D73" s="18">
        <v>0.3</v>
      </c>
      <c r="E73" s="18">
        <v>0.4</v>
      </c>
      <c r="F73" s="18">
        <v>0.4</v>
      </c>
      <c r="G73" s="18">
        <v>0.4</v>
      </c>
      <c r="H73" s="18">
        <v>0.2</v>
      </c>
      <c r="I73" s="82">
        <v>-0.1</v>
      </c>
      <c r="J73" s="82">
        <v>-0.1</v>
      </c>
      <c r="K73" s="18"/>
      <c r="L73" s="18"/>
      <c r="M73" s="18"/>
      <c r="N73" s="18"/>
      <c r="O73" s="18">
        <v>0.3</v>
      </c>
      <c r="P73" s="18">
        <v>0.4</v>
      </c>
      <c r="Q73" s="18">
        <v>0.6</v>
      </c>
      <c r="R73" s="66"/>
      <c r="S73" s="66"/>
    </row>
    <row r="74">
      <c r="A74" s="66"/>
      <c r="B74" s="18" t="s">
        <v>183</v>
      </c>
      <c r="C74" s="18" t="s">
        <v>184</v>
      </c>
      <c r="D74" s="18" t="s">
        <v>169</v>
      </c>
      <c r="E74" s="18" t="s">
        <v>185</v>
      </c>
      <c r="F74" s="18" t="s">
        <v>186</v>
      </c>
      <c r="G74" s="18" t="s">
        <v>172</v>
      </c>
      <c r="H74" s="18" t="s">
        <v>187</v>
      </c>
      <c r="I74" s="18" t="s">
        <v>188</v>
      </c>
      <c r="J74" s="18" t="s">
        <v>175</v>
      </c>
      <c r="K74" s="18"/>
      <c r="L74" s="18"/>
      <c r="M74" s="18"/>
      <c r="N74" s="18"/>
      <c r="O74" s="18" t="s">
        <v>189</v>
      </c>
      <c r="P74" s="18" t="s">
        <v>190</v>
      </c>
      <c r="Q74" s="18" t="s">
        <v>178</v>
      </c>
      <c r="R74" s="66"/>
      <c r="S74" s="66"/>
    </row>
    <row r="75">
      <c r="A75" s="66"/>
      <c r="B75" s="199">
        <v>0.0099</v>
      </c>
      <c r="C75" s="199">
        <v>0.0117</v>
      </c>
      <c r="D75" s="199">
        <v>0.0761</v>
      </c>
      <c r="E75" s="199">
        <v>0.0156</v>
      </c>
      <c r="F75" s="199">
        <v>0.0012</v>
      </c>
      <c r="G75" s="199">
        <v>-0.0035</v>
      </c>
      <c r="H75" s="199">
        <v>0.007</v>
      </c>
      <c r="I75" s="200">
        <f t="shared" ref="I75:J75" si="13"> (12% - SUM( $B$75:$H$75 ) ) * I73 / SUM( $I$73:$Q$73 )</f>
        <v>-0.0001818181818</v>
      </c>
      <c r="J75" s="200">
        <f t="shared" si="13"/>
        <v>-0.0001818181818</v>
      </c>
      <c r="K75" s="200"/>
      <c r="L75" s="200"/>
      <c r="M75" s="200"/>
      <c r="N75" s="200"/>
      <c r="O75" s="200">
        <f t="shared" ref="O75:Q75" si="14"> (12% - SUM( $B$75:$H$75 ) ) * O73 / SUM( $I$73:$Q$73 )</f>
        <v>0.0005454545455</v>
      </c>
      <c r="P75" s="200">
        <f t="shared" si="14"/>
        <v>0.0007272727273</v>
      </c>
      <c r="Q75" s="200">
        <f t="shared" si="14"/>
        <v>0.001090909091</v>
      </c>
      <c r="R75" s="66"/>
      <c r="S75" s="201">
        <f> SUM( B75:Q75 )</f>
        <v>0.12</v>
      </c>
    </row>
    <row r="76">
      <c r="A76" s="66"/>
      <c r="B76" s="66"/>
      <c r="C76" s="66"/>
      <c r="D76" s="66"/>
      <c r="E76" s="66"/>
      <c r="F76" s="66"/>
      <c r="G76" s="66"/>
      <c r="H76" s="66"/>
      <c r="I76" s="66"/>
      <c r="J76" s="66"/>
      <c r="K76" s="66"/>
      <c r="L76" s="66"/>
      <c r="M76" s="66"/>
      <c r="N76" s="66"/>
      <c r="O76" s="66"/>
      <c r="P76" s="66"/>
      <c r="Q76" s="66"/>
      <c r="R76" s="66"/>
      <c r="S76" s="66"/>
    </row>
    <row r="77">
      <c r="A77" s="66"/>
      <c r="B77" s="18" t="s">
        <v>167</v>
      </c>
      <c r="C77" s="18" t="s">
        <v>168</v>
      </c>
      <c r="D77" s="83" t="s">
        <v>169</v>
      </c>
      <c r="E77" s="18" t="s">
        <v>170</v>
      </c>
      <c r="F77" s="18" t="s">
        <v>171</v>
      </c>
      <c r="G77" s="83" t="s">
        <v>172</v>
      </c>
      <c r="H77" s="18" t="s">
        <v>173</v>
      </c>
      <c r="I77" s="18" t="s">
        <v>174</v>
      </c>
      <c r="J77" s="83" t="s">
        <v>175</v>
      </c>
      <c r="K77" s="18"/>
      <c r="L77" s="18"/>
      <c r="M77" s="18"/>
      <c r="N77" s="18"/>
      <c r="O77" s="18" t="s">
        <v>176</v>
      </c>
      <c r="P77" s="18" t="s">
        <v>177</v>
      </c>
      <c r="Q77" s="83" t="s">
        <v>178</v>
      </c>
      <c r="R77" s="66"/>
      <c r="S77" s="66"/>
    </row>
    <row r="78">
      <c r="A78" s="68">
        <v>2022.0</v>
      </c>
      <c r="B78" s="70">
        <v>1.0</v>
      </c>
      <c r="C78" s="70">
        <v>0.5</v>
      </c>
      <c r="D78" s="70">
        <v>0.5</v>
      </c>
      <c r="E78" s="70">
        <v>0.5</v>
      </c>
      <c r="F78" s="70">
        <v>0.4</v>
      </c>
      <c r="G78" s="70">
        <v>0.5</v>
      </c>
      <c r="H78" s="71">
        <v>0.4</v>
      </c>
      <c r="I78" s="71">
        <v>0.0</v>
      </c>
      <c r="J78" s="71">
        <v>0.2</v>
      </c>
      <c r="K78" s="71"/>
      <c r="L78" s="71"/>
      <c r="M78" s="71"/>
      <c r="N78" s="71"/>
      <c r="O78" s="71">
        <v>0.4</v>
      </c>
      <c r="P78" s="71">
        <v>0.5</v>
      </c>
      <c r="Q78" s="72">
        <v>0.6</v>
      </c>
      <c r="R78" s="66"/>
      <c r="S78" s="66"/>
    </row>
    <row r="79">
      <c r="A79" s="75" t="s">
        <v>179</v>
      </c>
      <c r="B79" s="91">
        <v>8.75</v>
      </c>
      <c r="C79" s="76">
        <v>8.45</v>
      </c>
      <c r="D79" s="76">
        <v>8.28</v>
      </c>
      <c r="E79" s="76">
        <v>8.19</v>
      </c>
      <c r="F79" s="76">
        <v>7.82</v>
      </c>
      <c r="G79" s="76">
        <v>7.62</v>
      </c>
      <c r="H79" s="77">
        <v>7.72</v>
      </c>
      <c r="I79" s="77">
        <v>7.53</v>
      </c>
      <c r="J79" s="77">
        <v>7.11</v>
      </c>
      <c r="K79" s="77"/>
      <c r="L79" s="77"/>
      <c r="M79" s="77"/>
      <c r="N79" s="77"/>
      <c r="O79" s="77">
        <v>6.35</v>
      </c>
      <c r="P79" s="77">
        <v>5.87</v>
      </c>
      <c r="Q79" s="78">
        <v>5.64</v>
      </c>
      <c r="R79" s="79"/>
      <c r="S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c r="L82" s="186"/>
      <c r="M82" s="186"/>
      <c r="N82" s="186"/>
      <c r="O82" s="186" t="s">
        <v>383</v>
      </c>
    </row>
    <row r="83">
      <c r="A83" s="3" t="s">
        <v>384</v>
      </c>
      <c r="C83" s="187">
        <v>74.4</v>
      </c>
      <c r="D83" s="187">
        <v>74.2</v>
      </c>
      <c r="E83" s="187">
        <v>73.5</v>
      </c>
      <c r="F83" s="187">
        <v>72.7</v>
      </c>
      <c r="G83" s="187">
        <v>87.8</v>
      </c>
      <c r="H83" s="187">
        <v>85.4</v>
      </c>
      <c r="I83" s="187">
        <v>82.7</v>
      </c>
      <c r="J83" s="187">
        <v>80.5</v>
      </c>
      <c r="K83" s="188"/>
      <c r="L83" s="188"/>
      <c r="M83" s="188"/>
      <c r="N83" s="188"/>
      <c r="O83" s="188" t="s">
        <v>385</v>
      </c>
    </row>
  </sheetData>
  <mergeCells count="1">
    <mergeCell ref="R71:S7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5" width="14.5"/>
    <col customWidth="1" min="16" max="16" width="16.63"/>
  </cols>
  <sheetData>
    <row r="1">
      <c r="A1" s="92">
        <v>45049.0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v>2024.0</v>
      </c>
      <c r="R1" s="2"/>
      <c r="S1" s="2"/>
      <c r="T1" s="2"/>
      <c r="U1" s="2"/>
      <c r="V1" s="2"/>
    </row>
    <row r="2">
      <c r="A2" s="191"/>
      <c r="B2" s="54"/>
      <c r="C2" s="4"/>
      <c r="D2" s="4"/>
      <c r="E2" s="54"/>
      <c r="F2" s="54"/>
      <c r="G2" s="54"/>
      <c r="H2" s="54"/>
      <c r="J2" s="5"/>
      <c r="Q2" s="3"/>
      <c r="S2" s="7"/>
      <c r="T2" s="52"/>
      <c r="U2" s="3"/>
      <c r="V2" s="52"/>
    </row>
    <row r="3">
      <c r="A3" s="3" t="s">
        <v>15</v>
      </c>
      <c r="B3" s="4"/>
      <c r="C3" s="4" t="s">
        <v>16</v>
      </c>
      <c r="D3" s="4" t="s">
        <v>16</v>
      </c>
      <c r="E3" s="54" t="s">
        <v>152</v>
      </c>
      <c r="F3" s="54" t="s">
        <v>293</v>
      </c>
      <c r="G3" s="54" t="s">
        <v>18</v>
      </c>
      <c r="H3" s="54" t="s">
        <v>18</v>
      </c>
      <c r="I3" s="112" t="s">
        <v>416</v>
      </c>
      <c r="J3" s="112" t="s">
        <v>397</v>
      </c>
      <c r="K3" s="8">
        <v>73.0</v>
      </c>
      <c r="L3" s="8">
        <v>80.0</v>
      </c>
      <c r="M3" s="8">
        <v>82.0</v>
      </c>
      <c r="N3" s="8">
        <v>83.0</v>
      </c>
      <c r="O3" s="208">
        <f>AVERAGE(K3:N3)</f>
        <v>79.5</v>
      </c>
      <c r="Q3" s="24">
        <v>82.0</v>
      </c>
      <c r="R3" s="5"/>
      <c r="S3" s="7"/>
      <c r="T3" s="52"/>
      <c r="V3" s="52"/>
    </row>
    <row r="4">
      <c r="A4" s="3" t="s">
        <v>24</v>
      </c>
      <c r="B4" s="4"/>
      <c r="C4" s="4" t="s">
        <v>25</v>
      </c>
      <c r="D4" s="4" t="s">
        <v>25</v>
      </c>
      <c r="E4" s="54" t="s">
        <v>153</v>
      </c>
      <c r="F4" s="54" t="s">
        <v>295</v>
      </c>
      <c r="G4" s="54" t="s">
        <v>153</v>
      </c>
      <c r="H4" s="54" t="s">
        <v>153</v>
      </c>
      <c r="I4" s="112" t="s">
        <v>416</v>
      </c>
      <c r="J4" s="112" t="s">
        <v>397</v>
      </c>
      <c r="K4" s="8"/>
      <c r="L4" s="24"/>
      <c r="M4" s="24"/>
      <c r="N4" s="24"/>
      <c r="O4" s="24"/>
      <c r="P4" s="3" t="s">
        <v>426</v>
      </c>
      <c r="Q4" s="5"/>
      <c r="R4" s="5"/>
      <c r="S4" s="7"/>
      <c r="T4" s="52"/>
      <c r="V4" s="52"/>
    </row>
    <row r="5">
      <c r="A5" s="3" t="s">
        <v>28</v>
      </c>
      <c r="B5" s="4"/>
      <c r="C5" s="4" t="s">
        <v>29</v>
      </c>
      <c r="D5" s="4" t="s">
        <v>139</v>
      </c>
      <c r="E5" s="54" t="s">
        <v>199</v>
      </c>
      <c r="F5" s="54" t="s">
        <v>298</v>
      </c>
      <c r="G5" s="54" t="s">
        <v>391</v>
      </c>
      <c r="H5" s="54" t="s">
        <v>392</v>
      </c>
      <c r="I5" s="112" t="s">
        <v>410</v>
      </c>
      <c r="J5" s="112" t="s">
        <v>411</v>
      </c>
      <c r="K5" s="8">
        <v>82.0</v>
      </c>
      <c r="L5" s="8">
        <v>75.0</v>
      </c>
      <c r="M5" s="8">
        <v>72.0</v>
      </c>
      <c r="N5" s="8">
        <v>70.0</v>
      </c>
      <c r="O5" s="208">
        <f>AVERAGE(K5:N5)</f>
        <v>74.75</v>
      </c>
      <c r="P5" s="3" t="s">
        <v>440</v>
      </c>
      <c r="Q5" s="24">
        <v>70.0</v>
      </c>
      <c r="R5" s="24" t="s">
        <v>441</v>
      </c>
    </row>
    <row r="6" ht="26.25" customHeight="1" collapsed="1">
      <c r="A6" s="3" t="s">
        <v>399</v>
      </c>
      <c r="B6" s="4"/>
      <c r="C6" s="4">
        <v>5.7</v>
      </c>
      <c r="D6" s="54" t="s">
        <v>144</v>
      </c>
      <c r="E6" s="54" t="s">
        <v>201</v>
      </c>
      <c r="F6" s="54" t="s">
        <v>299</v>
      </c>
      <c r="G6" s="54" t="s">
        <v>319</v>
      </c>
      <c r="H6" s="54" t="s">
        <v>304</v>
      </c>
      <c r="I6" s="112" t="s">
        <v>400</v>
      </c>
      <c r="J6" s="112" t="s">
        <v>420</v>
      </c>
      <c r="K6" s="8">
        <v>3.5</v>
      </c>
      <c r="L6" s="24">
        <v>3.9</v>
      </c>
      <c r="M6" s="24">
        <v>6.1</v>
      </c>
      <c r="N6" s="116">
        <v>7.5</v>
      </c>
      <c r="O6" s="116">
        <v>7.5</v>
      </c>
      <c r="P6" s="3" t="s">
        <v>442</v>
      </c>
      <c r="Q6" s="24">
        <v>5.5</v>
      </c>
      <c r="R6" s="5"/>
      <c r="S6" s="7"/>
    </row>
    <row r="7" hidden="1" outlineLevel="1">
      <c r="A7" s="3"/>
      <c r="B7" s="4"/>
      <c r="C7" s="4"/>
      <c r="D7" s="54"/>
      <c r="E7" s="111" t="s">
        <v>241</v>
      </c>
      <c r="F7" s="112" t="s">
        <v>236</v>
      </c>
      <c r="G7" s="54" t="s">
        <v>237</v>
      </c>
      <c r="H7" s="54" t="s">
        <v>238</v>
      </c>
      <c r="I7" s="112" t="s">
        <v>239</v>
      </c>
      <c r="J7" s="206"/>
      <c r="K7" s="192"/>
      <c r="L7" s="192"/>
      <c r="M7" s="192"/>
      <c r="N7" s="192"/>
      <c r="O7" s="192"/>
      <c r="Q7" s="5"/>
      <c r="R7" s="5"/>
      <c r="S7" s="7"/>
    </row>
    <row r="8">
      <c r="A8" s="3" t="s">
        <v>402</v>
      </c>
      <c r="B8" s="4"/>
      <c r="C8" s="4"/>
      <c r="D8" s="54"/>
      <c r="E8" s="54"/>
      <c r="F8" s="54"/>
      <c r="G8" s="54"/>
      <c r="H8" s="54"/>
      <c r="I8" s="112"/>
      <c r="J8" s="207"/>
      <c r="K8" s="54"/>
      <c r="L8" s="24"/>
      <c r="M8" s="24"/>
      <c r="N8" s="24"/>
      <c r="O8" s="24"/>
      <c r="P8" s="3"/>
      <c r="Q8" s="5"/>
      <c r="R8" s="5"/>
      <c r="S8" s="7"/>
    </row>
    <row r="9">
      <c r="A9" s="3" t="s">
        <v>413</v>
      </c>
      <c r="B9" s="4"/>
      <c r="C9" s="4">
        <v>4.5</v>
      </c>
      <c r="D9" s="54">
        <v>5.5</v>
      </c>
      <c r="E9" s="54" t="s">
        <v>194</v>
      </c>
      <c r="F9" s="54">
        <v>8.5</v>
      </c>
      <c r="G9" s="54" t="s">
        <v>387</v>
      </c>
      <c r="H9" s="54" t="s">
        <v>387</v>
      </c>
      <c r="I9" s="207">
        <v>44780.0</v>
      </c>
      <c r="J9" s="112">
        <v>7.5</v>
      </c>
      <c r="K9" s="211">
        <v>7.5</v>
      </c>
      <c r="L9" s="214">
        <v>8.0</v>
      </c>
      <c r="M9" s="214">
        <v>8.5</v>
      </c>
      <c r="N9" s="214">
        <v>9.0</v>
      </c>
      <c r="O9" s="214">
        <v>9.0</v>
      </c>
      <c r="Q9" s="24">
        <v>8.0</v>
      </c>
      <c r="R9" s="99" t="s">
        <v>443</v>
      </c>
      <c r="S9" s="7"/>
    </row>
    <row r="10">
      <c r="A10" s="3" t="s">
        <v>405</v>
      </c>
      <c r="E10" s="114"/>
      <c r="F10" s="115"/>
      <c r="G10" s="115"/>
      <c r="H10" s="115"/>
      <c r="I10" s="112" t="s">
        <v>406</v>
      </c>
      <c r="J10" s="112" t="s">
        <v>406</v>
      </c>
      <c r="K10" s="213" t="s">
        <v>431</v>
      </c>
      <c r="N10" s="3" t="s">
        <v>444</v>
      </c>
      <c r="T10" s="55"/>
      <c r="V10" s="55"/>
    </row>
    <row r="11">
      <c r="E11" s="114" t="s">
        <v>241</v>
      </c>
      <c r="F11" s="115" t="s">
        <v>242</v>
      </c>
      <c r="G11" s="115" t="s">
        <v>242</v>
      </c>
      <c r="H11" s="115" t="s">
        <v>194</v>
      </c>
      <c r="I11" s="115" t="s">
        <v>148</v>
      </c>
      <c r="K11" s="3" t="s">
        <v>433</v>
      </c>
      <c r="L11" s="3"/>
      <c r="N11" s="3" t="s">
        <v>445</v>
      </c>
      <c r="O11" s="3">
        <v>81.0</v>
      </c>
      <c r="P11" s="3">
        <v>81.0</v>
      </c>
      <c r="T11" s="55"/>
      <c r="V11" s="55"/>
    </row>
    <row r="12">
      <c r="A12" s="3" t="s">
        <v>47</v>
      </c>
      <c r="C12" s="4">
        <v>5.7</v>
      </c>
      <c r="D12" s="4">
        <v>6.5</v>
      </c>
      <c r="E12" s="62">
        <v>7.4</v>
      </c>
      <c r="F12" s="54">
        <v>8.1</v>
      </c>
      <c r="G12" s="54"/>
      <c r="H12" s="62"/>
      <c r="I12" s="62"/>
      <c r="J12" s="62"/>
      <c r="K12" s="3" t="s">
        <v>435</v>
      </c>
      <c r="N12" s="3" t="s">
        <v>446</v>
      </c>
      <c r="O12" s="3">
        <v>75.0</v>
      </c>
      <c r="P12" s="3">
        <v>80.0</v>
      </c>
      <c r="R12" s="52">
        <v>73.0</v>
      </c>
    </row>
    <row r="13">
      <c r="A13" s="3" t="s">
        <v>162</v>
      </c>
      <c r="D13" s="111" t="s">
        <v>241</v>
      </c>
      <c r="E13" s="117">
        <v>7.0</v>
      </c>
      <c r="F13" s="112">
        <v>7.3</v>
      </c>
      <c r="G13" s="112"/>
      <c r="H13" s="112"/>
      <c r="I13" s="117"/>
      <c r="J13" s="112"/>
      <c r="K13" s="3" t="s">
        <v>437</v>
      </c>
      <c r="N13" s="3" t="s">
        <v>447</v>
      </c>
      <c r="O13" s="3">
        <v>70.0</v>
      </c>
      <c r="P13" s="3">
        <v>81.0</v>
      </c>
      <c r="R13" s="52">
        <v>75.0</v>
      </c>
      <c r="U13" s="215">
        <v>0.1</v>
      </c>
    </row>
    <row r="14">
      <c r="C14" s="10"/>
      <c r="D14" s="10"/>
      <c r="E14" s="10"/>
      <c r="F14" s="10"/>
      <c r="G14" s="10"/>
      <c r="H14" s="10"/>
      <c r="I14" s="10"/>
      <c r="J14" s="10"/>
      <c r="R14" s="52"/>
      <c r="U14" s="216">
        <v>0.005</v>
      </c>
    </row>
    <row r="15">
      <c r="E15" s="118">
        <v>74.5</v>
      </c>
      <c r="F15" s="118">
        <v>74.2</v>
      </c>
      <c r="G15" s="118">
        <v>76.5</v>
      </c>
      <c r="H15" s="118">
        <v>77.7</v>
      </c>
      <c r="I15" s="118">
        <v>77.7</v>
      </c>
      <c r="J15" s="118">
        <v>76.5</v>
      </c>
      <c r="K15" s="119"/>
      <c r="L15" s="119"/>
      <c r="M15" s="119"/>
      <c r="N15" s="119"/>
      <c r="O15" s="119"/>
      <c r="P15" s="119" t="s">
        <v>305</v>
      </c>
      <c r="R15" s="210" t="s">
        <v>429</v>
      </c>
      <c r="S15" s="156">
        <v>0.1</v>
      </c>
    </row>
    <row r="16">
      <c r="A16" s="3" t="s">
        <v>48</v>
      </c>
      <c r="C16" s="164">
        <v>74.4</v>
      </c>
      <c r="D16" s="164">
        <v>74.2</v>
      </c>
      <c r="E16" s="164">
        <v>73.5</v>
      </c>
      <c r="F16" s="118">
        <v>72.4</v>
      </c>
      <c r="G16" s="118">
        <v>71.4</v>
      </c>
      <c r="H16" s="118">
        <v>76.4</v>
      </c>
      <c r="I16" s="118">
        <v>78.1</v>
      </c>
      <c r="J16" s="118">
        <v>75.9</v>
      </c>
      <c r="K16" s="119"/>
      <c r="L16" s="119"/>
      <c r="M16" s="119"/>
      <c r="N16" s="119"/>
      <c r="O16" s="119"/>
      <c r="P16" s="119" t="s">
        <v>325</v>
      </c>
      <c r="R16" s="210" t="s">
        <v>430</v>
      </c>
      <c r="S16" s="212">
        <f>S15*0.2</f>
        <v>0.02</v>
      </c>
    </row>
    <row r="17">
      <c r="A17" s="3" t="s">
        <v>15</v>
      </c>
      <c r="B17" s="11"/>
      <c r="C17" s="63">
        <v>74.4</v>
      </c>
      <c r="D17" s="63">
        <v>74.2</v>
      </c>
      <c r="E17" s="63">
        <v>73.5</v>
      </c>
      <c r="F17" s="93">
        <v>73.65</v>
      </c>
      <c r="G17" s="93">
        <v>87.34</v>
      </c>
      <c r="H17" s="93">
        <v>66.51</v>
      </c>
      <c r="I17" s="63">
        <v>88.0</v>
      </c>
      <c r="J17" s="63">
        <v>86.4</v>
      </c>
      <c r="K17" s="63"/>
      <c r="L17" s="63"/>
      <c r="M17" s="63"/>
      <c r="N17" s="63"/>
      <c r="O17" s="63">
        <v>89.5</v>
      </c>
      <c r="P17" s="6" t="s">
        <v>407</v>
      </c>
      <c r="R17" s="3" t="s">
        <v>448</v>
      </c>
    </row>
    <row r="18">
      <c r="A18" s="3"/>
      <c r="B18" s="12"/>
      <c r="C18" s="12"/>
      <c r="D18" s="13"/>
      <c r="E18" s="13"/>
      <c r="F18" s="13"/>
      <c r="G18" s="13"/>
      <c r="H18" s="13"/>
      <c r="I18" s="13"/>
      <c r="J18" s="13"/>
      <c r="K18" s="13"/>
      <c r="L18" s="13"/>
      <c r="M18" s="13"/>
      <c r="N18" s="13"/>
      <c r="O18" s="13"/>
      <c r="P18" s="13"/>
      <c r="Q18" s="13"/>
    </row>
    <row r="19">
      <c r="A19" s="119" t="s">
        <v>50</v>
      </c>
      <c r="B19" s="119"/>
      <c r="C19" s="119"/>
      <c r="D19" s="173"/>
      <c r="E19" s="173"/>
      <c r="F19" s="174">
        <v>8.2</v>
      </c>
      <c r="G19" s="175">
        <v>7.0</v>
      </c>
      <c r="H19" s="174">
        <v>44202.0</v>
      </c>
      <c r="I19" s="174">
        <v>44352.0</v>
      </c>
      <c r="J19" s="175">
        <v>4.9</v>
      </c>
      <c r="K19" s="119"/>
      <c r="L19" s="119"/>
      <c r="M19" s="119"/>
      <c r="N19" s="119"/>
      <c r="O19" s="119"/>
      <c r="P19" s="119" t="s">
        <v>327</v>
      </c>
      <c r="Q19" s="173"/>
      <c r="R19" s="173"/>
      <c r="S19" s="173"/>
      <c r="T19" s="173"/>
      <c r="U19" s="173"/>
      <c r="V19" s="173"/>
      <c r="W19" s="173"/>
      <c r="X19" s="173"/>
      <c r="Y19" s="173"/>
      <c r="Z19" s="173"/>
      <c r="AA19" s="173"/>
      <c r="AB19" s="173"/>
      <c r="AC19" s="173"/>
      <c r="AD19" s="173"/>
      <c r="AE19" s="173"/>
      <c r="AF19" s="173"/>
      <c r="AG19" s="173"/>
      <c r="AH19" s="173"/>
      <c r="AI19" s="173"/>
      <c r="AJ19" s="173"/>
    </row>
    <row r="20">
      <c r="A20" s="3" t="s">
        <v>50</v>
      </c>
      <c r="B20" s="12"/>
      <c r="C20" s="12"/>
      <c r="D20" s="13"/>
      <c r="E20" s="13"/>
      <c r="F20" s="14">
        <v>44659.0</v>
      </c>
      <c r="G20" s="14">
        <v>44780.0</v>
      </c>
      <c r="H20" s="14">
        <v>44718.0</v>
      </c>
      <c r="I20" s="14">
        <v>44598.0</v>
      </c>
      <c r="J20" s="14">
        <v>44625.0</v>
      </c>
      <c r="K20" s="3"/>
      <c r="L20" s="3"/>
      <c r="M20" s="3"/>
      <c r="N20" s="3"/>
      <c r="O20" s="3"/>
      <c r="P20" s="3" t="s">
        <v>328</v>
      </c>
    </row>
    <row r="21">
      <c r="B21" s="12"/>
      <c r="C21" s="12"/>
      <c r="D21" s="13"/>
      <c r="E21" s="13"/>
      <c r="F21" s="13"/>
      <c r="G21" s="176">
        <v>44659.0</v>
      </c>
      <c r="H21" s="176">
        <v>44749.0</v>
      </c>
      <c r="I21" s="176">
        <v>44779.0</v>
      </c>
      <c r="J21" s="176">
        <v>44625.0</v>
      </c>
      <c r="K21" s="3"/>
      <c r="L21" s="3"/>
      <c r="M21" s="3"/>
      <c r="N21" s="3"/>
      <c r="O21" s="3"/>
      <c r="P21" s="3" t="s">
        <v>329</v>
      </c>
      <c r="S21" s="3"/>
    </row>
    <row r="22" collapsed="1">
      <c r="B22" s="12"/>
      <c r="C22" s="12"/>
      <c r="D22" s="13"/>
      <c r="E22" s="13"/>
      <c r="F22" s="13"/>
      <c r="G22" s="13"/>
      <c r="H22" s="62"/>
      <c r="I22" s="62"/>
      <c r="J22" s="4"/>
      <c r="S22" s="3" t="s">
        <v>330</v>
      </c>
    </row>
    <row r="23" hidden="1" outlineLevel="1">
      <c r="B23" s="15" t="s">
        <v>52</v>
      </c>
      <c r="C23" s="16"/>
      <c r="D23" s="16"/>
      <c r="E23" s="16"/>
      <c r="F23" s="17" t="s">
        <v>53</v>
      </c>
      <c r="G23" s="18"/>
      <c r="H23" s="18"/>
      <c r="I23" s="18"/>
      <c r="J23" s="18"/>
      <c r="K23" s="3"/>
      <c r="L23" s="3"/>
      <c r="M23" s="3"/>
      <c r="N23" s="3"/>
      <c r="O23" s="3"/>
      <c r="P23" s="3"/>
    </row>
    <row r="24" hidden="1" outlineLevel="1">
      <c r="A24" s="3"/>
      <c r="B24" s="16" t="s">
        <v>28</v>
      </c>
      <c r="C24" s="16"/>
      <c r="D24" s="16"/>
      <c r="E24" s="16"/>
      <c r="F24" s="20" t="s">
        <v>207</v>
      </c>
      <c r="G24" s="20">
        <v>0.085534</v>
      </c>
      <c r="H24" s="20">
        <v>-0.09657</v>
      </c>
      <c r="I24" s="20">
        <v>-0.074</v>
      </c>
      <c r="J24" s="18"/>
      <c r="K24" s="31"/>
      <c r="L24" s="31"/>
      <c r="M24" s="31"/>
      <c r="N24" s="31"/>
      <c r="O24" s="31"/>
      <c r="P24" s="31" t="s">
        <v>164</v>
      </c>
    </row>
    <row r="25" hidden="1" outlineLevel="1">
      <c r="A25" s="3"/>
      <c r="B25" s="16" t="s">
        <v>55</v>
      </c>
      <c r="C25" s="16"/>
      <c r="D25" s="16"/>
      <c r="E25" s="16"/>
      <c r="F25" s="20" t="s">
        <v>208</v>
      </c>
      <c r="G25" s="20">
        <v>0.0891</v>
      </c>
      <c r="H25" s="20">
        <v>0.015935</v>
      </c>
      <c r="I25" s="20">
        <v>-0.00482</v>
      </c>
      <c r="J25" s="86">
        <v>-0.022</v>
      </c>
      <c r="K25" s="3"/>
      <c r="L25" s="3"/>
      <c r="M25" s="3"/>
      <c r="N25" s="3"/>
      <c r="O25" s="3"/>
      <c r="P25" s="3" t="s">
        <v>56</v>
      </c>
    </row>
    <row r="26" hidden="1" outlineLevel="1">
      <c r="A26" s="3"/>
      <c r="B26" s="16" t="s">
        <v>57</v>
      </c>
      <c r="C26" s="16"/>
      <c r="D26" s="16"/>
      <c r="E26" s="16"/>
      <c r="F26" s="57" t="s">
        <v>209</v>
      </c>
      <c r="G26" s="20">
        <v>0.166436</v>
      </c>
      <c r="H26" s="20">
        <v>-0.21198</v>
      </c>
      <c r="I26" s="20">
        <v>-0.40366</v>
      </c>
      <c r="J26" s="88">
        <v>-0.267</v>
      </c>
      <c r="K26" s="3"/>
      <c r="L26" s="3"/>
      <c r="M26" s="3"/>
      <c r="N26" s="3"/>
      <c r="O26" s="3"/>
      <c r="P26" s="3" t="s">
        <v>56</v>
      </c>
    </row>
    <row r="27" hidden="1" outlineLevel="1">
      <c r="A27" s="3"/>
      <c r="B27" s="16" t="s">
        <v>58</v>
      </c>
      <c r="C27" s="16"/>
      <c r="D27" s="16"/>
      <c r="E27" s="16"/>
      <c r="F27" s="20" t="s">
        <v>210</v>
      </c>
      <c r="G27" s="20">
        <v>0.09644</v>
      </c>
      <c r="H27" s="20">
        <v>-0.01752</v>
      </c>
      <c r="I27" s="20">
        <v>0.090012</v>
      </c>
      <c r="J27" s="88">
        <v>-0.051</v>
      </c>
      <c r="K27" s="3"/>
      <c r="L27" s="3"/>
      <c r="M27" s="3"/>
      <c r="N27" s="3"/>
      <c r="O27" s="3"/>
      <c r="P27" s="3" t="s">
        <v>56</v>
      </c>
    </row>
    <row r="28" hidden="1" outlineLevel="1">
      <c r="A28" s="3"/>
      <c r="B28" s="16" t="s">
        <v>60</v>
      </c>
      <c r="C28" s="16"/>
      <c r="D28" s="16"/>
      <c r="E28" s="16"/>
      <c r="F28" s="20" t="s">
        <v>211</v>
      </c>
      <c r="G28" s="20">
        <v>0.136107</v>
      </c>
      <c r="H28" s="20">
        <v>0.038548</v>
      </c>
      <c r="I28" s="20">
        <v>-0.09601</v>
      </c>
      <c r="J28" s="88">
        <v>-0.099</v>
      </c>
      <c r="K28" s="3"/>
      <c r="L28" s="3"/>
      <c r="M28" s="3"/>
      <c r="N28" s="3"/>
      <c r="O28" s="3"/>
      <c r="P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c r="M29" s="3"/>
      <c r="N29" s="3"/>
      <c r="O29" s="3"/>
      <c r="P29" s="3" t="s">
        <v>63</v>
      </c>
    </row>
    <row r="30" hidden="1" outlineLevel="1">
      <c r="A30" s="3"/>
      <c r="B30" s="16" t="s">
        <v>64</v>
      </c>
      <c r="C30" s="16"/>
      <c r="D30" s="16"/>
      <c r="E30" s="16"/>
      <c r="F30" s="95">
        <v>0.09</v>
      </c>
      <c r="G30" s="20">
        <v>0.08</v>
      </c>
      <c r="H30" s="20">
        <v>0.07</v>
      </c>
      <c r="I30" s="20">
        <v>0.07</v>
      </c>
      <c r="J30" s="86">
        <v>0.07</v>
      </c>
      <c r="K30" s="3"/>
      <c r="L30" s="3"/>
      <c r="M30" s="3"/>
      <c r="N30" s="3"/>
      <c r="O30" s="3"/>
      <c r="P30" s="3" t="s">
        <v>65</v>
      </c>
    </row>
    <row r="31" hidden="1" outlineLevel="1">
      <c r="A31" s="3"/>
      <c r="B31" s="16" t="s">
        <v>66</v>
      </c>
      <c r="C31" s="16"/>
      <c r="D31" s="16"/>
      <c r="E31" s="16"/>
      <c r="F31" s="21">
        <v>0.042</v>
      </c>
      <c r="G31" s="21">
        <v>0.042</v>
      </c>
      <c r="H31" s="21">
        <v>0.042</v>
      </c>
      <c r="I31" s="21">
        <v>0.042</v>
      </c>
      <c r="J31" s="88">
        <v>0.042</v>
      </c>
      <c r="K31" s="3"/>
      <c r="L31" s="3"/>
      <c r="M31" s="3"/>
      <c r="N31" s="3"/>
      <c r="O31" s="3"/>
      <c r="P31" s="3" t="s">
        <v>67</v>
      </c>
    </row>
    <row r="32" hidden="1" outlineLevel="1">
      <c r="A32" s="3"/>
      <c r="B32" s="16" t="s">
        <v>68</v>
      </c>
      <c r="C32" s="16"/>
      <c r="D32" s="16"/>
      <c r="E32" s="16"/>
      <c r="F32" s="21">
        <v>0.024</v>
      </c>
      <c r="G32" s="21">
        <v>0.024</v>
      </c>
      <c r="H32" s="21">
        <v>0.024</v>
      </c>
      <c r="I32" s="21">
        <v>0.024</v>
      </c>
      <c r="J32" s="88">
        <v>0.024</v>
      </c>
      <c r="K32" s="3"/>
      <c r="L32" s="3"/>
      <c r="M32" s="3"/>
      <c r="N32" s="3"/>
      <c r="O32" s="3"/>
      <c r="P32" s="3" t="s">
        <v>67</v>
      </c>
    </row>
    <row r="33">
      <c r="F33" s="3" t="s">
        <v>15</v>
      </c>
      <c r="G33" s="177">
        <v>85.6</v>
      </c>
      <c r="H33" s="177">
        <v>66.5</v>
      </c>
      <c r="I33" s="203">
        <v>63.0</v>
      </c>
      <c r="J33" s="203">
        <v>65.0</v>
      </c>
      <c r="P33" s="6" t="s">
        <v>408</v>
      </c>
      <c r="S33" s="178" t="s">
        <v>331</v>
      </c>
      <c r="T33" s="179" t="s">
        <v>81</v>
      </c>
      <c r="U33" s="179" t="s">
        <v>114</v>
      </c>
    </row>
    <row r="34">
      <c r="A34" s="31"/>
      <c r="B34" s="3"/>
      <c r="C34" s="3"/>
      <c r="D34" s="3"/>
      <c r="F34" s="3" t="s">
        <v>15</v>
      </c>
      <c r="G34" s="177">
        <v>85.6</v>
      </c>
      <c r="H34" s="177">
        <v>66.5</v>
      </c>
      <c r="I34" s="198">
        <v>68.3</v>
      </c>
      <c r="J34" s="198">
        <v>76.7</v>
      </c>
      <c r="K34" s="3"/>
      <c r="L34" s="3"/>
      <c r="M34" s="3"/>
      <c r="N34" s="3"/>
      <c r="O34" s="3"/>
      <c r="P34" s="6" t="s">
        <v>409</v>
      </c>
      <c r="Q34" s="3"/>
      <c r="R34" s="3"/>
      <c r="S34" s="180"/>
      <c r="T34" s="181"/>
      <c r="U34" s="181"/>
    </row>
    <row r="35">
      <c r="A35" s="205" t="s">
        <v>422</v>
      </c>
      <c r="B35" s="3"/>
      <c r="C35" s="3"/>
      <c r="D35" s="3"/>
      <c r="F35" s="4"/>
      <c r="G35" s="4"/>
      <c r="H35" s="4"/>
      <c r="I35" s="4"/>
      <c r="J35" s="4"/>
      <c r="K35" s="3"/>
      <c r="L35" s="3"/>
      <c r="M35" s="3"/>
      <c r="N35" s="3"/>
      <c r="O35" s="3"/>
      <c r="P35" s="3"/>
      <c r="Q35" s="3"/>
      <c r="R35" s="3"/>
      <c r="S35" s="180" t="s">
        <v>332</v>
      </c>
      <c r="T35" s="181" t="s">
        <v>333</v>
      </c>
      <c r="U35" s="181" t="s">
        <v>334</v>
      </c>
    </row>
    <row r="36">
      <c r="A36" s="3" t="s">
        <v>28</v>
      </c>
      <c r="B36" s="10" t="s">
        <v>69</v>
      </c>
      <c r="C36" s="167">
        <v>61.0</v>
      </c>
      <c r="D36" s="167">
        <v>69.0</v>
      </c>
      <c r="E36" s="167">
        <v>73.0</v>
      </c>
      <c r="F36" s="167">
        <v>79.0</v>
      </c>
      <c r="G36" s="193">
        <v>88.0</v>
      </c>
      <c r="H36" s="193">
        <v>81.0</v>
      </c>
      <c r="I36" s="193">
        <v>60.0</v>
      </c>
      <c r="J36" s="193">
        <v>62.5</v>
      </c>
      <c r="K36" s="193"/>
      <c r="L36" s="193"/>
      <c r="M36" s="193"/>
      <c r="N36" s="193"/>
      <c r="O36" s="193">
        <v>70.0</v>
      </c>
      <c r="P36" s="122" t="s">
        <v>247</v>
      </c>
      <c r="S36" s="180" t="s">
        <v>335</v>
      </c>
      <c r="T36" s="181" t="s">
        <v>336</v>
      </c>
      <c r="U36" s="181" t="s">
        <v>337</v>
      </c>
    </row>
    <row r="37">
      <c r="A37" s="22" t="s">
        <v>74</v>
      </c>
      <c r="B37" s="10" t="s">
        <v>75</v>
      </c>
      <c r="C37" s="193">
        <v>169.0</v>
      </c>
      <c r="D37" s="193">
        <v>202.0</v>
      </c>
      <c r="E37" s="193">
        <v>278.0</v>
      </c>
      <c r="F37" s="193">
        <v>374.0</v>
      </c>
      <c r="G37" s="193">
        <v>368.0</v>
      </c>
      <c r="H37" s="193">
        <v>267.0</v>
      </c>
      <c r="I37" s="193">
        <v>309.0</v>
      </c>
      <c r="J37" s="193">
        <v>298.0</v>
      </c>
      <c r="K37" s="193"/>
      <c r="L37" s="193"/>
      <c r="M37" s="193"/>
      <c r="N37" s="193"/>
      <c r="O37" s="193">
        <v>262.0</v>
      </c>
      <c r="P37" s="3" t="s">
        <v>309</v>
      </c>
      <c r="S37" s="180" t="s">
        <v>338</v>
      </c>
      <c r="T37" s="181" t="s">
        <v>339</v>
      </c>
      <c r="U37" s="181" t="s">
        <v>337</v>
      </c>
    </row>
    <row r="38">
      <c r="A38" s="22" t="s">
        <v>74</v>
      </c>
      <c r="B38" s="10" t="s">
        <v>248</v>
      </c>
      <c r="C38" s="123">
        <f t="shared" ref="C38:J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c r="L38" s="123"/>
      <c r="M38" s="123"/>
      <c r="N38" s="123"/>
      <c r="O38" s="123">
        <f>O37/35.3</f>
        <v>7.422096317</v>
      </c>
      <c r="P38" s="3" t="s">
        <v>309</v>
      </c>
      <c r="Q38" s="124"/>
      <c r="R38" s="124"/>
      <c r="S38" s="180" t="s">
        <v>340</v>
      </c>
      <c r="T38" s="181" t="s">
        <v>341</v>
      </c>
      <c r="U38" s="181" t="s">
        <v>337</v>
      </c>
    </row>
    <row r="39">
      <c r="A39" s="3" t="s">
        <v>249</v>
      </c>
      <c r="B39" s="10" t="s">
        <v>248</v>
      </c>
      <c r="C39" s="11">
        <v>6.8</v>
      </c>
      <c r="D39" s="11">
        <v>8.7</v>
      </c>
      <c r="E39" s="11">
        <v>16.9</v>
      </c>
      <c r="F39" s="11">
        <v>29.0</v>
      </c>
      <c r="G39" s="11">
        <v>29.0</v>
      </c>
      <c r="H39" s="11">
        <v>15.0</v>
      </c>
      <c r="I39" s="11">
        <v>11.0</v>
      </c>
      <c r="J39" s="11">
        <v>15.0</v>
      </c>
      <c r="K39" s="11"/>
      <c r="L39" s="11"/>
      <c r="M39" s="11"/>
      <c r="N39" s="11"/>
      <c r="O39" s="11">
        <v>15.0</v>
      </c>
      <c r="P39" s="125" t="s">
        <v>250</v>
      </c>
      <c r="S39" s="180" t="s">
        <v>171</v>
      </c>
      <c r="T39" s="181" t="s">
        <v>342</v>
      </c>
      <c r="U39" s="181" t="s">
        <v>337</v>
      </c>
    </row>
    <row r="40">
      <c r="A40" s="3"/>
      <c r="B40" s="10"/>
      <c r="C40" s="126"/>
      <c r="D40" s="126"/>
      <c r="E40" s="126"/>
      <c r="F40" s="11"/>
      <c r="G40" s="11">
        <v>29.0</v>
      </c>
      <c r="H40" s="11">
        <v>29.0</v>
      </c>
      <c r="I40" s="11">
        <v>28.5</v>
      </c>
      <c r="J40" s="11">
        <v>29.5</v>
      </c>
      <c r="K40" s="127"/>
      <c r="L40" s="127"/>
      <c r="M40" s="127"/>
      <c r="N40" s="127"/>
      <c r="O40" s="127"/>
      <c r="P40" s="127" t="s">
        <v>251</v>
      </c>
      <c r="S40" s="180" t="s">
        <v>343</v>
      </c>
      <c r="T40" s="181" t="s">
        <v>344</v>
      </c>
      <c r="U40" s="181" t="s">
        <v>337</v>
      </c>
    </row>
    <row r="41">
      <c r="A41" s="3" t="s">
        <v>252</v>
      </c>
      <c r="B41" s="10" t="s">
        <v>248</v>
      </c>
      <c r="C41" s="128">
        <f t="shared" ref="C41:J41" si="3">14%*C36</f>
        <v>8.54</v>
      </c>
      <c r="D41" s="128">
        <f t="shared" si="3"/>
        <v>9.66</v>
      </c>
      <c r="E41" s="128">
        <f t="shared" si="3"/>
        <v>10.22</v>
      </c>
      <c r="F41" s="128">
        <f t="shared" si="3"/>
        <v>11.06</v>
      </c>
      <c r="G41" s="128">
        <f t="shared" si="3"/>
        <v>12.32</v>
      </c>
      <c r="H41" s="128">
        <f t="shared" si="3"/>
        <v>11.34</v>
      </c>
      <c r="I41" s="128">
        <f t="shared" si="3"/>
        <v>8.4</v>
      </c>
      <c r="J41" s="128">
        <f t="shared" si="3"/>
        <v>8.75</v>
      </c>
      <c r="K41" s="128"/>
      <c r="L41" s="128"/>
      <c r="M41" s="128"/>
      <c r="N41" s="128"/>
      <c r="O41" s="128">
        <f>14%*O36</f>
        <v>9.8</v>
      </c>
      <c r="P41" s="127" t="s">
        <v>253</v>
      </c>
      <c r="S41" s="180" t="s">
        <v>345</v>
      </c>
      <c r="T41" s="181" t="s">
        <v>346</v>
      </c>
      <c r="U41" s="181" t="s">
        <v>334</v>
      </c>
    </row>
    <row r="42">
      <c r="A42" s="3" t="s">
        <v>254</v>
      </c>
      <c r="B42" s="10" t="s">
        <v>248</v>
      </c>
      <c r="C42" s="128">
        <f>0.8*C39 + 0.2*C41</f>
        <v>7.148</v>
      </c>
      <c r="D42" s="128">
        <f t="shared" ref="D42:J42" si="4">0.8*D39+0.2*D41</f>
        <v>8.892</v>
      </c>
      <c r="E42" s="128">
        <f t="shared" si="4"/>
        <v>15.564</v>
      </c>
      <c r="F42" s="128">
        <f t="shared" si="4"/>
        <v>25.412</v>
      </c>
      <c r="G42" s="128">
        <f t="shared" si="4"/>
        <v>25.664</v>
      </c>
      <c r="H42" s="128">
        <f t="shared" si="4"/>
        <v>14.268</v>
      </c>
      <c r="I42" s="128">
        <f t="shared" si="4"/>
        <v>10.48</v>
      </c>
      <c r="J42" s="128">
        <f t="shared" si="4"/>
        <v>13.75</v>
      </c>
      <c r="K42" s="128"/>
      <c r="L42" s="128"/>
      <c r="M42" s="128"/>
      <c r="N42" s="128"/>
      <c r="O42" s="128">
        <f>0.8*O39+0.2*O41</f>
        <v>13.96</v>
      </c>
      <c r="P42" s="127" t="s">
        <v>255</v>
      </c>
      <c r="Q42" s="22"/>
      <c r="S42" s="180" t="s">
        <v>347</v>
      </c>
      <c r="T42" s="181" t="s">
        <v>344</v>
      </c>
      <c r="U42" s="181" t="s">
        <v>334</v>
      </c>
    </row>
    <row r="43">
      <c r="A43" s="129" t="s">
        <v>256</v>
      </c>
      <c r="B43" s="130"/>
      <c r="C43" s="131">
        <f t="shared" ref="C43:J43" si="5">C42-C38</f>
        <v>2.360464589</v>
      </c>
      <c r="D43" s="131">
        <f t="shared" si="5"/>
        <v>3.169620397</v>
      </c>
      <c r="E43" s="131">
        <f t="shared" si="5"/>
        <v>7.688645892</v>
      </c>
      <c r="F43" s="131">
        <f t="shared" si="5"/>
        <v>14.81709915</v>
      </c>
      <c r="G43" s="131">
        <f t="shared" si="5"/>
        <v>15.23907082</v>
      </c>
      <c r="H43" s="131">
        <f t="shared" si="5"/>
        <v>6.704260623</v>
      </c>
      <c r="I43" s="131">
        <f t="shared" si="5"/>
        <v>1.726458924</v>
      </c>
      <c r="J43" s="131">
        <f t="shared" si="5"/>
        <v>5.308073654</v>
      </c>
      <c r="K43" s="130"/>
      <c r="L43" s="130"/>
      <c r="M43" s="130"/>
      <c r="N43" s="130"/>
      <c r="O43" s="131">
        <f>O42-O38</f>
        <v>6.537903683</v>
      </c>
      <c r="P43" s="129" t="s">
        <v>257</v>
      </c>
      <c r="Q43" s="130"/>
      <c r="R43" s="130"/>
      <c r="S43" s="180" t="s">
        <v>348</v>
      </c>
      <c r="T43" s="181" t="s">
        <v>349</v>
      </c>
      <c r="U43" s="181" t="s">
        <v>334</v>
      </c>
      <c r="V43" s="130"/>
      <c r="W43" s="130"/>
      <c r="X43" s="130"/>
      <c r="Y43" s="130"/>
      <c r="Z43" s="130"/>
      <c r="AA43" s="130"/>
      <c r="AB43" s="130"/>
      <c r="AC43" s="130"/>
      <c r="AD43" s="130"/>
      <c r="AE43" s="130"/>
      <c r="AF43" s="130"/>
      <c r="AG43" s="130"/>
      <c r="AH43" s="130"/>
      <c r="AI43" s="130"/>
      <c r="AJ43" s="130"/>
    </row>
    <row r="44">
      <c r="S44" s="180" t="s">
        <v>350</v>
      </c>
      <c r="T44" s="181" t="s">
        <v>351</v>
      </c>
      <c r="U44" s="181" t="s">
        <v>352</v>
      </c>
    </row>
    <row r="45">
      <c r="A45" s="22" t="s">
        <v>76</v>
      </c>
      <c r="B45" s="10" t="s">
        <v>77</v>
      </c>
      <c r="C45" s="63">
        <v>1038.0</v>
      </c>
      <c r="D45" s="63">
        <v>1394.0</v>
      </c>
      <c r="E45" s="63">
        <v>1785.0</v>
      </c>
      <c r="F45" s="63">
        <v>1863.0</v>
      </c>
      <c r="G45" s="63">
        <v>1364.0</v>
      </c>
      <c r="H45" s="63">
        <v>1249.0</v>
      </c>
      <c r="I45" s="63">
        <v>1511.0</v>
      </c>
      <c r="J45" s="63">
        <v>1478.0</v>
      </c>
      <c r="K45" s="63"/>
      <c r="L45" s="63"/>
      <c r="M45" s="63"/>
      <c r="N45" s="63"/>
      <c r="O45" s="63">
        <v>1423.0</v>
      </c>
      <c r="P45" s="3" t="s">
        <v>54</v>
      </c>
      <c r="S45" s="180" t="s">
        <v>353</v>
      </c>
      <c r="T45" s="181" t="s">
        <v>354</v>
      </c>
      <c r="U45" s="181" t="s">
        <v>352</v>
      </c>
    </row>
    <row r="46">
      <c r="A46" s="132"/>
      <c r="B46" s="132"/>
      <c r="C46" s="133"/>
      <c r="D46" s="133"/>
      <c r="E46" s="133"/>
      <c r="F46" s="133"/>
      <c r="G46" s="133"/>
      <c r="H46" s="133"/>
      <c r="I46" s="133"/>
      <c r="J46" s="133"/>
      <c r="K46" s="134"/>
      <c r="L46" s="134"/>
      <c r="M46" s="134"/>
      <c r="N46" s="134"/>
      <c r="O46" s="134"/>
      <c r="P46" s="134"/>
      <c r="Q46" s="134"/>
      <c r="R46" s="134"/>
      <c r="S46" s="180" t="s">
        <v>355</v>
      </c>
      <c r="T46" s="181" t="s">
        <v>356</v>
      </c>
      <c r="U46" s="181" t="s">
        <v>357</v>
      </c>
      <c r="V46" s="134"/>
      <c r="W46" s="134"/>
      <c r="X46" s="134"/>
      <c r="Y46" s="134"/>
      <c r="Z46" s="134"/>
      <c r="AA46" s="134"/>
      <c r="AB46" s="134"/>
      <c r="AC46" s="134"/>
      <c r="AD46" s="134"/>
      <c r="AE46" s="134"/>
      <c r="AF46" s="134"/>
      <c r="AG46" s="134"/>
      <c r="AH46" s="134"/>
      <c r="AI46" s="134"/>
      <c r="AJ46" s="134"/>
    </row>
    <row r="47">
      <c r="A47" s="194" t="s">
        <v>78</v>
      </c>
      <c r="B47" s="195" t="s">
        <v>79</v>
      </c>
      <c r="C47" s="64">
        <v>99.3</v>
      </c>
      <c r="D47" s="64">
        <v>110.5</v>
      </c>
      <c r="E47" s="64">
        <v>104.3</v>
      </c>
      <c r="F47" s="64">
        <v>99.9</v>
      </c>
      <c r="G47" s="64">
        <v>98.2</v>
      </c>
      <c r="H47" s="64">
        <v>97.1</v>
      </c>
      <c r="I47" s="64">
        <v>94.8</v>
      </c>
      <c r="J47" s="64">
        <v>96.8</v>
      </c>
      <c r="K47" s="64"/>
      <c r="L47" s="64"/>
      <c r="M47" s="64"/>
      <c r="N47" s="64"/>
      <c r="O47" s="64">
        <v>103.5</v>
      </c>
    </row>
    <row r="48">
      <c r="A48" s="194" t="s">
        <v>80</v>
      </c>
      <c r="B48" s="194" t="s">
        <v>79</v>
      </c>
      <c r="C48" s="64">
        <v>97.2</v>
      </c>
      <c r="D48" s="64">
        <v>128.1</v>
      </c>
      <c r="E48" s="64">
        <v>110.3</v>
      </c>
      <c r="F48" s="64">
        <v>101.0</v>
      </c>
      <c r="G48" s="64">
        <v>100.0</v>
      </c>
      <c r="H48" s="64">
        <v>90.0</v>
      </c>
      <c r="I48" s="64">
        <v>90.0</v>
      </c>
      <c r="J48" s="64">
        <v>90.0</v>
      </c>
      <c r="K48" s="64"/>
      <c r="L48" s="64"/>
      <c r="M48" s="64"/>
      <c r="N48" s="64"/>
      <c r="O48" s="64">
        <v>101.5</v>
      </c>
    </row>
    <row r="49">
      <c r="A49" s="194" t="s">
        <v>81</v>
      </c>
      <c r="B49" s="194" t="s">
        <v>79</v>
      </c>
      <c r="C49" s="64">
        <v>105.5</v>
      </c>
      <c r="D49" s="64">
        <v>106.0</v>
      </c>
      <c r="E49" s="64">
        <v>106.8</v>
      </c>
      <c r="F49" s="64">
        <v>108.3</v>
      </c>
      <c r="G49" s="64">
        <v>99.6</v>
      </c>
      <c r="H49" s="64">
        <v>90.2</v>
      </c>
      <c r="I49" s="64">
        <v>90.2</v>
      </c>
      <c r="J49" s="64">
        <v>90.1</v>
      </c>
      <c r="K49" s="64"/>
      <c r="L49" s="64"/>
      <c r="M49" s="64"/>
      <c r="N49" s="64"/>
      <c r="O49" s="64">
        <v>103.0</v>
      </c>
      <c r="P49" s="3" t="s">
        <v>381</v>
      </c>
    </row>
    <row r="50">
      <c r="A50" s="3" t="s">
        <v>259</v>
      </c>
      <c r="B50" s="3" t="s">
        <v>260</v>
      </c>
      <c r="C50" s="196">
        <v>22.0</v>
      </c>
      <c r="D50" s="196">
        <v>17.0</v>
      </c>
      <c r="E50" s="196">
        <v>36.0</v>
      </c>
      <c r="F50" s="196">
        <v>47.0</v>
      </c>
      <c r="G50" s="196">
        <v>43.0</v>
      </c>
      <c r="H50" s="196">
        <v>55.0</v>
      </c>
      <c r="I50" s="196">
        <v>23.0</v>
      </c>
      <c r="J50" s="196">
        <v>38.0</v>
      </c>
      <c r="K50" s="196"/>
      <c r="L50" s="196"/>
      <c r="M50" s="196"/>
      <c r="N50" s="196"/>
      <c r="O50" s="196">
        <v>21.0</v>
      </c>
    </row>
    <row r="53">
      <c r="A53" s="3" t="s">
        <v>137</v>
      </c>
      <c r="B53" s="11"/>
      <c r="C53" s="63">
        <v>74.4</v>
      </c>
      <c r="D53" s="63">
        <v>73.6</v>
      </c>
      <c r="E53" s="63">
        <v>72.8</v>
      </c>
      <c r="F53" s="63">
        <v>72.8</v>
      </c>
      <c r="G53" s="63">
        <v>86.2</v>
      </c>
      <c r="H53" s="63">
        <v>86.0</v>
      </c>
      <c r="I53" s="63">
        <v>89.2</v>
      </c>
      <c r="J53" s="63">
        <v>88.1</v>
      </c>
      <c r="K53" s="63"/>
      <c r="L53" s="63"/>
      <c r="M53" s="63"/>
      <c r="N53" s="63"/>
      <c r="O53" s="63">
        <v>95.4</v>
      </c>
      <c r="P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60</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60</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65</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65</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62.5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62.5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c r="Q67" s="66"/>
      <c r="R67" s="66"/>
      <c r="S67" s="66"/>
      <c r="T67" s="66"/>
    </row>
    <row r="68">
      <c r="A68" s="66"/>
      <c r="B68" s="18" t="s">
        <v>167</v>
      </c>
      <c r="C68" s="18" t="s">
        <v>168</v>
      </c>
      <c r="D68" s="67" t="s">
        <v>169</v>
      </c>
      <c r="E68" s="18" t="s">
        <v>170</v>
      </c>
      <c r="F68" s="18" t="s">
        <v>171</v>
      </c>
      <c r="G68" s="67" t="s">
        <v>172</v>
      </c>
      <c r="H68" s="18" t="s">
        <v>173</v>
      </c>
      <c r="I68" s="18" t="s">
        <v>174</v>
      </c>
      <c r="J68" s="67" t="s">
        <v>175</v>
      </c>
      <c r="K68" s="18"/>
      <c r="L68" s="18"/>
      <c r="M68" s="18"/>
      <c r="N68" s="18"/>
      <c r="O68" s="18" t="s">
        <v>176</v>
      </c>
      <c r="P68" s="18" t="s">
        <v>177</v>
      </c>
      <c r="Q68" s="67" t="s">
        <v>178</v>
      </c>
      <c r="R68" s="66"/>
      <c r="S68" s="66"/>
    </row>
    <row r="69">
      <c r="A69" s="68">
        <v>2021.0</v>
      </c>
      <c r="B69" s="69">
        <v>0.67</v>
      </c>
      <c r="C69" s="69">
        <v>0.78</v>
      </c>
      <c r="D69" s="69">
        <v>0.66</v>
      </c>
      <c r="E69" s="69">
        <v>0.58</v>
      </c>
      <c r="F69" s="69">
        <v>0.74</v>
      </c>
      <c r="G69" s="69">
        <v>0.69</v>
      </c>
      <c r="H69" s="98">
        <v>0.31</v>
      </c>
      <c r="I69" s="98">
        <v>0.17</v>
      </c>
      <c r="J69" s="98">
        <v>0.6</v>
      </c>
      <c r="K69" s="98"/>
      <c r="L69" s="98"/>
      <c r="M69" s="98"/>
      <c r="N69" s="98"/>
      <c r="O69" s="170">
        <v>1.11</v>
      </c>
      <c r="P69" s="170">
        <v>0.96</v>
      </c>
      <c r="Q69" s="183">
        <v>0.82</v>
      </c>
      <c r="R69" s="73"/>
      <c r="S69" s="74"/>
    </row>
    <row r="70">
      <c r="A70" s="75" t="s">
        <v>179</v>
      </c>
      <c r="B70" s="91">
        <v>5.19</v>
      </c>
      <c r="C70" s="76">
        <v>5.67</v>
      </c>
      <c r="D70" s="76">
        <v>5.79</v>
      </c>
      <c r="E70" s="76">
        <v>5.53</v>
      </c>
      <c r="F70" s="76">
        <v>6.02</v>
      </c>
      <c r="G70" s="76">
        <v>6.5</v>
      </c>
      <c r="H70" s="77">
        <v>6.46</v>
      </c>
      <c r="I70" s="77">
        <v>6.68</v>
      </c>
      <c r="J70" s="135">
        <v>7.4</v>
      </c>
      <c r="K70" s="135"/>
      <c r="L70" s="135"/>
      <c r="M70" s="135"/>
      <c r="N70" s="135"/>
      <c r="O70" s="135">
        <v>8.13</v>
      </c>
      <c r="P70" s="77">
        <v>8.4</v>
      </c>
      <c r="Q70" s="184">
        <v>8.39</v>
      </c>
      <c r="R70" s="79"/>
      <c r="S70" s="80">
        <v>2021.0</v>
      </c>
    </row>
    <row r="71">
      <c r="A71" s="66"/>
      <c r="B71" s="66"/>
      <c r="C71" s="66"/>
      <c r="D71" s="66"/>
      <c r="E71" s="66"/>
      <c r="F71" s="66"/>
      <c r="G71" s="66"/>
      <c r="H71" s="66"/>
      <c r="I71" s="66"/>
      <c r="J71" s="66"/>
      <c r="K71" s="66"/>
      <c r="L71" s="66"/>
      <c r="M71" s="66"/>
      <c r="N71" s="66"/>
      <c r="O71" s="66"/>
      <c r="P71" s="66"/>
      <c r="Q71" s="66"/>
      <c r="R71" s="81"/>
    </row>
    <row r="72">
      <c r="A72" s="18" t="s">
        <v>181</v>
      </c>
      <c r="B72" s="18">
        <v>0.6</v>
      </c>
      <c r="C72" s="18">
        <v>0.4</v>
      </c>
      <c r="D72" s="18">
        <v>0.5</v>
      </c>
      <c r="E72" s="18">
        <v>0.4</v>
      </c>
      <c r="F72" s="18">
        <v>0.4</v>
      </c>
      <c r="G72" s="18">
        <v>0.4</v>
      </c>
      <c r="H72" s="18">
        <v>0.5</v>
      </c>
      <c r="I72" s="18">
        <v>0.0</v>
      </c>
      <c r="J72" s="18">
        <v>0.2</v>
      </c>
      <c r="K72" s="18"/>
      <c r="L72" s="18"/>
      <c r="M72" s="18"/>
      <c r="N72" s="18"/>
      <c r="O72" s="18">
        <v>0.4</v>
      </c>
      <c r="P72" s="18">
        <v>0.5</v>
      </c>
      <c r="Q72" s="18">
        <v>0.5</v>
      </c>
      <c r="R72" s="66"/>
      <c r="S72" s="66"/>
    </row>
    <row r="73">
      <c r="A73" s="18" t="s">
        <v>182</v>
      </c>
      <c r="B73" s="18">
        <v>0.5</v>
      </c>
      <c r="C73" s="18">
        <v>0.3</v>
      </c>
      <c r="D73" s="18">
        <v>0.3</v>
      </c>
      <c r="E73" s="18">
        <v>0.4</v>
      </c>
      <c r="F73" s="18">
        <v>0.4</v>
      </c>
      <c r="G73" s="18">
        <v>0.4</v>
      </c>
      <c r="H73" s="18">
        <v>0.2</v>
      </c>
      <c r="I73" s="82">
        <v>-0.1</v>
      </c>
      <c r="J73" s="82">
        <v>-0.1</v>
      </c>
      <c r="K73" s="18"/>
      <c r="L73" s="18"/>
      <c r="M73" s="18"/>
      <c r="N73" s="18"/>
      <c r="O73" s="18">
        <v>0.3</v>
      </c>
      <c r="P73" s="18">
        <v>0.4</v>
      </c>
      <c r="Q73" s="18">
        <v>0.6</v>
      </c>
      <c r="R73" s="66"/>
      <c r="S73" s="66"/>
    </row>
    <row r="74">
      <c r="A74" s="66"/>
      <c r="B74" s="18" t="s">
        <v>183</v>
      </c>
      <c r="C74" s="18" t="s">
        <v>184</v>
      </c>
      <c r="D74" s="18" t="s">
        <v>169</v>
      </c>
      <c r="E74" s="18" t="s">
        <v>185</v>
      </c>
      <c r="F74" s="18" t="s">
        <v>186</v>
      </c>
      <c r="G74" s="18" t="s">
        <v>172</v>
      </c>
      <c r="H74" s="18" t="s">
        <v>187</v>
      </c>
      <c r="I74" s="18" t="s">
        <v>188</v>
      </c>
      <c r="J74" s="18" t="s">
        <v>175</v>
      </c>
      <c r="K74" s="18"/>
      <c r="L74" s="18"/>
      <c r="M74" s="18"/>
      <c r="N74" s="18"/>
      <c r="O74" s="18" t="s">
        <v>189</v>
      </c>
      <c r="P74" s="18" t="s">
        <v>190</v>
      </c>
      <c r="Q74" s="18" t="s">
        <v>178</v>
      </c>
      <c r="R74" s="66"/>
      <c r="S74" s="66"/>
    </row>
    <row r="75">
      <c r="A75" s="66"/>
      <c r="B75" s="199">
        <v>0.0099</v>
      </c>
      <c r="C75" s="199">
        <v>0.0117</v>
      </c>
      <c r="D75" s="199">
        <v>0.0761</v>
      </c>
      <c r="E75" s="199">
        <v>0.0156</v>
      </c>
      <c r="F75" s="199">
        <v>0.0012</v>
      </c>
      <c r="G75" s="199">
        <v>-0.0035</v>
      </c>
      <c r="H75" s="199">
        <v>0.007</v>
      </c>
      <c r="I75" s="200">
        <f t="shared" ref="I75:J75" si="13"> (12% - SUM( $B$75:$H$75 ) ) * I73 / SUM( $I$73:$Q$73 )</f>
        <v>-0.0001818181818</v>
      </c>
      <c r="J75" s="200">
        <f t="shared" si="13"/>
        <v>-0.0001818181818</v>
      </c>
      <c r="K75" s="200"/>
      <c r="L75" s="200"/>
      <c r="M75" s="200"/>
      <c r="N75" s="200"/>
      <c r="O75" s="200">
        <f t="shared" ref="O75:Q75" si="14"> (12% - SUM( $B$75:$H$75 ) ) * O73 / SUM( $I$73:$Q$73 )</f>
        <v>0.0005454545455</v>
      </c>
      <c r="P75" s="200">
        <f t="shared" si="14"/>
        <v>0.0007272727273</v>
      </c>
      <c r="Q75" s="200">
        <f t="shared" si="14"/>
        <v>0.001090909091</v>
      </c>
      <c r="R75" s="66"/>
      <c r="S75" s="201">
        <f> SUM( B75:Q75 )</f>
        <v>0.12</v>
      </c>
    </row>
    <row r="76">
      <c r="A76" s="66"/>
      <c r="B76" s="66"/>
      <c r="C76" s="66"/>
      <c r="D76" s="66"/>
      <c r="E76" s="66"/>
      <c r="F76" s="66"/>
      <c r="G76" s="66"/>
      <c r="H76" s="66"/>
      <c r="I76" s="66"/>
      <c r="J76" s="66"/>
      <c r="K76" s="66"/>
      <c r="L76" s="66"/>
      <c r="M76" s="66"/>
      <c r="N76" s="66"/>
      <c r="O76" s="66"/>
      <c r="P76" s="66"/>
      <c r="Q76" s="66"/>
      <c r="R76" s="66"/>
      <c r="S76" s="66"/>
    </row>
    <row r="77">
      <c r="A77" s="66"/>
      <c r="B77" s="18" t="s">
        <v>167</v>
      </c>
      <c r="C77" s="18" t="s">
        <v>168</v>
      </c>
      <c r="D77" s="83" t="s">
        <v>169</v>
      </c>
      <c r="E77" s="18" t="s">
        <v>170</v>
      </c>
      <c r="F77" s="18" t="s">
        <v>171</v>
      </c>
      <c r="G77" s="83" t="s">
        <v>172</v>
      </c>
      <c r="H77" s="18" t="s">
        <v>173</v>
      </c>
      <c r="I77" s="18" t="s">
        <v>174</v>
      </c>
      <c r="J77" s="83" t="s">
        <v>175</v>
      </c>
      <c r="K77" s="18"/>
      <c r="L77" s="18"/>
      <c r="M77" s="18"/>
      <c r="N77" s="18"/>
      <c r="O77" s="18" t="s">
        <v>176</v>
      </c>
      <c r="P77" s="18" t="s">
        <v>177</v>
      </c>
      <c r="Q77" s="83" t="s">
        <v>178</v>
      </c>
      <c r="R77" s="66"/>
      <c r="S77" s="66"/>
    </row>
    <row r="78">
      <c r="A78" s="68">
        <v>2022.0</v>
      </c>
      <c r="B78" s="70">
        <v>1.0</v>
      </c>
      <c r="C78" s="70">
        <v>0.5</v>
      </c>
      <c r="D78" s="70">
        <v>0.5</v>
      </c>
      <c r="E78" s="70">
        <v>0.5</v>
      </c>
      <c r="F78" s="70">
        <v>0.4</v>
      </c>
      <c r="G78" s="70">
        <v>0.5</v>
      </c>
      <c r="H78" s="71">
        <v>0.4</v>
      </c>
      <c r="I78" s="71">
        <v>0.0</v>
      </c>
      <c r="J78" s="71">
        <v>0.2</v>
      </c>
      <c r="K78" s="71"/>
      <c r="L78" s="71"/>
      <c r="M78" s="71"/>
      <c r="N78" s="71"/>
      <c r="O78" s="71">
        <v>0.4</v>
      </c>
      <c r="P78" s="71">
        <v>0.5</v>
      </c>
      <c r="Q78" s="72">
        <v>0.6</v>
      </c>
      <c r="R78" s="66"/>
      <c r="S78" s="66"/>
    </row>
    <row r="79">
      <c r="A79" s="75" t="s">
        <v>179</v>
      </c>
      <c r="B79" s="91">
        <v>8.75</v>
      </c>
      <c r="C79" s="76">
        <v>8.45</v>
      </c>
      <c r="D79" s="76">
        <v>8.28</v>
      </c>
      <c r="E79" s="76">
        <v>8.19</v>
      </c>
      <c r="F79" s="76">
        <v>7.82</v>
      </c>
      <c r="G79" s="76">
        <v>7.62</v>
      </c>
      <c r="H79" s="77">
        <v>7.72</v>
      </c>
      <c r="I79" s="77">
        <v>7.53</v>
      </c>
      <c r="J79" s="77">
        <v>7.11</v>
      </c>
      <c r="K79" s="77"/>
      <c r="L79" s="77"/>
      <c r="M79" s="77"/>
      <c r="N79" s="77"/>
      <c r="O79" s="77">
        <v>6.35</v>
      </c>
      <c r="P79" s="77">
        <v>5.87</v>
      </c>
      <c r="Q79" s="78">
        <v>5.64</v>
      </c>
      <c r="R79" s="79"/>
      <c r="S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c r="L82" s="186"/>
      <c r="M82" s="186"/>
      <c r="N82" s="186"/>
      <c r="O82" s="186" t="s">
        <v>383</v>
      </c>
    </row>
    <row r="83">
      <c r="A83" s="3" t="s">
        <v>384</v>
      </c>
      <c r="C83" s="187">
        <v>74.4</v>
      </c>
      <c r="D83" s="187">
        <v>74.2</v>
      </c>
      <c r="E83" s="187">
        <v>73.5</v>
      </c>
      <c r="F83" s="187">
        <v>72.7</v>
      </c>
      <c r="G83" s="187">
        <v>87.8</v>
      </c>
      <c r="H83" s="187">
        <v>85.4</v>
      </c>
      <c r="I83" s="187">
        <v>82.7</v>
      </c>
      <c r="J83" s="187">
        <v>80.5</v>
      </c>
      <c r="K83" s="188"/>
      <c r="L83" s="188"/>
      <c r="M83" s="188"/>
      <c r="N83" s="188"/>
      <c r="O83" s="188" t="s">
        <v>385</v>
      </c>
    </row>
  </sheetData>
  <mergeCells count="1">
    <mergeCell ref="R71:S7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5" width="14.5"/>
    <col customWidth="1" min="16" max="16" width="19.13"/>
  </cols>
  <sheetData>
    <row r="1">
      <c r="A1" s="92">
        <v>45077.0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v>2024.0</v>
      </c>
      <c r="R1" s="2"/>
      <c r="S1" s="2"/>
      <c r="T1" s="2"/>
      <c r="U1" s="2"/>
      <c r="V1" s="2"/>
    </row>
    <row r="2">
      <c r="A2" s="191"/>
      <c r="B2" s="54"/>
      <c r="C2" s="4"/>
      <c r="D2" s="4"/>
      <c r="E2" s="54"/>
      <c r="F2" s="54"/>
      <c r="G2" s="54"/>
      <c r="H2" s="54"/>
      <c r="J2" s="5"/>
      <c r="Q2" s="3"/>
      <c r="S2" s="7"/>
      <c r="T2" s="52"/>
      <c r="U2" s="3"/>
      <c r="V2" s="52"/>
    </row>
    <row r="3">
      <c r="A3" s="3" t="s">
        <v>15</v>
      </c>
      <c r="B3" s="4"/>
      <c r="C3" s="4" t="s">
        <v>16</v>
      </c>
      <c r="D3" s="4" t="s">
        <v>16</v>
      </c>
      <c r="E3" s="54" t="s">
        <v>152</v>
      </c>
      <c r="F3" s="54" t="s">
        <v>293</v>
      </c>
      <c r="G3" s="54" t="s">
        <v>18</v>
      </c>
      <c r="H3" s="54" t="s">
        <v>18</v>
      </c>
      <c r="I3" s="112" t="s">
        <v>416</v>
      </c>
      <c r="J3" s="112" t="s">
        <v>397</v>
      </c>
      <c r="K3" s="8">
        <v>73.0</v>
      </c>
      <c r="L3" s="8">
        <v>81.0</v>
      </c>
      <c r="M3" s="8">
        <v>82.0</v>
      </c>
      <c r="N3" s="8">
        <v>85.0</v>
      </c>
      <c r="O3" s="208">
        <f>AVERAGE(K3:N3)</f>
        <v>80.25</v>
      </c>
      <c r="Q3" s="24">
        <v>82.0</v>
      </c>
      <c r="R3" s="5"/>
      <c r="S3" s="7"/>
      <c r="T3" s="52"/>
      <c r="V3" s="52"/>
    </row>
    <row r="4">
      <c r="A4" s="3" t="s">
        <v>24</v>
      </c>
      <c r="B4" s="4"/>
      <c r="C4" s="4" t="s">
        <v>25</v>
      </c>
      <c r="D4" s="4" t="s">
        <v>25</v>
      </c>
      <c r="E4" s="54" t="s">
        <v>153</v>
      </c>
      <c r="F4" s="54" t="s">
        <v>295</v>
      </c>
      <c r="G4" s="54" t="s">
        <v>153</v>
      </c>
      <c r="H4" s="54" t="s">
        <v>153</v>
      </c>
      <c r="I4" s="112" t="s">
        <v>416</v>
      </c>
      <c r="J4" s="112" t="s">
        <v>397</v>
      </c>
      <c r="K4" s="8"/>
      <c r="L4" s="24"/>
      <c r="M4" s="24"/>
      <c r="N4" s="24"/>
      <c r="O4" s="24"/>
      <c r="P4" s="3" t="s">
        <v>426</v>
      </c>
      <c r="Q4" s="5"/>
      <c r="R4" s="5"/>
      <c r="S4" s="7"/>
      <c r="T4" s="52"/>
      <c r="U4" s="52" t="s">
        <v>449</v>
      </c>
      <c r="V4" s="52"/>
    </row>
    <row r="5">
      <c r="A5" s="3" t="s">
        <v>28</v>
      </c>
      <c r="B5" s="4"/>
      <c r="C5" s="4" t="s">
        <v>29</v>
      </c>
      <c r="D5" s="4" t="s">
        <v>139</v>
      </c>
      <c r="E5" s="54" t="s">
        <v>199</v>
      </c>
      <c r="F5" s="54" t="s">
        <v>298</v>
      </c>
      <c r="G5" s="54" t="s">
        <v>391</v>
      </c>
      <c r="H5" s="54" t="s">
        <v>392</v>
      </c>
      <c r="I5" s="112" t="s">
        <v>410</v>
      </c>
      <c r="J5" s="112" t="s">
        <v>411</v>
      </c>
      <c r="K5" s="8">
        <v>82.0</v>
      </c>
      <c r="L5" s="8">
        <v>75.0</v>
      </c>
      <c r="M5" s="8">
        <v>72.0</v>
      </c>
      <c r="N5" s="8">
        <v>70.0</v>
      </c>
      <c r="O5" s="208">
        <f>AVERAGE(K5:N5)</f>
        <v>74.75</v>
      </c>
      <c r="P5" s="3" t="s">
        <v>440</v>
      </c>
      <c r="Q5" s="24">
        <v>70.0</v>
      </c>
      <c r="R5" s="24" t="s">
        <v>441</v>
      </c>
      <c r="U5" s="3" t="s">
        <v>450</v>
      </c>
    </row>
    <row r="6" ht="26.25" customHeight="1" collapsed="1">
      <c r="A6" s="3" t="s">
        <v>399</v>
      </c>
      <c r="B6" s="4"/>
      <c r="C6" s="4">
        <v>5.7</v>
      </c>
      <c r="D6" s="54" t="s">
        <v>144</v>
      </c>
      <c r="E6" s="54" t="s">
        <v>201</v>
      </c>
      <c r="F6" s="54" t="s">
        <v>299</v>
      </c>
      <c r="G6" s="54" t="s">
        <v>319</v>
      </c>
      <c r="H6" s="54" t="s">
        <v>304</v>
      </c>
      <c r="I6" s="112" t="s">
        <v>400</v>
      </c>
      <c r="J6" s="112" t="s">
        <v>420</v>
      </c>
      <c r="K6" s="8">
        <v>3.5</v>
      </c>
      <c r="L6" s="8">
        <v>3.3</v>
      </c>
      <c r="M6" s="8">
        <v>5.3</v>
      </c>
      <c r="N6" s="209">
        <v>6.0</v>
      </c>
      <c r="O6" s="209">
        <v>6.5</v>
      </c>
      <c r="P6" s="3" t="s">
        <v>451</v>
      </c>
      <c r="Q6" s="24">
        <v>5.5</v>
      </c>
      <c r="R6" s="5"/>
      <c r="S6" s="7"/>
      <c r="U6" s="3" t="s">
        <v>452</v>
      </c>
    </row>
    <row r="7" hidden="1" outlineLevel="1">
      <c r="A7" s="3"/>
      <c r="B7" s="4"/>
      <c r="C7" s="4"/>
      <c r="D7" s="54"/>
      <c r="E7" s="111" t="s">
        <v>241</v>
      </c>
      <c r="F7" s="112" t="s">
        <v>236</v>
      </c>
      <c r="G7" s="54" t="s">
        <v>237</v>
      </c>
      <c r="H7" s="54" t="s">
        <v>238</v>
      </c>
      <c r="I7" s="112" t="s">
        <v>239</v>
      </c>
      <c r="J7" s="206"/>
      <c r="K7" s="192"/>
      <c r="L7" s="192"/>
      <c r="M7" s="192"/>
      <c r="N7" s="192"/>
      <c r="O7" s="192"/>
      <c r="Q7" s="5"/>
      <c r="R7" s="5"/>
      <c r="S7" s="7"/>
      <c r="U7" s="3" t="s">
        <v>453</v>
      </c>
    </row>
    <row r="8">
      <c r="A8" s="3" t="s">
        <v>402</v>
      </c>
      <c r="B8" s="4"/>
      <c r="C8" s="4"/>
      <c r="D8" s="54"/>
      <c r="E8" s="54"/>
      <c r="F8" s="54"/>
      <c r="G8" s="54"/>
      <c r="H8" s="54"/>
      <c r="I8" s="112"/>
      <c r="J8" s="207"/>
      <c r="K8" s="54"/>
      <c r="L8" s="24"/>
      <c r="M8" s="24"/>
      <c r="N8" s="24"/>
      <c r="O8" s="24"/>
      <c r="P8" s="3"/>
      <c r="Q8" s="5"/>
      <c r="R8" s="5"/>
      <c r="S8" s="7"/>
      <c r="U8" s="3" t="s">
        <v>454</v>
      </c>
    </row>
    <row r="9">
      <c r="A9" s="3" t="s">
        <v>413</v>
      </c>
      <c r="B9" s="4"/>
      <c r="C9" s="4">
        <v>4.5</v>
      </c>
      <c r="D9" s="54">
        <v>5.5</v>
      </c>
      <c r="E9" s="54" t="s">
        <v>194</v>
      </c>
      <c r="F9" s="54">
        <v>8.5</v>
      </c>
      <c r="G9" s="54" t="s">
        <v>387</v>
      </c>
      <c r="H9" s="54" t="s">
        <v>387</v>
      </c>
      <c r="I9" s="207">
        <v>44780.0</v>
      </c>
      <c r="J9" s="112">
        <v>7.5</v>
      </c>
      <c r="K9" s="211">
        <v>7.5</v>
      </c>
      <c r="L9" s="211">
        <v>7.5</v>
      </c>
      <c r="M9" s="211">
        <v>8.0</v>
      </c>
      <c r="N9" s="211">
        <v>8.5</v>
      </c>
      <c r="O9" s="211">
        <v>8.5</v>
      </c>
      <c r="Q9" s="24">
        <v>8.0</v>
      </c>
      <c r="R9" s="99" t="s">
        <v>443</v>
      </c>
      <c r="S9" s="7"/>
      <c r="U9" s="3" t="s">
        <v>455</v>
      </c>
    </row>
    <row r="10">
      <c r="A10" s="3" t="s">
        <v>405</v>
      </c>
      <c r="E10" s="114"/>
      <c r="F10" s="115"/>
      <c r="G10" s="115"/>
      <c r="H10" s="115"/>
      <c r="I10" s="112" t="s">
        <v>406</v>
      </c>
      <c r="J10" s="112" t="s">
        <v>406</v>
      </c>
      <c r="K10" s="213" t="s">
        <v>456</v>
      </c>
      <c r="N10" s="3" t="s">
        <v>457</v>
      </c>
      <c r="T10" s="55"/>
      <c r="U10" s="3" t="s">
        <v>458</v>
      </c>
      <c r="V10" s="55"/>
    </row>
    <row r="11">
      <c r="E11" s="114" t="s">
        <v>241</v>
      </c>
      <c r="F11" s="115" t="s">
        <v>242</v>
      </c>
      <c r="G11" s="115" t="s">
        <v>242</v>
      </c>
      <c r="H11" s="115" t="s">
        <v>194</v>
      </c>
      <c r="I11" s="115" t="s">
        <v>148</v>
      </c>
      <c r="K11" s="3" t="s">
        <v>433</v>
      </c>
      <c r="L11" s="3"/>
      <c r="N11" s="3" t="s">
        <v>459</v>
      </c>
      <c r="T11" s="3" t="s">
        <v>460</v>
      </c>
      <c r="V11" s="55"/>
    </row>
    <row r="12">
      <c r="A12" s="3" t="s">
        <v>47</v>
      </c>
      <c r="C12" s="4">
        <v>5.7</v>
      </c>
      <c r="D12" s="4">
        <v>6.5</v>
      </c>
      <c r="E12" s="62">
        <v>7.4</v>
      </c>
      <c r="F12" s="54">
        <v>8.1</v>
      </c>
      <c r="G12" s="54"/>
      <c r="H12" s="62"/>
      <c r="I12" s="62"/>
      <c r="J12" s="62"/>
      <c r="K12" s="3" t="s">
        <v>435</v>
      </c>
      <c r="N12" s="3" t="s">
        <v>461</v>
      </c>
      <c r="R12" s="52">
        <v>73.0</v>
      </c>
      <c r="T12" s="3" t="s">
        <v>462</v>
      </c>
      <c r="U12" s="3" t="s">
        <v>463</v>
      </c>
      <c r="V12" s="156">
        <v>0.065</v>
      </c>
    </row>
    <row r="13">
      <c r="A13" s="3" t="s">
        <v>162</v>
      </c>
      <c r="D13" s="111" t="s">
        <v>241</v>
      </c>
      <c r="E13" s="117">
        <v>7.0</v>
      </c>
      <c r="F13" s="112">
        <v>7.3</v>
      </c>
      <c r="G13" s="112"/>
      <c r="H13" s="112"/>
      <c r="I13" s="117"/>
      <c r="J13" s="112"/>
      <c r="K13" s="3" t="s">
        <v>437</v>
      </c>
      <c r="N13" s="3" t="s">
        <v>464</v>
      </c>
      <c r="R13" s="52">
        <v>75.0</v>
      </c>
      <c r="T13" s="3" t="s">
        <v>465</v>
      </c>
    </row>
    <row r="14">
      <c r="C14" s="10"/>
      <c r="D14" s="10"/>
      <c r="E14" s="10"/>
      <c r="F14" s="10"/>
      <c r="G14" s="10"/>
      <c r="H14" s="10"/>
      <c r="I14" s="10"/>
      <c r="J14" s="10"/>
      <c r="K14" s="3" t="s">
        <v>466</v>
      </c>
      <c r="R14" s="52"/>
      <c r="T14" s="3" t="s">
        <v>467</v>
      </c>
    </row>
    <row r="15">
      <c r="E15" s="118">
        <v>74.5</v>
      </c>
      <c r="F15" s="118">
        <v>74.2</v>
      </c>
      <c r="G15" s="118">
        <v>76.5</v>
      </c>
      <c r="H15" s="118">
        <v>77.7</v>
      </c>
      <c r="I15" s="118">
        <v>77.7</v>
      </c>
      <c r="J15" s="118">
        <v>76.5</v>
      </c>
      <c r="K15" s="119"/>
      <c r="L15" s="119"/>
      <c r="M15" s="119"/>
      <c r="N15" s="119"/>
      <c r="O15" s="119"/>
      <c r="P15" s="119" t="s">
        <v>305</v>
      </c>
      <c r="R15" s="210" t="s">
        <v>429</v>
      </c>
      <c r="S15" s="157">
        <f>R13/R12-1</f>
        <v>0.02739726027</v>
      </c>
    </row>
    <row r="16">
      <c r="A16" s="3" t="s">
        <v>48</v>
      </c>
      <c r="C16" s="164">
        <v>74.4</v>
      </c>
      <c r="D16" s="164">
        <v>74.2</v>
      </c>
      <c r="E16" s="164">
        <v>73.5</v>
      </c>
      <c r="F16" s="118">
        <v>72.4</v>
      </c>
      <c r="G16" s="118">
        <v>71.4</v>
      </c>
      <c r="H16" s="118">
        <v>76.4</v>
      </c>
      <c r="I16" s="118">
        <v>78.1</v>
      </c>
      <c r="J16" s="118">
        <v>75.9</v>
      </c>
      <c r="K16" s="119"/>
      <c r="L16" s="119"/>
      <c r="M16" s="119"/>
      <c r="N16" s="119"/>
      <c r="O16" s="119"/>
      <c r="P16" s="119" t="s">
        <v>325</v>
      </c>
      <c r="R16" s="210" t="s">
        <v>430</v>
      </c>
      <c r="S16" s="212">
        <f>S15*0.2</f>
        <v>0.005479452055</v>
      </c>
    </row>
    <row r="17">
      <c r="A17" s="3" t="s">
        <v>15</v>
      </c>
      <c r="B17" s="11"/>
      <c r="C17" s="63">
        <v>74.4</v>
      </c>
      <c r="D17" s="63">
        <v>74.2</v>
      </c>
      <c r="E17" s="63">
        <v>73.5</v>
      </c>
      <c r="F17" s="93">
        <v>73.65</v>
      </c>
      <c r="G17" s="93">
        <v>87.34</v>
      </c>
      <c r="H17" s="93">
        <v>66.51</v>
      </c>
      <c r="I17" s="63">
        <v>88.0</v>
      </c>
      <c r="J17" s="63">
        <v>86.4</v>
      </c>
      <c r="K17" s="63"/>
      <c r="L17" s="63"/>
      <c r="M17" s="63"/>
      <c r="N17" s="63"/>
      <c r="O17" s="63">
        <v>89.5</v>
      </c>
      <c r="P17" s="6" t="s">
        <v>407</v>
      </c>
      <c r="R17" s="3" t="s">
        <v>448</v>
      </c>
    </row>
    <row r="18">
      <c r="A18" s="3"/>
      <c r="B18" s="12"/>
      <c r="C18" s="12"/>
      <c r="D18" s="13"/>
      <c r="E18" s="13"/>
      <c r="F18" s="13"/>
      <c r="G18" s="13"/>
      <c r="H18" s="13"/>
      <c r="I18" s="13"/>
      <c r="J18" s="13"/>
      <c r="K18" s="13"/>
      <c r="L18" s="13"/>
      <c r="M18" s="13"/>
      <c r="N18" s="13"/>
      <c r="O18" s="13"/>
      <c r="P18" s="13"/>
      <c r="Q18" s="13"/>
    </row>
    <row r="19">
      <c r="A19" s="119" t="s">
        <v>50</v>
      </c>
      <c r="B19" s="119"/>
      <c r="C19" s="119"/>
      <c r="D19" s="173"/>
      <c r="E19" s="173"/>
      <c r="F19" s="174">
        <v>8.2</v>
      </c>
      <c r="G19" s="175">
        <v>7.0</v>
      </c>
      <c r="H19" s="174">
        <v>44202.0</v>
      </c>
      <c r="I19" s="174">
        <v>44352.0</v>
      </c>
      <c r="J19" s="175">
        <v>4.9</v>
      </c>
      <c r="K19" s="119"/>
      <c r="L19" s="119"/>
      <c r="M19" s="119"/>
      <c r="N19" s="119"/>
      <c r="O19" s="119"/>
      <c r="P19" s="119" t="s">
        <v>327</v>
      </c>
      <c r="Q19" s="173"/>
      <c r="R19" s="173"/>
      <c r="S19" s="173"/>
      <c r="T19" s="173"/>
      <c r="U19" s="173"/>
      <c r="V19" s="173"/>
      <c r="W19" s="173"/>
      <c r="X19" s="173"/>
      <c r="Y19" s="173"/>
      <c r="Z19" s="173"/>
      <c r="AA19" s="173"/>
      <c r="AB19" s="173"/>
      <c r="AC19" s="173"/>
      <c r="AD19" s="173"/>
      <c r="AE19" s="173"/>
      <c r="AF19" s="173"/>
      <c r="AG19" s="173"/>
      <c r="AH19" s="173"/>
      <c r="AI19" s="173"/>
      <c r="AJ19" s="173"/>
    </row>
    <row r="20">
      <c r="A20" s="3" t="s">
        <v>50</v>
      </c>
      <c r="B20" s="12"/>
      <c r="C20" s="12"/>
      <c r="D20" s="13"/>
      <c r="E20" s="13"/>
      <c r="F20" s="14">
        <v>44659.0</v>
      </c>
      <c r="G20" s="14">
        <v>44780.0</v>
      </c>
      <c r="H20" s="14">
        <v>44718.0</v>
      </c>
      <c r="I20" s="14">
        <v>44598.0</v>
      </c>
      <c r="J20" s="14">
        <v>44625.0</v>
      </c>
      <c r="K20" s="3"/>
      <c r="L20" s="3"/>
      <c r="M20" s="3"/>
      <c r="N20" s="3"/>
      <c r="O20" s="3"/>
      <c r="P20" s="3" t="s">
        <v>328</v>
      </c>
    </row>
    <row r="21">
      <c r="B21" s="12"/>
      <c r="C21" s="12"/>
      <c r="D21" s="13"/>
      <c r="E21" s="13"/>
      <c r="F21" s="13"/>
      <c r="G21" s="176">
        <v>44659.0</v>
      </c>
      <c r="H21" s="176">
        <v>44749.0</v>
      </c>
      <c r="I21" s="176">
        <v>44779.0</v>
      </c>
      <c r="J21" s="176">
        <v>44625.0</v>
      </c>
      <c r="K21" s="3"/>
      <c r="L21" s="3"/>
      <c r="M21" s="3"/>
      <c r="N21" s="3"/>
      <c r="O21" s="3"/>
      <c r="P21" s="3" t="s">
        <v>329</v>
      </c>
      <c r="S21" s="3"/>
    </row>
    <row r="22" collapsed="1">
      <c r="B22" s="12"/>
      <c r="C22" s="12"/>
      <c r="D22" s="13"/>
      <c r="E22" s="13"/>
      <c r="F22" s="13"/>
      <c r="G22" s="13"/>
      <c r="H22" s="62"/>
      <c r="I22" s="62"/>
      <c r="J22" s="4"/>
      <c r="S22" s="3" t="s">
        <v>330</v>
      </c>
    </row>
    <row r="23" hidden="1" outlineLevel="1">
      <c r="B23" s="15" t="s">
        <v>52</v>
      </c>
      <c r="C23" s="16"/>
      <c r="D23" s="16"/>
      <c r="E23" s="16"/>
      <c r="F23" s="17" t="s">
        <v>53</v>
      </c>
      <c r="G23" s="18"/>
      <c r="H23" s="18"/>
      <c r="I23" s="18"/>
      <c r="J23" s="18"/>
      <c r="K23" s="3"/>
      <c r="L23" s="3"/>
      <c r="M23" s="3"/>
      <c r="N23" s="3"/>
      <c r="O23" s="3"/>
      <c r="P23" s="3"/>
    </row>
    <row r="24" hidden="1" outlineLevel="1">
      <c r="A24" s="3"/>
      <c r="B24" s="16" t="s">
        <v>28</v>
      </c>
      <c r="C24" s="16"/>
      <c r="D24" s="16"/>
      <c r="E24" s="16"/>
      <c r="F24" s="20" t="s">
        <v>207</v>
      </c>
      <c r="G24" s="20">
        <v>0.085534</v>
      </c>
      <c r="H24" s="20">
        <v>-0.09657</v>
      </c>
      <c r="I24" s="20">
        <v>-0.074</v>
      </c>
      <c r="J24" s="18"/>
      <c r="K24" s="31"/>
      <c r="L24" s="31"/>
      <c r="M24" s="31"/>
      <c r="N24" s="31"/>
      <c r="O24" s="31"/>
      <c r="P24" s="31" t="s">
        <v>164</v>
      </c>
    </row>
    <row r="25" hidden="1" outlineLevel="1">
      <c r="A25" s="3"/>
      <c r="B25" s="16" t="s">
        <v>55</v>
      </c>
      <c r="C25" s="16"/>
      <c r="D25" s="16"/>
      <c r="E25" s="16"/>
      <c r="F25" s="20" t="s">
        <v>208</v>
      </c>
      <c r="G25" s="20">
        <v>0.0891</v>
      </c>
      <c r="H25" s="20">
        <v>0.015935</v>
      </c>
      <c r="I25" s="20">
        <v>-0.00482</v>
      </c>
      <c r="J25" s="86">
        <v>-0.022</v>
      </c>
      <c r="K25" s="3"/>
      <c r="L25" s="3"/>
      <c r="M25" s="3"/>
      <c r="N25" s="3"/>
      <c r="O25" s="3"/>
      <c r="P25" s="3" t="s">
        <v>56</v>
      </c>
    </row>
    <row r="26" hidden="1" outlineLevel="1">
      <c r="A26" s="3"/>
      <c r="B26" s="16" t="s">
        <v>57</v>
      </c>
      <c r="C26" s="16"/>
      <c r="D26" s="16"/>
      <c r="E26" s="16"/>
      <c r="F26" s="57" t="s">
        <v>209</v>
      </c>
      <c r="G26" s="20">
        <v>0.166436</v>
      </c>
      <c r="H26" s="20">
        <v>-0.21198</v>
      </c>
      <c r="I26" s="20">
        <v>-0.40366</v>
      </c>
      <c r="J26" s="88">
        <v>-0.267</v>
      </c>
      <c r="K26" s="3"/>
      <c r="L26" s="3"/>
      <c r="M26" s="3"/>
      <c r="N26" s="3"/>
      <c r="O26" s="3"/>
      <c r="P26" s="3" t="s">
        <v>56</v>
      </c>
    </row>
    <row r="27" hidden="1" outlineLevel="1">
      <c r="A27" s="3"/>
      <c r="B27" s="16" t="s">
        <v>58</v>
      </c>
      <c r="C27" s="16"/>
      <c r="D27" s="16"/>
      <c r="E27" s="16"/>
      <c r="F27" s="20" t="s">
        <v>210</v>
      </c>
      <c r="G27" s="20">
        <v>0.09644</v>
      </c>
      <c r="H27" s="20">
        <v>-0.01752</v>
      </c>
      <c r="I27" s="20">
        <v>0.090012</v>
      </c>
      <c r="J27" s="88">
        <v>-0.051</v>
      </c>
      <c r="K27" s="3"/>
      <c r="L27" s="3"/>
      <c r="M27" s="3"/>
      <c r="N27" s="3"/>
      <c r="O27" s="3"/>
      <c r="P27" s="3" t="s">
        <v>56</v>
      </c>
    </row>
    <row r="28" hidden="1" outlineLevel="1">
      <c r="A28" s="3"/>
      <c r="B28" s="16" t="s">
        <v>60</v>
      </c>
      <c r="C28" s="16"/>
      <c r="D28" s="16"/>
      <c r="E28" s="16"/>
      <c r="F28" s="20" t="s">
        <v>211</v>
      </c>
      <c r="G28" s="20">
        <v>0.136107</v>
      </c>
      <c r="H28" s="20">
        <v>0.038548</v>
      </c>
      <c r="I28" s="20">
        <v>-0.09601</v>
      </c>
      <c r="J28" s="88">
        <v>-0.099</v>
      </c>
      <c r="K28" s="3"/>
      <c r="L28" s="3"/>
      <c r="M28" s="3"/>
      <c r="N28" s="3"/>
      <c r="O28" s="3"/>
      <c r="P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c r="M29" s="3"/>
      <c r="N29" s="3"/>
      <c r="O29" s="3"/>
      <c r="P29" s="3" t="s">
        <v>63</v>
      </c>
    </row>
    <row r="30" hidden="1" outlineLevel="1">
      <c r="A30" s="3"/>
      <c r="B30" s="16" t="s">
        <v>64</v>
      </c>
      <c r="C30" s="16"/>
      <c r="D30" s="16"/>
      <c r="E30" s="16"/>
      <c r="F30" s="95">
        <v>0.09</v>
      </c>
      <c r="G30" s="20">
        <v>0.08</v>
      </c>
      <c r="H30" s="20">
        <v>0.07</v>
      </c>
      <c r="I30" s="20">
        <v>0.07</v>
      </c>
      <c r="J30" s="86">
        <v>0.07</v>
      </c>
      <c r="K30" s="3"/>
      <c r="L30" s="3"/>
      <c r="M30" s="3"/>
      <c r="N30" s="3"/>
      <c r="O30" s="3"/>
      <c r="P30" s="3" t="s">
        <v>65</v>
      </c>
    </row>
    <row r="31" hidden="1" outlineLevel="1">
      <c r="A31" s="3"/>
      <c r="B31" s="16" t="s">
        <v>66</v>
      </c>
      <c r="C31" s="16"/>
      <c r="D31" s="16"/>
      <c r="E31" s="16"/>
      <c r="F31" s="21">
        <v>0.042</v>
      </c>
      <c r="G31" s="21">
        <v>0.042</v>
      </c>
      <c r="H31" s="21">
        <v>0.042</v>
      </c>
      <c r="I31" s="21">
        <v>0.042</v>
      </c>
      <c r="J31" s="88">
        <v>0.042</v>
      </c>
      <c r="K31" s="3"/>
      <c r="L31" s="3"/>
      <c r="M31" s="3"/>
      <c r="N31" s="3"/>
      <c r="O31" s="3"/>
      <c r="P31" s="3" t="s">
        <v>67</v>
      </c>
    </row>
    <row r="32" hidden="1" outlineLevel="1">
      <c r="A32" s="3"/>
      <c r="B32" s="16" t="s">
        <v>68</v>
      </c>
      <c r="C32" s="16"/>
      <c r="D32" s="16"/>
      <c r="E32" s="16"/>
      <c r="F32" s="21">
        <v>0.024</v>
      </c>
      <c r="G32" s="21">
        <v>0.024</v>
      </c>
      <c r="H32" s="21">
        <v>0.024</v>
      </c>
      <c r="I32" s="21">
        <v>0.024</v>
      </c>
      <c r="J32" s="88">
        <v>0.024</v>
      </c>
      <c r="K32" s="3"/>
      <c r="L32" s="3"/>
      <c r="M32" s="3"/>
      <c r="N32" s="3"/>
      <c r="O32" s="3"/>
      <c r="P32" s="3" t="s">
        <v>67</v>
      </c>
    </row>
    <row r="33">
      <c r="F33" s="3" t="s">
        <v>15</v>
      </c>
      <c r="G33" s="177">
        <v>85.6</v>
      </c>
      <c r="H33" s="177">
        <v>66.5</v>
      </c>
      <c r="I33" s="203">
        <v>63.0</v>
      </c>
      <c r="J33" s="203">
        <v>65.0</v>
      </c>
      <c r="P33" s="6" t="s">
        <v>408</v>
      </c>
      <c r="S33" s="178" t="s">
        <v>331</v>
      </c>
      <c r="T33" s="179" t="s">
        <v>81</v>
      </c>
      <c r="U33" s="179" t="s">
        <v>114</v>
      </c>
    </row>
    <row r="34">
      <c r="A34" s="31"/>
      <c r="B34" s="3"/>
      <c r="C34" s="3"/>
      <c r="D34" s="3"/>
      <c r="F34" s="3" t="s">
        <v>15</v>
      </c>
      <c r="G34" s="177">
        <v>85.6</v>
      </c>
      <c r="H34" s="177">
        <v>66.5</v>
      </c>
      <c r="I34" s="198">
        <v>68.3</v>
      </c>
      <c r="J34" s="198">
        <v>76.7</v>
      </c>
      <c r="K34" s="3"/>
      <c r="L34" s="3"/>
      <c r="M34" s="3"/>
      <c r="N34" s="3"/>
      <c r="O34" s="3"/>
      <c r="P34" s="6" t="s">
        <v>409</v>
      </c>
      <c r="Q34" s="3"/>
      <c r="R34" s="3"/>
      <c r="S34" s="180"/>
      <c r="T34" s="181"/>
      <c r="U34" s="181"/>
    </row>
    <row r="35">
      <c r="A35" s="205" t="s">
        <v>422</v>
      </c>
      <c r="B35" s="3"/>
      <c r="C35" s="3"/>
      <c r="D35" s="3"/>
      <c r="F35" s="4"/>
      <c r="G35" s="4"/>
      <c r="H35" s="4"/>
      <c r="I35" s="4"/>
      <c r="J35" s="4"/>
      <c r="K35" s="3"/>
      <c r="L35" s="3"/>
      <c r="M35" s="3"/>
      <c r="N35" s="3"/>
      <c r="O35" s="3"/>
      <c r="P35" s="3"/>
      <c r="Q35" s="3"/>
      <c r="R35" s="3"/>
      <c r="S35" s="180" t="s">
        <v>332</v>
      </c>
      <c r="T35" s="181" t="s">
        <v>333</v>
      </c>
      <c r="U35" s="181" t="s">
        <v>334</v>
      </c>
    </row>
    <row r="36">
      <c r="A36" s="3" t="s">
        <v>28</v>
      </c>
      <c r="B36" s="10" t="s">
        <v>69</v>
      </c>
      <c r="C36" s="167">
        <v>61.0</v>
      </c>
      <c r="D36" s="167">
        <v>69.0</v>
      </c>
      <c r="E36" s="167">
        <v>73.0</v>
      </c>
      <c r="F36" s="167">
        <v>79.0</v>
      </c>
      <c r="G36" s="193">
        <v>88.0</v>
      </c>
      <c r="H36" s="193">
        <v>81.0</v>
      </c>
      <c r="I36" s="193">
        <v>60.0</v>
      </c>
      <c r="J36" s="193">
        <v>62.5</v>
      </c>
      <c r="K36" s="193"/>
      <c r="L36" s="193"/>
      <c r="M36" s="193"/>
      <c r="N36" s="193"/>
      <c r="O36" s="193">
        <v>70.0</v>
      </c>
      <c r="P36" s="122" t="s">
        <v>247</v>
      </c>
      <c r="S36" s="180" t="s">
        <v>335</v>
      </c>
      <c r="T36" s="181" t="s">
        <v>336</v>
      </c>
      <c r="U36" s="181" t="s">
        <v>337</v>
      </c>
    </row>
    <row r="37">
      <c r="A37" s="22" t="s">
        <v>74</v>
      </c>
      <c r="B37" s="10" t="s">
        <v>75</v>
      </c>
      <c r="C37" s="193">
        <v>169.0</v>
      </c>
      <c r="D37" s="193">
        <v>202.0</v>
      </c>
      <c r="E37" s="193">
        <v>278.0</v>
      </c>
      <c r="F37" s="193">
        <v>374.0</v>
      </c>
      <c r="G37" s="193">
        <v>368.0</v>
      </c>
      <c r="H37" s="193">
        <v>267.0</v>
      </c>
      <c r="I37" s="193">
        <v>309.0</v>
      </c>
      <c r="J37" s="193">
        <v>298.0</v>
      </c>
      <c r="K37" s="193"/>
      <c r="L37" s="193"/>
      <c r="M37" s="193"/>
      <c r="N37" s="193"/>
      <c r="O37" s="193">
        <v>262.0</v>
      </c>
      <c r="P37" s="3" t="s">
        <v>309</v>
      </c>
      <c r="S37" s="180" t="s">
        <v>338</v>
      </c>
      <c r="T37" s="181" t="s">
        <v>339</v>
      </c>
      <c r="U37" s="181" t="s">
        <v>337</v>
      </c>
    </row>
    <row r="38">
      <c r="A38" s="22" t="s">
        <v>74</v>
      </c>
      <c r="B38" s="10" t="s">
        <v>248</v>
      </c>
      <c r="C38" s="123">
        <f t="shared" ref="C38:J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c r="L38" s="123"/>
      <c r="M38" s="123"/>
      <c r="N38" s="123"/>
      <c r="O38" s="123">
        <f>O37/35.3</f>
        <v>7.422096317</v>
      </c>
      <c r="P38" s="3" t="s">
        <v>309</v>
      </c>
      <c r="Q38" s="124"/>
      <c r="R38" s="124"/>
      <c r="S38" s="180" t="s">
        <v>340</v>
      </c>
      <c r="T38" s="181" t="s">
        <v>341</v>
      </c>
      <c r="U38" s="181" t="s">
        <v>337</v>
      </c>
    </row>
    <row r="39">
      <c r="A39" s="3" t="s">
        <v>249</v>
      </c>
      <c r="B39" s="10" t="s">
        <v>248</v>
      </c>
      <c r="C39" s="11">
        <v>6.8</v>
      </c>
      <c r="D39" s="11">
        <v>8.7</v>
      </c>
      <c r="E39" s="11">
        <v>16.9</v>
      </c>
      <c r="F39" s="11">
        <v>29.0</v>
      </c>
      <c r="G39" s="11">
        <v>29.0</v>
      </c>
      <c r="H39" s="11">
        <v>15.0</v>
      </c>
      <c r="I39" s="11">
        <v>11.0</v>
      </c>
      <c r="J39" s="11">
        <v>15.0</v>
      </c>
      <c r="K39" s="11"/>
      <c r="L39" s="11"/>
      <c r="M39" s="11"/>
      <c r="N39" s="11"/>
      <c r="O39" s="11">
        <v>15.0</v>
      </c>
      <c r="P39" s="125" t="s">
        <v>250</v>
      </c>
      <c r="S39" s="180" t="s">
        <v>171</v>
      </c>
      <c r="T39" s="181" t="s">
        <v>342</v>
      </c>
      <c r="U39" s="181" t="s">
        <v>337</v>
      </c>
    </row>
    <row r="40">
      <c r="A40" s="3"/>
      <c r="B40" s="10"/>
      <c r="C40" s="126"/>
      <c r="D40" s="126"/>
      <c r="E40" s="126"/>
      <c r="F40" s="11"/>
      <c r="G40" s="11">
        <v>29.0</v>
      </c>
      <c r="H40" s="11">
        <v>29.0</v>
      </c>
      <c r="I40" s="11">
        <v>28.5</v>
      </c>
      <c r="J40" s="11">
        <v>29.5</v>
      </c>
      <c r="K40" s="127"/>
      <c r="L40" s="127"/>
      <c r="M40" s="127"/>
      <c r="N40" s="127"/>
      <c r="O40" s="127"/>
      <c r="P40" s="127" t="s">
        <v>251</v>
      </c>
      <c r="S40" s="180" t="s">
        <v>343</v>
      </c>
      <c r="T40" s="181" t="s">
        <v>344</v>
      </c>
      <c r="U40" s="181" t="s">
        <v>337</v>
      </c>
    </row>
    <row r="41">
      <c r="A41" s="3" t="s">
        <v>252</v>
      </c>
      <c r="B41" s="10" t="s">
        <v>248</v>
      </c>
      <c r="C41" s="128">
        <f t="shared" ref="C41:J41" si="3">14%*C36</f>
        <v>8.54</v>
      </c>
      <c r="D41" s="128">
        <f t="shared" si="3"/>
        <v>9.66</v>
      </c>
      <c r="E41" s="128">
        <f t="shared" si="3"/>
        <v>10.22</v>
      </c>
      <c r="F41" s="128">
        <f t="shared" si="3"/>
        <v>11.06</v>
      </c>
      <c r="G41" s="128">
        <f t="shared" si="3"/>
        <v>12.32</v>
      </c>
      <c r="H41" s="128">
        <f t="shared" si="3"/>
        <v>11.34</v>
      </c>
      <c r="I41" s="128">
        <f t="shared" si="3"/>
        <v>8.4</v>
      </c>
      <c r="J41" s="128">
        <f t="shared" si="3"/>
        <v>8.75</v>
      </c>
      <c r="K41" s="128"/>
      <c r="L41" s="128"/>
      <c r="M41" s="128"/>
      <c r="N41" s="128"/>
      <c r="O41" s="128">
        <f>14%*O36</f>
        <v>9.8</v>
      </c>
      <c r="P41" s="127" t="s">
        <v>253</v>
      </c>
      <c r="S41" s="180" t="s">
        <v>345</v>
      </c>
      <c r="T41" s="181" t="s">
        <v>346</v>
      </c>
      <c r="U41" s="181" t="s">
        <v>334</v>
      </c>
    </row>
    <row r="42">
      <c r="A42" s="3" t="s">
        <v>254</v>
      </c>
      <c r="B42" s="10" t="s">
        <v>248</v>
      </c>
      <c r="C42" s="128">
        <f>0.8*C39 + 0.2*C41</f>
        <v>7.148</v>
      </c>
      <c r="D42" s="128">
        <f t="shared" ref="D42:J42" si="4">0.8*D39+0.2*D41</f>
        <v>8.892</v>
      </c>
      <c r="E42" s="128">
        <f t="shared" si="4"/>
        <v>15.564</v>
      </c>
      <c r="F42" s="128">
        <f t="shared" si="4"/>
        <v>25.412</v>
      </c>
      <c r="G42" s="128">
        <f t="shared" si="4"/>
        <v>25.664</v>
      </c>
      <c r="H42" s="128">
        <f t="shared" si="4"/>
        <v>14.268</v>
      </c>
      <c r="I42" s="128">
        <f t="shared" si="4"/>
        <v>10.48</v>
      </c>
      <c r="J42" s="128">
        <f t="shared" si="4"/>
        <v>13.75</v>
      </c>
      <c r="K42" s="128"/>
      <c r="L42" s="128"/>
      <c r="M42" s="128"/>
      <c r="N42" s="128"/>
      <c r="O42" s="128">
        <f>0.8*O39+0.2*O41</f>
        <v>13.96</v>
      </c>
      <c r="P42" s="127" t="s">
        <v>255</v>
      </c>
      <c r="Q42" s="22"/>
      <c r="S42" s="180" t="s">
        <v>347</v>
      </c>
      <c r="T42" s="181" t="s">
        <v>344</v>
      </c>
      <c r="U42" s="181" t="s">
        <v>334</v>
      </c>
    </row>
    <row r="43">
      <c r="A43" s="129" t="s">
        <v>256</v>
      </c>
      <c r="B43" s="130"/>
      <c r="C43" s="131">
        <f t="shared" ref="C43:J43" si="5">C42-C38</f>
        <v>2.360464589</v>
      </c>
      <c r="D43" s="131">
        <f t="shared" si="5"/>
        <v>3.169620397</v>
      </c>
      <c r="E43" s="131">
        <f t="shared" si="5"/>
        <v>7.688645892</v>
      </c>
      <c r="F43" s="131">
        <f t="shared" si="5"/>
        <v>14.81709915</v>
      </c>
      <c r="G43" s="131">
        <f t="shared" si="5"/>
        <v>15.23907082</v>
      </c>
      <c r="H43" s="131">
        <f t="shared" si="5"/>
        <v>6.704260623</v>
      </c>
      <c r="I43" s="131">
        <f t="shared" si="5"/>
        <v>1.726458924</v>
      </c>
      <c r="J43" s="131">
        <f t="shared" si="5"/>
        <v>5.308073654</v>
      </c>
      <c r="K43" s="130"/>
      <c r="L43" s="130"/>
      <c r="M43" s="130"/>
      <c r="N43" s="130"/>
      <c r="O43" s="131">
        <f>O42-O38</f>
        <v>6.537903683</v>
      </c>
      <c r="P43" s="129" t="s">
        <v>257</v>
      </c>
      <c r="Q43" s="130"/>
      <c r="R43" s="130"/>
      <c r="S43" s="180" t="s">
        <v>348</v>
      </c>
      <c r="T43" s="181" t="s">
        <v>349</v>
      </c>
      <c r="U43" s="181" t="s">
        <v>334</v>
      </c>
      <c r="V43" s="130"/>
      <c r="W43" s="130"/>
      <c r="X43" s="130"/>
      <c r="Y43" s="130"/>
      <c r="Z43" s="130"/>
      <c r="AA43" s="130"/>
      <c r="AB43" s="130"/>
      <c r="AC43" s="130"/>
      <c r="AD43" s="130"/>
      <c r="AE43" s="130"/>
      <c r="AF43" s="130"/>
      <c r="AG43" s="130"/>
      <c r="AH43" s="130"/>
      <c r="AI43" s="130"/>
      <c r="AJ43" s="130"/>
    </row>
    <row r="44">
      <c r="S44" s="180" t="s">
        <v>350</v>
      </c>
      <c r="T44" s="181" t="s">
        <v>351</v>
      </c>
      <c r="U44" s="181" t="s">
        <v>352</v>
      </c>
    </row>
    <row r="45">
      <c r="A45" s="22" t="s">
        <v>76</v>
      </c>
      <c r="B45" s="10" t="s">
        <v>77</v>
      </c>
      <c r="C45" s="63">
        <v>1038.0</v>
      </c>
      <c r="D45" s="63">
        <v>1394.0</v>
      </c>
      <c r="E45" s="63">
        <v>1785.0</v>
      </c>
      <c r="F45" s="63">
        <v>1863.0</v>
      </c>
      <c r="G45" s="63">
        <v>1364.0</v>
      </c>
      <c r="H45" s="63">
        <v>1249.0</v>
      </c>
      <c r="I45" s="63">
        <v>1511.0</v>
      </c>
      <c r="J45" s="63">
        <v>1478.0</v>
      </c>
      <c r="K45" s="63"/>
      <c r="L45" s="63"/>
      <c r="M45" s="63"/>
      <c r="N45" s="63"/>
      <c r="O45" s="63">
        <v>1423.0</v>
      </c>
      <c r="P45" s="3" t="s">
        <v>54</v>
      </c>
      <c r="S45" s="180" t="s">
        <v>353</v>
      </c>
      <c r="T45" s="181" t="s">
        <v>354</v>
      </c>
      <c r="U45" s="181" t="s">
        <v>352</v>
      </c>
    </row>
    <row r="46">
      <c r="A46" s="132"/>
      <c r="B46" s="132"/>
      <c r="C46" s="133"/>
      <c r="D46" s="133"/>
      <c r="E46" s="133"/>
      <c r="F46" s="133"/>
      <c r="G46" s="133"/>
      <c r="H46" s="133"/>
      <c r="I46" s="133"/>
      <c r="J46" s="133"/>
      <c r="K46" s="134"/>
      <c r="L46" s="134"/>
      <c r="M46" s="134"/>
      <c r="N46" s="134"/>
      <c r="O46" s="134"/>
      <c r="P46" s="134"/>
      <c r="Q46" s="134"/>
      <c r="R46" s="134"/>
      <c r="S46" s="180" t="s">
        <v>355</v>
      </c>
      <c r="T46" s="181" t="s">
        <v>356</v>
      </c>
      <c r="U46" s="181" t="s">
        <v>357</v>
      </c>
      <c r="V46" s="134"/>
      <c r="W46" s="134"/>
      <c r="X46" s="134"/>
      <c r="Y46" s="134"/>
      <c r="Z46" s="134"/>
      <c r="AA46" s="134"/>
      <c r="AB46" s="134"/>
      <c r="AC46" s="134"/>
      <c r="AD46" s="134"/>
      <c r="AE46" s="134"/>
      <c r="AF46" s="134"/>
      <c r="AG46" s="134"/>
      <c r="AH46" s="134"/>
      <c r="AI46" s="134"/>
      <c r="AJ46" s="134"/>
    </row>
    <row r="47">
      <c r="A47" s="194" t="s">
        <v>78</v>
      </c>
      <c r="B47" s="195" t="s">
        <v>79</v>
      </c>
      <c r="C47" s="64">
        <v>99.3</v>
      </c>
      <c r="D47" s="64">
        <v>110.5</v>
      </c>
      <c r="E47" s="64">
        <v>104.3</v>
      </c>
      <c r="F47" s="64">
        <v>99.9</v>
      </c>
      <c r="G47" s="64">
        <v>98.2</v>
      </c>
      <c r="H47" s="64">
        <v>97.1</v>
      </c>
      <c r="I47" s="64">
        <v>94.8</v>
      </c>
      <c r="J47" s="64">
        <v>96.8</v>
      </c>
      <c r="K47" s="64"/>
      <c r="L47" s="64"/>
      <c r="M47" s="64"/>
      <c r="N47" s="64"/>
      <c r="O47" s="64">
        <v>103.5</v>
      </c>
    </row>
    <row r="48">
      <c r="A48" s="194" t="s">
        <v>80</v>
      </c>
      <c r="B48" s="194" t="s">
        <v>79</v>
      </c>
      <c r="C48" s="64">
        <v>97.2</v>
      </c>
      <c r="D48" s="64">
        <v>128.1</v>
      </c>
      <c r="E48" s="64">
        <v>110.3</v>
      </c>
      <c r="F48" s="64">
        <v>101.0</v>
      </c>
      <c r="G48" s="64">
        <v>100.0</v>
      </c>
      <c r="H48" s="64">
        <v>90.0</v>
      </c>
      <c r="I48" s="64">
        <v>90.0</v>
      </c>
      <c r="J48" s="64">
        <v>90.0</v>
      </c>
      <c r="K48" s="64"/>
      <c r="L48" s="64"/>
      <c r="M48" s="64"/>
      <c r="N48" s="64"/>
      <c r="O48" s="64">
        <v>101.5</v>
      </c>
    </row>
    <row r="49">
      <c r="A49" s="194" t="s">
        <v>81</v>
      </c>
      <c r="B49" s="194" t="s">
        <v>79</v>
      </c>
      <c r="C49" s="64">
        <v>105.5</v>
      </c>
      <c r="D49" s="64">
        <v>106.0</v>
      </c>
      <c r="E49" s="64">
        <v>106.8</v>
      </c>
      <c r="F49" s="64">
        <v>108.3</v>
      </c>
      <c r="G49" s="64">
        <v>99.6</v>
      </c>
      <c r="H49" s="64">
        <v>90.2</v>
      </c>
      <c r="I49" s="64">
        <v>90.2</v>
      </c>
      <c r="J49" s="64">
        <v>90.1</v>
      </c>
      <c r="K49" s="64"/>
      <c r="L49" s="64"/>
      <c r="M49" s="64"/>
      <c r="N49" s="64"/>
      <c r="O49" s="64">
        <v>103.0</v>
      </c>
      <c r="P49" s="3" t="s">
        <v>381</v>
      </c>
    </row>
    <row r="50">
      <c r="A50" s="3" t="s">
        <v>259</v>
      </c>
      <c r="B50" s="3" t="s">
        <v>260</v>
      </c>
      <c r="C50" s="196">
        <v>22.0</v>
      </c>
      <c r="D50" s="196">
        <v>17.0</v>
      </c>
      <c r="E50" s="196">
        <v>36.0</v>
      </c>
      <c r="F50" s="196">
        <v>47.0</v>
      </c>
      <c r="G50" s="196">
        <v>43.0</v>
      </c>
      <c r="H50" s="196">
        <v>55.0</v>
      </c>
      <c r="I50" s="196">
        <v>23.0</v>
      </c>
      <c r="J50" s="196">
        <v>38.0</v>
      </c>
      <c r="K50" s="196"/>
      <c r="L50" s="196"/>
      <c r="M50" s="196"/>
      <c r="N50" s="196"/>
      <c r="O50" s="196">
        <v>21.0</v>
      </c>
    </row>
    <row r="53">
      <c r="A53" s="3" t="s">
        <v>137</v>
      </c>
      <c r="B53" s="11"/>
      <c r="C53" s="63">
        <v>74.4</v>
      </c>
      <c r="D53" s="63">
        <v>73.6</v>
      </c>
      <c r="E53" s="63">
        <v>72.8</v>
      </c>
      <c r="F53" s="63">
        <v>72.8</v>
      </c>
      <c r="G53" s="63">
        <v>86.2</v>
      </c>
      <c r="H53" s="63">
        <v>86.0</v>
      </c>
      <c r="I53" s="63">
        <v>89.2</v>
      </c>
      <c r="J53" s="63">
        <v>88.1</v>
      </c>
      <c r="K53" s="63"/>
      <c r="L53" s="63"/>
      <c r="M53" s="63"/>
      <c r="N53" s="63"/>
      <c r="O53" s="63">
        <v>95.4</v>
      </c>
      <c r="P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60</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60</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65</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65</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62.5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62.5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c r="Q67" s="66"/>
      <c r="R67" s="66"/>
      <c r="S67" s="66"/>
      <c r="T67" s="66"/>
    </row>
    <row r="68">
      <c r="A68" s="66"/>
      <c r="B68" s="18" t="s">
        <v>167</v>
      </c>
      <c r="C68" s="18" t="s">
        <v>168</v>
      </c>
      <c r="D68" s="67" t="s">
        <v>169</v>
      </c>
      <c r="E68" s="18" t="s">
        <v>170</v>
      </c>
      <c r="F68" s="18" t="s">
        <v>171</v>
      </c>
      <c r="G68" s="67" t="s">
        <v>172</v>
      </c>
      <c r="H68" s="18" t="s">
        <v>173</v>
      </c>
      <c r="I68" s="18" t="s">
        <v>174</v>
      </c>
      <c r="J68" s="67" t="s">
        <v>175</v>
      </c>
      <c r="K68" s="18"/>
      <c r="L68" s="18"/>
      <c r="M68" s="18"/>
      <c r="N68" s="18"/>
      <c r="O68" s="18" t="s">
        <v>176</v>
      </c>
      <c r="P68" s="18" t="s">
        <v>177</v>
      </c>
      <c r="Q68" s="67" t="s">
        <v>178</v>
      </c>
      <c r="R68" s="66"/>
      <c r="S68" s="66"/>
    </row>
    <row r="69">
      <c r="A69" s="68">
        <v>2021.0</v>
      </c>
      <c r="B69" s="69">
        <v>0.67</v>
      </c>
      <c r="C69" s="69">
        <v>0.78</v>
      </c>
      <c r="D69" s="69">
        <v>0.66</v>
      </c>
      <c r="E69" s="69">
        <v>0.58</v>
      </c>
      <c r="F69" s="69">
        <v>0.74</v>
      </c>
      <c r="G69" s="69">
        <v>0.69</v>
      </c>
      <c r="H69" s="98">
        <v>0.31</v>
      </c>
      <c r="I69" s="98">
        <v>0.17</v>
      </c>
      <c r="J69" s="98">
        <v>0.6</v>
      </c>
      <c r="K69" s="98"/>
      <c r="L69" s="98"/>
      <c r="M69" s="98"/>
      <c r="N69" s="98"/>
      <c r="O69" s="170">
        <v>1.11</v>
      </c>
      <c r="P69" s="170">
        <v>0.96</v>
      </c>
      <c r="Q69" s="183">
        <v>0.82</v>
      </c>
      <c r="R69" s="73"/>
      <c r="S69" s="74"/>
    </row>
    <row r="70">
      <c r="A70" s="75" t="s">
        <v>179</v>
      </c>
      <c r="B70" s="91">
        <v>5.19</v>
      </c>
      <c r="C70" s="76">
        <v>5.67</v>
      </c>
      <c r="D70" s="76">
        <v>5.79</v>
      </c>
      <c r="E70" s="76">
        <v>5.53</v>
      </c>
      <c r="F70" s="76">
        <v>6.02</v>
      </c>
      <c r="G70" s="76">
        <v>6.5</v>
      </c>
      <c r="H70" s="77">
        <v>6.46</v>
      </c>
      <c r="I70" s="77">
        <v>6.68</v>
      </c>
      <c r="J70" s="135">
        <v>7.4</v>
      </c>
      <c r="K70" s="135"/>
      <c r="L70" s="135"/>
      <c r="M70" s="135"/>
      <c r="N70" s="135"/>
      <c r="O70" s="135">
        <v>8.13</v>
      </c>
      <c r="P70" s="77">
        <v>8.4</v>
      </c>
      <c r="Q70" s="184">
        <v>8.39</v>
      </c>
      <c r="R70" s="79"/>
      <c r="S70" s="80">
        <v>2021.0</v>
      </c>
    </row>
    <row r="71">
      <c r="A71" s="66"/>
      <c r="B71" s="66"/>
      <c r="C71" s="66"/>
      <c r="D71" s="66"/>
      <c r="E71" s="66"/>
      <c r="F71" s="66"/>
      <c r="G71" s="66"/>
      <c r="H71" s="66"/>
      <c r="I71" s="66"/>
      <c r="J71" s="66"/>
      <c r="K71" s="66"/>
      <c r="L71" s="66"/>
      <c r="M71" s="66"/>
      <c r="N71" s="66"/>
      <c r="O71" s="66"/>
      <c r="P71" s="66"/>
      <c r="Q71" s="66"/>
      <c r="R71" s="81"/>
    </row>
    <row r="72">
      <c r="A72" s="18" t="s">
        <v>181</v>
      </c>
      <c r="B72" s="18">
        <v>0.6</v>
      </c>
      <c r="C72" s="18">
        <v>0.4</v>
      </c>
      <c r="D72" s="18">
        <v>0.5</v>
      </c>
      <c r="E72" s="18">
        <v>0.4</v>
      </c>
      <c r="F72" s="18">
        <v>0.4</v>
      </c>
      <c r="G72" s="18">
        <v>0.4</v>
      </c>
      <c r="H72" s="18">
        <v>0.5</v>
      </c>
      <c r="I72" s="18">
        <v>0.0</v>
      </c>
      <c r="J72" s="18">
        <v>0.2</v>
      </c>
      <c r="K72" s="18"/>
      <c r="L72" s="18"/>
      <c r="M72" s="18"/>
      <c r="N72" s="18"/>
      <c r="O72" s="18">
        <v>0.4</v>
      </c>
      <c r="P72" s="18">
        <v>0.5</v>
      </c>
      <c r="Q72" s="18">
        <v>0.5</v>
      </c>
      <c r="R72" s="66"/>
      <c r="S72" s="66"/>
    </row>
    <row r="73">
      <c r="A73" s="18" t="s">
        <v>182</v>
      </c>
      <c r="B73" s="18">
        <v>0.5</v>
      </c>
      <c r="C73" s="18">
        <v>0.3</v>
      </c>
      <c r="D73" s="18">
        <v>0.3</v>
      </c>
      <c r="E73" s="18">
        <v>0.4</v>
      </c>
      <c r="F73" s="18">
        <v>0.4</v>
      </c>
      <c r="G73" s="18">
        <v>0.4</v>
      </c>
      <c r="H73" s="18">
        <v>0.2</v>
      </c>
      <c r="I73" s="82">
        <v>-0.1</v>
      </c>
      <c r="J73" s="82">
        <v>-0.1</v>
      </c>
      <c r="K73" s="18"/>
      <c r="L73" s="18"/>
      <c r="M73" s="18"/>
      <c r="N73" s="18"/>
      <c r="O73" s="18">
        <v>0.3</v>
      </c>
      <c r="P73" s="18">
        <v>0.4</v>
      </c>
      <c r="Q73" s="18">
        <v>0.6</v>
      </c>
      <c r="R73" s="66"/>
      <c r="S73" s="66"/>
    </row>
    <row r="74">
      <c r="A74" s="66"/>
      <c r="B74" s="18" t="s">
        <v>183</v>
      </c>
      <c r="C74" s="18" t="s">
        <v>184</v>
      </c>
      <c r="D74" s="18" t="s">
        <v>169</v>
      </c>
      <c r="E74" s="18" t="s">
        <v>185</v>
      </c>
      <c r="F74" s="18" t="s">
        <v>186</v>
      </c>
      <c r="G74" s="18" t="s">
        <v>172</v>
      </c>
      <c r="H74" s="18" t="s">
        <v>187</v>
      </c>
      <c r="I74" s="18" t="s">
        <v>188</v>
      </c>
      <c r="J74" s="18" t="s">
        <v>175</v>
      </c>
      <c r="K74" s="18"/>
      <c r="L74" s="18"/>
      <c r="M74" s="18"/>
      <c r="N74" s="18"/>
      <c r="O74" s="18" t="s">
        <v>189</v>
      </c>
      <c r="P74" s="18" t="s">
        <v>190</v>
      </c>
      <c r="Q74" s="18" t="s">
        <v>178</v>
      </c>
      <c r="R74" s="66"/>
      <c r="S74" s="66"/>
    </row>
    <row r="75">
      <c r="A75" s="66"/>
      <c r="B75" s="199">
        <v>0.0099</v>
      </c>
      <c r="C75" s="199">
        <v>0.0117</v>
      </c>
      <c r="D75" s="199">
        <v>0.0761</v>
      </c>
      <c r="E75" s="199">
        <v>0.0156</v>
      </c>
      <c r="F75" s="199">
        <v>0.0012</v>
      </c>
      <c r="G75" s="199">
        <v>-0.0035</v>
      </c>
      <c r="H75" s="199">
        <v>0.007</v>
      </c>
      <c r="I75" s="200">
        <f t="shared" ref="I75:J75" si="13"> (12% - SUM( $B$75:$H$75 ) ) * I73 / SUM( $I$73:$Q$73 )</f>
        <v>-0.0001818181818</v>
      </c>
      <c r="J75" s="200">
        <f t="shared" si="13"/>
        <v>-0.0001818181818</v>
      </c>
      <c r="K75" s="200"/>
      <c r="L75" s="200"/>
      <c r="M75" s="200"/>
      <c r="N75" s="200"/>
      <c r="O75" s="200">
        <f t="shared" ref="O75:Q75" si="14"> (12% - SUM( $B$75:$H$75 ) ) * O73 / SUM( $I$73:$Q$73 )</f>
        <v>0.0005454545455</v>
      </c>
      <c r="P75" s="200">
        <f t="shared" si="14"/>
        <v>0.0007272727273</v>
      </c>
      <c r="Q75" s="200">
        <f t="shared" si="14"/>
        <v>0.001090909091</v>
      </c>
      <c r="R75" s="66"/>
      <c r="S75" s="201">
        <f> SUM( B75:Q75 )</f>
        <v>0.12</v>
      </c>
    </row>
    <row r="76">
      <c r="A76" s="66"/>
      <c r="B76" s="66"/>
      <c r="C76" s="66"/>
      <c r="D76" s="66"/>
      <c r="E76" s="66"/>
      <c r="F76" s="66"/>
      <c r="G76" s="66"/>
      <c r="H76" s="66"/>
      <c r="I76" s="66"/>
      <c r="J76" s="66"/>
      <c r="K76" s="66"/>
      <c r="L76" s="66"/>
      <c r="M76" s="66"/>
      <c r="N76" s="66"/>
      <c r="O76" s="66"/>
      <c r="P76" s="66"/>
      <c r="Q76" s="66"/>
      <c r="R76" s="66"/>
      <c r="S76" s="66"/>
    </row>
    <row r="77">
      <c r="A77" s="66"/>
      <c r="B77" s="18" t="s">
        <v>167</v>
      </c>
      <c r="C77" s="18" t="s">
        <v>168</v>
      </c>
      <c r="D77" s="83" t="s">
        <v>169</v>
      </c>
      <c r="E77" s="18" t="s">
        <v>170</v>
      </c>
      <c r="F77" s="18" t="s">
        <v>171</v>
      </c>
      <c r="G77" s="83" t="s">
        <v>172</v>
      </c>
      <c r="H77" s="18" t="s">
        <v>173</v>
      </c>
      <c r="I77" s="18" t="s">
        <v>174</v>
      </c>
      <c r="J77" s="83" t="s">
        <v>175</v>
      </c>
      <c r="K77" s="18"/>
      <c r="L77" s="18"/>
      <c r="M77" s="18"/>
      <c r="N77" s="18"/>
      <c r="O77" s="18" t="s">
        <v>176</v>
      </c>
      <c r="P77" s="18" t="s">
        <v>177</v>
      </c>
      <c r="Q77" s="83" t="s">
        <v>178</v>
      </c>
      <c r="R77" s="66"/>
      <c r="S77" s="66"/>
    </row>
    <row r="78">
      <c r="A78" s="68">
        <v>2022.0</v>
      </c>
      <c r="B78" s="70">
        <v>1.0</v>
      </c>
      <c r="C78" s="70">
        <v>0.5</v>
      </c>
      <c r="D78" s="70">
        <v>0.5</v>
      </c>
      <c r="E78" s="70">
        <v>0.5</v>
      </c>
      <c r="F78" s="70">
        <v>0.4</v>
      </c>
      <c r="G78" s="70">
        <v>0.5</v>
      </c>
      <c r="H78" s="71">
        <v>0.4</v>
      </c>
      <c r="I78" s="71">
        <v>0.0</v>
      </c>
      <c r="J78" s="71">
        <v>0.2</v>
      </c>
      <c r="K78" s="71"/>
      <c r="L78" s="71"/>
      <c r="M78" s="71"/>
      <c r="N78" s="71"/>
      <c r="O78" s="71">
        <v>0.4</v>
      </c>
      <c r="P78" s="71">
        <v>0.5</v>
      </c>
      <c r="Q78" s="72">
        <v>0.6</v>
      </c>
      <c r="R78" s="66"/>
      <c r="S78" s="66"/>
    </row>
    <row r="79">
      <c r="A79" s="75" t="s">
        <v>179</v>
      </c>
      <c r="B79" s="91">
        <v>8.75</v>
      </c>
      <c r="C79" s="76">
        <v>8.45</v>
      </c>
      <c r="D79" s="76">
        <v>8.28</v>
      </c>
      <c r="E79" s="76">
        <v>8.19</v>
      </c>
      <c r="F79" s="76">
        <v>7.82</v>
      </c>
      <c r="G79" s="76">
        <v>7.62</v>
      </c>
      <c r="H79" s="77">
        <v>7.72</v>
      </c>
      <c r="I79" s="77">
        <v>7.53</v>
      </c>
      <c r="J79" s="77">
        <v>7.11</v>
      </c>
      <c r="K79" s="77"/>
      <c r="L79" s="77"/>
      <c r="M79" s="77"/>
      <c r="N79" s="77"/>
      <c r="O79" s="77">
        <v>6.35</v>
      </c>
      <c r="P79" s="77">
        <v>5.87</v>
      </c>
      <c r="Q79" s="78">
        <v>5.64</v>
      </c>
      <c r="R79" s="79"/>
      <c r="S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c r="L82" s="186"/>
      <c r="M82" s="186"/>
      <c r="N82" s="186"/>
      <c r="O82" s="186" t="s">
        <v>383</v>
      </c>
    </row>
    <row r="83">
      <c r="A83" s="3" t="s">
        <v>384</v>
      </c>
      <c r="C83" s="187">
        <v>74.4</v>
      </c>
      <c r="D83" s="187">
        <v>74.2</v>
      </c>
      <c r="E83" s="187">
        <v>73.5</v>
      </c>
      <c r="F83" s="187">
        <v>72.7</v>
      </c>
      <c r="G83" s="187">
        <v>87.8</v>
      </c>
      <c r="H83" s="187">
        <v>85.4</v>
      </c>
      <c r="I83" s="187">
        <v>82.7</v>
      </c>
      <c r="J83" s="187">
        <v>80.5</v>
      </c>
      <c r="K83" s="188"/>
      <c r="L83" s="188"/>
      <c r="M83" s="188"/>
      <c r="N83" s="188"/>
      <c r="O83" s="188" t="s">
        <v>385</v>
      </c>
    </row>
  </sheetData>
  <mergeCells count="1">
    <mergeCell ref="R71:S7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20.5"/>
    <col customWidth="1" min="8" max="9" width="12.5"/>
    <col customWidth="1" min="10" max="10" width="11.75"/>
    <col customWidth="1" min="11" max="15" width="14.5"/>
    <col customWidth="1" min="16" max="16" width="19.13"/>
  </cols>
  <sheetData>
    <row r="1">
      <c r="A1" s="92">
        <v>45110.0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v>2024.0</v>
      </c>
      <c r="R1" s="2"/>
      <c r="S1" s="2"/>
      <c r="T1" s="2"/>
      <c r="U1" s="2"/>
      <c r="V1" s="2"/>
    </row>
    <row r="2">
      <c r="A2" s="191"/>
      <c r="B2" s="54"/>
      <c r="C2" s="4"/>
      <c r="D2" s="4"/>
      <c r="E2" s="54"/>
      <c r="F2" s="54"/>
      <c r="G2" s="54"/>
      <c r="H2" s="54"/>
      <c r="J2" s="5"/>
      <c r="Q2" s="3"/>
      <c r="S2" s="7"/>
      <c r="T2" s="52"/>
      <c r="U2" s="3"/>
      <c r="V2" s="52"/>
    </row>
    <row r="3">
      <c r="A3" s="3" t="s">
        <v>15</v>
      </c>
      <c r="B3" s="4"/>
      <c r="C3" s="4" t="s">
        <v>16</v>
      </c>
      <c r="D3" s="4" t="s">
        <v>16</v>
      </c>
      <c r="E3" s="54" t="s">
        <v>152</v>
      </c>
      <c r="F3" s="54" t="s">
        <v>293</v>
      </c>
      <c r="G3" s="54" t="s">
        <v>18</v>
      </c>
      <c r="H3" s="54" t="s">
        <v>18</v>
      </c>
      <c r="I3" s="112" t="s">
        <v>416</v>
      </c>
      <c r="J3" s="112" t="s">
        <v>397</v>
      </c>
      <c r="K3" s="8">
        <v>73.0</v>
      </c>
      <c r="L3" s="8">
        <v>81.0</v>
      </c>
      <c r="M3" s="24">
        <v>82.0</v>
      </c>
      <c r="N3" s="24">
        <v>85.0</v>
      </c>
      <c r="O3" s="217">
        <f>AVERAGE(K3:N3)</f>
        <v>80.25</v>
      </c>
      <c r="Q3" s="24">
        <v>82.0</v>
      </c>
      <c r="R3" s="5"/>
      <c r="S3" s="7"/>
      <c r="T3" s="52"/>
      <c r="V3" s="52"/>
    </row>
    <row r="4">
      <c r="A4" s="3" t="s">
        <v>24</v>
      </c>
      <c r="B4" s="4"/>
      <c r="C4" s="4" t="s">
        <v>25</v>
      </c>
      <c r="D4" s="4" t="s">
        <v>25</v>
      </c>
      <c r="E4" s="54" t="s">
        <v>153</v>
      </c>
      <c r="F4" s="54" t="s">
        <v>295</v>
      </c>
      <c r="G4" s="54" t="s">
        <v>153</v>
      </c>
      <c r="H4" s="54" t="s">
        <v>153</v>
      </c>
      <c r="I4" s="112" t="s">
        <v>416</v>
      </c>
      <c r="J4" s="112" t="s">
        <v>397</v>
      </c>
      <c r="K4" s="8"/>
      <c r="L4" s="8"/>
      <c r="M4" s="24"/>
      <c r="N4" s="24"/>
      <c r="O4" s="24"/>
      <c r="P4" s="3" t="s">
        <v>426</v>
      </c>
      <c r="Q4" s="5"/>
      <c r="R4" s="5"/>
      <c r="S4" s="7"/>
      <c r="T4" s="52"/>
      <c r="U4" s="52" t="s">
        <v>449</v>
      </c>
      <c r="V4" s="52"/>
    </row>
    <row r="5">
      <c r="A5" s="3" t="s">
        <v>28</v>
      </c>
      <c r="B5" s="4"/>
      <c r="C5" s="4" t="s">
        <v>29</v>
      </c>
      <c r="D5" s="4" t="s">
        <v>139</v>
      </c>
      <c r="E5" s="54" t="s">
        <v>199</v>
      </c>
      <c r="F5" s="54" t="s">
        <v>298</v>
      </c>
      <c r="G5" s="54" t="s">
        <v>391</v>
      </c>
      <c r="H5" s="54" t="s">
        <v>392</v>
      </c>
      <c r="I5" s="112" t="s">
        <v>410</v>
      </c>
      <c r="J5" s="112" t="s">
        <v>411</v>
      </c>
      <c r="K5" s="8">
        <v>82.0</v>
      </c>
      <c r="L5" s="8">
        <v>78.0</v>
      </c>
      <c r="M5" s="8">
        <v>72.0</v>
      </c>
      <c r="N5" s="8">
        <v>70.0</v>
      </c>
      <c r="O5" s="208">
        <f>AVERAGE(K5:N5)</f>
        <v>75.5</v>
      </c>
      <c r="P5" s="3" t="s">
        <v>440</v>
      </c>
      <c r="Q5" s="24">
        <v>70.0</v>
      </c>
      <c r="R5" s="24" t="s">
        <v>441</v>
      </c>
      <c r="U5" s="3" t="s">
        <v>450</v>
      </c>
    </row>
    <row r="6" ht="26.25" customHeight="1" collapsed="1">
      <c r="A6" s="3" t="s">
        <v>399</v>
      </c>
      <c r="B6" s="4"/>
      <c r="C6" s="4">
        <v>5.7</v>
      </c>
      <c r="D6" s="54" t="s">
        <v>144</v>
      </c>
      <c r="E6" s="54" t="s">
        <v>201</v>
      </c>
      <c r="F6" s="54" t="s">
        <v>299</v>
      </c>
      <c r="G6" s="54" t="s">
        <v>319</v>
      </c>
      <c r="H6" s="54" t="s">
        <v>304</v>
      </c>
      <c r="I6" s="112" t="s">
        <v>400</v>
      </c>
      <c r="J6" s="112" t="s">
        <v>420</v>
      </c>
      <c r="K6" s="8">
        <v>3.5</v>
      </c>
      <c r="L6" s="8">
        <v>3.3</v>
      </c>
      <c r="M6" s="8">
        <v>5.3</v>
      </c>
      <c r="N6" s="209">
        <v>6.5</v>
      </c>
      <c r="O6" s="209">
        <v>6.5</v>
      </c>
      <c r="P6" s="3" t="s">
        <v>451</v>
      </c>
      <c r="Q6" s="24">
        <v>5.5</v>
      </c>
      <c r="R6" s="5"/>
      <c r="S6" s="7"/>
      <c r="U6" s="3" t="s">
        <v>452</v>
      </c>
    </row>
    <row r="7" hidden="1" outlineLevel="1">
      <c r="A7" s="3"/>
      <c r="B7" s="4"/>
      <c r="C7" s="4"/>
      <c r="D7" s="54"/>
      <c r="E7" s="111" t="s">
        <v>241</v>
      </c>
      <c r="F7" s="112" t="s">
        <v>236</v>
      </c>
      <c r="G7" s="54" t="s">
        <v>237</v>
      </c>
      <c r="H7" s="54" t="s">
        <v>238</v>
      </c>
      <c r="I7" s="112" t="s">
        <v>239</v>
      </c>
      <c r="J7" s="206"/>
      <c r="K7" s="202"/>
      <c r="L7" s="202"/>
      <c r="M7" s="192"/>
      <c r="N7" s="192"/>
      <c r="O7" s="192"/>
      <c r="Q7" s="5"/>
      <c r="R7" s="5"/>
      <c r="S7" s="7"/>
      <c r="U7" s="3" t="s">
        <v>453</v>
      </c>
    </row>
    <row r="8">
      <c r="A8" s="3" t="s">
        <v>402</v>
      </c>
      <c r="B8" s="4"/>
      <c r="C8" s="4"/>
      <c r="D8" s="54"/>
      <c r="E8" s="54"/>
      <c r="F8" s="54"/>
      <c r="G8" s="54"/>
      <c r="H8" s="54"/>
      <c r="I8" s="112"/>
      <c r="J8" s="207"/>
      <c r="K8" s="54"/>
      <c r="L8" s="54"/>
      <c r="M8" s="54"/>
      <c r="N8" s="54"/>
      <c r="O8" s="54"/>
      <c r="P8" s="3"/>
      <c r="Q8" s="5"/>
      <c r="R8" s="5"/>
      <c r="S8" s="7"/>
      <c r="U8" s="3" t="s">
        <v>454</v>
      </c>
    </row>
    <row r="9">
      <c r="A9" s="3" t="s">
        <v>413</v>
      </c>
      <c r="B9" s="4"/>
      <c r="C9" s="4">
        <v>4.5</v>
      </c>
      <c r="D9" s="54">
        <v>5.5</v>
      </c>
      <c r="E9" s="54" t="s">
        <v>194</v>
      </c>
      <c r="F9" s="54">
        <v>8.5</v>
      </c>
      <c r="G9" s="54" t="s">
        <v>387</v>
      </c>
      <c r="H9" s="54" t="s">
        <v>387</v>
      </c>
      <c r="I9" s="207">
        <v>44780.0</v>
      </c>
      <c r="J9" s="112">
        <v>7.5</v>
      </c>
      <c r="K9" s="211">
        <v>7.5</v>
      </c>
      <c r="L9" s="211">
        <v>7.5</v>
      </c>
      <c r="M9" s="211">
        <v>8.25</v>
      </c>
      <c r="N9" s="211">
        <v>8.5</v>
      </c>
      <c r="O9" s="211">
        <v>8.5</v>
      </c>
      <c r="Q9" s="24">
        <v>8.0</v>
      </c>
      <c r="R9" s="99" t="s">
        <v>443</v>
      </c>
      <c r="S9" s="7"/>
      <c r="U9" s="3" t="s">
        <v>455</v>
      </c>
    </row>
    <row r="10">
      <c r="A10" s="3" t="s">
        <v>405</v>
      </c>
      <c r="E10" s="114"/>
      <c r="F10" s="115"/>
      <c r="G10" s="115"/>
      <c r="H10" s="115"/>
      <c r="I10" s="112" t="s">
        <v>406</v>
      </c>
      <c r="J10" s="112" t="s">
        <v>406</v>
      </c>
      <c r="L10" s="218" t="s">
        <v>468</v>
      </c>
      <c r="M10" s="4">
        <v>87.0</v>
      </c>
      <c r="N10" s="4">
        <v>89.0</v>
      </c>
      <c r="P10" s="213" t="s">
        <v>456</v>
      </c>
      <c r="T10" s="55"/>
      <c r="U10" s="3" t="s">
        <v>458</v>
      </c>
      <c r="V10" s="55"/>
    </row>
    <row r="11">
      <c r="E11" s="114" t="s">
        <v>241</v>
      </c>
      <c r="F11" s="115" t="s">
        <v>242</v>
      </c>
      <c r="G11" s="115" t="s">
        <v>242</v>
      </c>
      <c r="H11" s="115" t="s">
        <v>194</v>
      </c>
      <c r="I11" s="115" t="s">
        <v>148</v>
      </c>
      <c r="L11" s="218" t="s">
        <v>469</v>
      </c>
      <c r="M11" s="5"/>
      <c r="N11" s="5"/>
      <c r="P11" s="3" t="s">
        <v>433</v>
      </c>
      <c r="T11" s="3" t="s">
        <v>460</v>
      </c>
      <c r="V11" s="55"/>
    </row>
    <row r="12">
      <c r="A12" s="3" t="s">
        <v>47</v>
      </c>
      <c r="C12" s="4">
        <v>5.7</v>
      </c>
      <c r="D12" s="4">
        <v>6.5</v>
      </c>
      <c r="E12" s="62">
        <v>7.4</v>
      </c>
      <c r="F12" s="54">
        <v>8.1</v>
      </c>
      <c r="G12" s="54"/>
      <c r="H12" s="62"/>
      <c r="I12" s="62"/>
      <c r="J12" s="62"/>
      <c r="L12" s="218" t="s">
        <v>470</v>
      </c>
      <c r="M12" s="5"/>
      <c r="N12" s="5"/>
      <c r="P12" s="3" t="s">
        <v>435</v>
      </c>
      <c r="R12" s="52">
        <v>73.0</v>
      </c>
      <c r="T12" s="3" t="s">
        <v>462</v>
      </c>
      <c r="U12" s="3" t="s">
        <v>463</v>
      </c>
      <c r="V12" s="156">
        <v>0.065</v>
      </c>
    </row>
    <row r="13">
      <c r="A13" s="3" t="s">
        <v>162</v>
      </c>
      <c r="D13" s="111" t="s">
        <v>241</v>
      </c>
      <c r="E13" s="117">
        <v>7.0</v>
      </c>
      <c r="F13" s="112">
        <v>7.3</v>
      </c>
      <c r="G13" s="112"/>
      <c r="H13" s="112"/>
      <c r="I13" s="117"/>
      <c r="J13" s="112"/>
      <c r="L13" s="218" t="s">
        <v>471</v>
      </c>
      <c r="M13" s="5"/>
      <c r="N13" s="5"/>
      <c r="P13" s="3" t="s">
        <v>437</v>
      </c>
      <c r="R13" s="52">
        <v>75.0</v>
      </c>
      <c r="T13" s="3" t="s">
        <v>465</v>
      </c>
    </row>
    <row r="14">
      <c r="C14" s="10"/>
      <c r="D14" s="10"/>
      <c r="E14" s="10"/>
      <c r="F14" s="10"/>
      <c r="G14" s="10"/>
      <c r="H14" s="10"/>
      <c r="I14" s="10"/>
      <c r="J14" s="10"/>
      <c r="P14" s="3" t="s">
        <v>466</v>
      </c>
      <c r="R14" s="52"/>
      <c r="T14" s="3" t="s">
        <v>467</v>
      </c>
    </row>
    <row r="15">
      <c r="E15" s="118">
        <v>74.5</v>
      </c>
      <c r="F15" s="118">
        <v>74.2</v>
      </c>
      <c r="G15" s="118">
        <v>76.5</v>
      </c>
      <c r="H15" s="118">
        <v>77.7</v>
      </c>
      <c r="I15" s="118">
        <v>77.7</v>
      </c>
      <c r="J15" s="118">
        <v>76.5</v>
      </c>
      <c r="K15" s="119"/>
      <c r="L15" s="119"/>
      <c r="M15" s="119"/>
      <c r="N15" s="119"/>
      <c r="O15" s="119"/>
      <c r="P15" s="119" t="s">
        <v>305</v>
      </c>
      <c r="R15" s="210" t="s">
        <v>429</v>
      </c>
      <c r="S15" s="157">
        <f>R13/R12-1</f>
        <v>0.02739726027</v>
      </c>
    </row>
    <row r="16">
      <c r="A16" s="3" t="s">
        <v>48</v>
      </c>
      <c r="C16" s="164">
        <v>74.4</v>
      </c>
      <c r="D16" s="164">
        <v>74.2</v>
      </c>
      <c r="E16" s="164">
        <v>73.5</v>
      </c>
      <c r="F16" s="118">
        <v>72.4</v>
      </c>
      <c r="G16" s="118">
        <v>71.4</v>
      </c>
      <c r="H16" s="118">
        <v>76.4</v>
      </c>
      <c r="I16" s="118">
        <v>78.1</v>
      </c>
      <c r="J16" s="118">
        <v>75.9</v>
      </c>
      <c r="K16" s="119"/>
      <c r="L16" s="119"/>
      <c r="M16" s="119"/>
      <c r="N16" s="119"/>
      <c r="O16" s="119"/>
      <c r="P16" s="119" t="s">
        <v>325</v>
      </c>
      <c r="R16" s="210" t="s">
        <v>430</v>
      </c>
      <c r="S16" s="212">
        <f>S15*0.2</f>
        <v>0.005479452055</v>
      </c>
    </row>
    <row r="17">
      <c r="A17" s="3" t="s">
        <v>15</v>
      </c>
      <c r="B17" s="11"/>
      <c r="C17" s="63">
        <v>74.4</v>
      </c>
      <c r="D17" s="63">
        <v>74.2</v>
      </c>
      <c r="E17" s="63">
        <v>73.5</v>
      </c>
      <c r="F17" s="93">
        <v>73.65</v>
      </c>
      <c r="G17" s="93">
        <v>87.34</v>
      </c>
      <c r="H17" s="93">
        <v>66.51</v>
      </c>
      <c r="I17" s="63">
        <v>88.0</v>
      </c>
      <c r="J17" s="63">
        <v>86.4</v>
      </c>
      <c r="K17" s="63"/>
      <c r="L17" s="63"/>
      <c r="M17" s="63"/>
      <c r="N17" s="63"/>
      <c r="O17" s="63">
        <v>89.5</v>
      </c>
      <c r="P17" s="6" t="s">
        <v>407</v>
      </c>
      <c r="R17" s="3" t="s">
        <v>448</v>
      </c>
    </row>
    <row r="18">
      <c r="A18" s="3"/>
      <c r="B18" s="12"/>
      <c r="C18" s="12"/>
      <c r="D18" s="13"/>
      <c r="E18" s="13"/>
      <c r="F18" s="13"/>
      <c r="G18" s="13"/>
      <c r="H18" s="13"/>
      <c r="I18" s="13"/>
      <c r="J18" s="13"/>
      <c r="K18" s="13"/>
      <c r="L18" s="13"/>
      <c r="M18" s="13"/>
      <c r="N18" s="13"/>
      <c r="O18" s="13"/>
      <c r="P18" s="13"/>
      <c r="Q18" s="13"/>
    </row>
    <row r="19">
      <c r="A19" s="119" t="s">
        <v>50</v>
      </c>
      <c r="B19" s="119"/>
      <c r="C19" s="119"/>
      <c r="D19" s="173"/>
      <c r="E19" s="173"/>
      <c r="F19" s="174">
        <v>8.2</v>
      </c>
      <c r="G19" s="175">
        <v>7.0</v>
      </c>
      <c r="H19" s="174">
        <v>44202.0</v>
      </c>
      <c r="I19" s="174">
        <v>44352.0</v>
      </c>
      <c r="J19" s="175">
        <v>4.9</v>
      </c>
      <c r="K19" s="119"/>
      <c r="L19" s="119"/>
      <c r="M19" s="119"/>
      <c r="N19" s="119"/>
      <c r="O19" s="119"/>
      <c r="P19" s="119" t="s">
        <v>327</v>
      </c>
      <c r="Q19" s="173"/>
      <c r="R19" s="173"/>
      <c r="S19" s="173"/>
      <c r="T19" s="173"/>
      <c r="U19" s="173"/>
      <c r="V19" s="173"/>
      <c r="W19" s="173"/>
      <c r="X19" s="173"/>
      <c r="Y19" s="173"/>
      <c r="Z19" s="173"/>
      <c r="AA19" s="173"/>
      <c r="AB19" s="173"/>
      <c r="AC19" s="173"/>
      <c r="AD19" s="173"/>
      <c r="AE19" s="173"/>
      <c r="AF19" s="173"/>
      <c r="AG19" s="173"/>
      <c r="AH19" s="173"/>
      <c r="AI19" s="173"/>
      <c r="AJ19" s="173"/>
    </row>
    <row r="20">
      <c r="A20" s="3" t="s">
        <v>50</v>
      </c>
      <c r="B20" s="12"/>
      <c r="C20" s="12"/>
      <c r="D20" s="13"/>
      <c r="E20" s="13"/>
      <c r="F20" s="14">
        <v>44659.0</v>
      </c>
      <c r="G20" s="14">
        <v>44780.0</v>
      </c>
      <c r="H20" s="14">
        <v>44718.0</v>
      </c>
      <c r="I20" s="14">
        <v>44598.0</v>
      </c>
      <c r="J20" s="14">
        <v>44625.0</v>
      </c>
      <c r="K20" s="3"/>
      <c r="L20" s="3"/>
      <c r="M20" s="3"/>
      <c r="N20" s="3"/>
      <c r="O20" s="3"/>
      <c r="P20" s="3" t="s">
        <v>328</v>
      </c>
    </row>
    <row r="21">
      <c r="B21" s="12"/>
      <c r="C21" s="12"/>
      <c r="D21" s="13"/>
      <c r="E21" s="13"/>
      <c r="F21" s="13"/>
      <c r="G21" s="176">
        <v>44659.0</v>
      </c>
      <c r="H21" s="176">
        <v>44749.0</v>
      </c>
      <c r="I21" s="176">
        <v>44779.0</v>
      </c>
      <c r="J21" s="176">
        <v>44625.0</v>
      </c>
      <c r="K21" s="3"/>
      <c r="L21" s="3"/>
      <c r="M21" s="3"/>
      <c r="N21" s="3"/>
      <c r="O21" s="3"/>
      <c r="P21" s="3" t="s">
        <v>329</v>
      </c>
      <c r="S21" s="3"/>
    </row>
    <row r="22" collapsed="1">
      <c r="B22" s="12"/>
      <c r="C22" s="12"/>
      <c r="D22" s="13"/>
      <c r="E22" s="13"/>
      <c r="F22" s="13"/>
      <c r="G22" s="13"/>
      <c r="H22" s="62"/>
      <c r="I22" s="62"/>
      <c r="J22" s="4"/>
      <c r="S22" s="3" t="s">
        <v>330</v>
      </c>
    </row>
    <row r="23" hidden="1" outlineLevel="1">
      <c r="B23" s="15" t="s">
        <v>52</v>
      </c>
      <c r="C23" s="16"/>
      <c r="D23" s="16"/>
      <c r="E23" s="16"/>
      <c r="F23" s="17" t="s">
        <v>53</v>
      </c>
      <c r="G23" s="18"/>
      <c r="H23" s="18"/>
      <c r="I23" s="18"/>
      <c r="J23" s="18"/>
      <c r="K23" s="3"/>
      <c r="L23" s="3"/>
      <c r="M23" s="3"/>
      <c r="N23" s="3"/>
      <c r="O23" s="3"/>
      <c r="P23" s="3"/>
    </row>
    <row r="24" hidden="1" outlineLevel="1">
      <c r="A24" s="3"/>
      <c r="B24" s="16" t="s">
        <v>28</v>
      </c>
      <c r="C24" s="16"/>
      <c r="D24" s="16"/>
      <c r="E24" s="16"/>
      <c r="F24" s="20" t="s">
        <v>207</v>
      </c>
      <c r="G24" s="20">
        <v>0.085534</v>
      </c>
      <c r="H24" s="20">
        <v>-0.09657</v>
      </c>
      <c r="I24" s="20">
        <v>-0.074</v>
      </c>
      <c r="J24" s="18"/>
      <c r="K24" s="31"/>
      <c r="L24" s="31"/>
      <c r="M24" s="31"/>
      <c r="N24" s="31"/>
      <c r="O24" s="31"/>
      <c r="P24" s="31" t="s">
        <v>164</v>
      </c>
    </row>
    <row r="25" hidden="1" outlineLevel="1">
      <c r="A25" s="3"/>
      <c r="B25" s="16" t="s">
        <v>55</v>
      </c>
      <c r="C25" s="16"/>
      <c r="D25" s="16"/>
      <c r="E25" s="16"/>
      <c r="F25" s="20" t="s">
        <v>208</v>
      </c>
      <c r="G25" s="20">
        <v>0.0891</v>
      </c>
      <c r="H25" s="20">
        <v>0.015935</v>
      </c>
      <c r="I25" s="20">
        <v>-0.00482</v>
      </c>
      <c r="J25" s="86">
        <v>-0.022</v>
      </c>
      <c r="K25" s="3"/>
      <c r="L25" s="3"/>
      <c r="M25" s="3"/>
      <c r="N25" s="3"/>
      <c r="O25" s="3"/>
      <c r="P25" s="3" t="s">
        <v>56</v>
      </c>
    </row>
    <row r="26" hidden="1" outlineLevel="1">
      <c r="A26" s="3"/>
      <c r="B26" s="16" t="s">
        <v>57</v>
      </c>
      <c r="C26" s="16"/>
      <c r="D26" s="16"/>
      <c r="E26" s="16"/>
      <c r="F26" s="57" t="s">
        <v>209</v>
      </c>
      <c r="G26" s="20">
        <v>0.166436</v>
      </c>
      <c r="H26" s="20">
        <v>-0.21198</v>
      </c>
      <c r="I26" s="20">
        <v>-0.40366</v>
      </c>
      <c r="J26" s="88">
        <v>-0.267</v>
      </c>
      <c r="K26" s="3"/>
      <c r="L26" s="3"/>
      <c r="M26" s="3"/>
      <c r="N26" s="3"/>
      <c r="O26" s="3"/>
      <c r="P26" s="3" t="s">
        <v>56</v>
      </c>
    </row>
    <row r="27" hidden="1" outlineLevel="1">
      <c r="A27" s="3"/>
      <c r="B27" s="16" t="s">
        <v>58</v>
      </c>
      <c r="C27" s="16"/>
      <c r="D27" s="16"/>
      <c r="E27" s="16"/>
      <c r="F27" s="20" t="s">
        <v>210</v>
      </c>
      <c r="G27" s="20">
        <v>0.09644</v>
      </c>
      <c r="H27" s="20">
        <v>-0.01752</v>
      </c>
      <c r="I27" s="20">
        <v>0.090012</v>
      </c>
      <c r="J27" s="88">
        <v>-0.051</v>
      </c>
      <c r="K27" s="3"/>
      <c r="L27" s="3"/>
      <c r="M27" s="3"/>
      <c r="N27" s="3"/>
      <c r="O27" s="3"/>
      <c r="P27" s="3" t="s">
        <v>56</v>
      </c>
    </row>
    <row r="28" hidden="1" outlineLevel="1">
      <c r="A28" s="3"/>
      <c r="B28" s="16" t="s">
        <v>60</v>
      </c>
      <c r="C28" s="16"/>
      <c r="D28" s="16"/>
      <c r="E28" s="16"/>
      <c r="F28" s="20" t="s">
        <v>211</v>
      </c>
      <c r="G28" s="20">
        <v>0.136107</v>
      </c>
      <c r="H28" s="20">
        <v>0.038548</v>
      </c>
      <c r="I28" s="20">
        <v>-0.09601</v>
      </c>
      <c r="J28" s="88">
        <v>-0.099</v>
      </c>
      <c r="K28" s="3"/>
      <c r="L28" s="3"/>
      <c r="M28" s="3"/>
      <c r="N28" s="3"/>
      <c r="O28" s="3"/>
      <c r="P28" s="3" t="s">
        <v>56</v>
      </c>
    </row>
    <row r="29" hidden="1" outlineLevel="1">
      <c r="A29" s="3"/>
      <c r="B29" s="16" t="s">
        <v>62</v>
      </c>
      <c r="C29" s="16"/>
      <c r="D29" s="16"/>
      <c r="E29" s="16"/>
      <c r="F29" s="18">
        <f t="shared" ref="F29:J29" si="1">F53</f>
        <v>72.8</v>
      </c>
      <c r="G29" s="18">
        <f t="shared" si="1"/>
        <v>86.2</v>
      </c>
      <c r="H29" s="18">
        <f t="shared" si="1"/>
        <v>86</v>
      </c>
      <c r="I29" s="18">
        <f t="shared" si="1"/>
        <v>89.2</v>
      </c>
      <c r="J29" s="89">
        <f t="shared" si="1"/>
        <v>88.1</v>
      </c>
      <c r="K29" s="3"/>
      <c r="L29" s="3"/>
      <c r="M29" s="3"/>
      <c r="N29" s="3"/>
      <c r="O29" s="3"/>
      <c r="P29" s="3" t="s">
        <v>63</v>
      </c>
    </row>
    <row r="30" hidden="1" outlineLevel="1">
      <c r="A30" s="3"/>
      <c r="B30" s="16" t="s">
        <v>64</v>
      </c>
      <c r="C30" s="16"/>
      <c r="D30" s="16"/>
      <c r="E30" s="16"/>
      <c r="F30" s="95">
        <v>0.09</v>
      </c>
      <c r="G30" s="20">
        <v>0.08</v>
      </c>
      <c r="H30" s="20">
        <v>0.07</v>
      </c>
      <c r="I30" s="20">
        <v>0.07</v>
      </c>
      <c r="J30" s="86">
        <v>0.07</v>
      </c>
      <c r="K30" s="3"/>
      <c r="L30" s="3"/>
      <c r="M30" s="3"/>
      <c r="N30" s="3"/>
      <c r="O30" s="3"/>
      <c r="P30" s="3" t="s">
        <v>65</v>
      </c>
    </row>
    <row r="31" hidden="1" outlineLevel="1">
      <c r="A31" s="3"/>
      <c r="B31" s="16" t="s">
        <v>66</v>
      </c>
      <c r="C31" s="16"/>
      <c r="D31" s="16"/>
      <c r="E31" s="16"/>
      <c r="F31" s="21">
        <v>0.042</v>
      </c>
      <c r="G31" s="21">
        <v>0.042</v>
      </c>
      <c r="H31" s="21">
        <v>0.042</v>
      </c>
      <c r="I31" s="21">
        <v>0.042</v>
      </c>
      <c r="J31" s="88">
        <v>0.042</v>
      </c>
      <c r="K31" s="3"/>
      <c r="L31" s="3"/>
      <c r="M31" s="3"/>
      <c r="N31" s="3"/>
      <c r="O31" s="3"/>
      <c r="P31" s="3" t="s">
        <v>67</v>
      </c>
    </row>
    <row r="32" hidden="1" outlineLevel="1">
      <c r="A32" s="3"/>
      <c r="B32" s="16" t="s">
        <v>68</v>
      </c>
      <c r="C32" s="16"/>
      <c r="D32" s="16"/>
      <c r="E32" s="16"/>
      <c r="F32" s="21">
        <v>0.024</v>
      </c>
      <c r="G32" s="21">
        <v>0.024</v>
      </c>
      <c r="H32" s="21">
        <v>0.024</v>
      </c>
      <c r="I32" s="21">
        <v>0.024</v>
      </c>
      <c r="J32" s="88">
        <v>0.024</v>
      </c>
      <c r="K32" s="3"/>
      <c r="L32" s="3"/>
      <c r="M32" s="3"/>
      <c r="N32" s="3"/>
      <c r="O32" s="3"/>
      <c r="P32" s="3" t="s">
        <v>67</v>
      </c>
    </row>
    <row r="33">
      <c r="F33" s="3" t="s">
        <v>15</v>
      </c>
      <c r="G33" s="177">
        <v>85.6</v>
      </c>
      <c r="H33" s="177">
        <v>66.5</v>
      </c>
      <c r="I33" s="203">
        <v>63.0</v>
      </c>
      <c r="J33" s="203">
        <v>65.0</v>
      </c>
      <c r="P33" s="6" t="s">
        <v>408</v>
      </c>
      <c r="S33" s="178" t="s">
        <v>331</v>
      </c>
      <c r="T33" s="179" t="s">
        <v>81</v>
      </c>
      <c r="U33" s="179" t="s">
        <v>114</v>
      </c>
    </row>
    <row r="34">
      <c r="A34" s="31"/>
      <c r="B34" s="3"/>
      <c r="C34" s="3"/>
      <c r="D34" s="3"/>
      <c r="F34" s="3" t="s">
        <v>15</v>
      </c>
      <c r="G34" s="177">
        <v>85.6</v>
      </c>
      <c r="H34" s="177">
        <v>66.5</v>
      </c>
      <c r="I34" s="198">
        <v>68.3</v>
      </c>
      <c r="J34" s="198">
        <v>76.7</v>
      </c>
      <c r="K34" s="3"/>
      <c r="L34" s="3"/>
      <c r="M34" s="3"/>
      <c r="N34" s="3"/>
      <c r="O34" s="3"/>
      <c r="P34" s="6" t="s">
        <v>409</v>
      </c>
      <c r="Q34" s="3"/>
      <c r="R34" s="3"/>
      <c r="S34" s="180"/>
      <c r="T34" s="181"/>
      <c r="U34" s="181"/>
    </row>
    <row r="35">
      <c r="A35" s="205" t="s">
        <v>422</v>
      </c>
      <c r="B35" s="3"/>
      <c r="C35" s="3"/>
      <c r="D35" s="3"/>
      <c r="F35" s="4"/>
      <c r="G35" s="4"/>
      <c r="H35" s="4"/>
      <c r="I35" s="4"/>
      <c r="J35" s="4"/>
      <c r="K35" s="3"/>
      <c r="L35" s="3"/>
      <c r="M35" s="3"/>
      <c r="N35" s="3"/>
      <c r="O35" s="3"/>
      <c r="P35" s="3"/>
      <c r="Q35" s="3"/>
      <c r="R35" s="3"/>
      <c r="S35" s="180" t="s">
        <v>332</v>
      </c>
      <c r="T35" s="181" t="s">
        <v>333</v>
      </c>
      <c r="U35" s="181" t="s">
        <v>334</v>
      </c>
    </row>
    <row r="36">
      <c r="A36" s="3" t="s">
        <v>28</v>
      </c>
      <c r="B36" s="10" t="s">
        <v>69</v>
      </c>
      <c r="C36" s="167">
        <v>61.0</v>
      </c>
      <c r="D36" s="167">
        <v>69.0</v>
      </c>
      <c r="E36" s="167">
        <v>73.0</v>
      </c>
      <c r="F36" s="167">
        <v>79.0</v>
      </c>
      <c r="G36" s="193">
        <v>88.0</v>
      </c>
      <c r="H36" s="193">
        <v>81.0</v>
      </c>
      <c r="I36" s="193">
        <v>60.0</v>
      </c>
      <c r="J36" s="193">
        <v>62.5</v>
      </c>
      <c r="K36" s="193"/>
      <c r="L36" s="193"/>
      <c r="M36" s="193"/>
      <c r="N36" s="193"/>
      <c r="O36" s="193">
        <v>70.0</v>
      </c>
      <c r="P36" s="122" t="s">
        <v>247</v>
      </c>
      <c r="S36" s="180" t="s">
        <v>335</v>
      </c>
      <c r="T36" s="181" t="s">
        <v>336</v>
      </c>
      <c r="U36" s="181" t="s">
        <v>337</v>
      </c>
    </row>
    <row r="37">
      <c r="A37" s="22" t="s">
        <v>74</v>
      </c>
      <c r="B37" s="10" t="s">
        <v>75</v>
      </c>
      <c r="C37" s="193">
        <v>169.0</v>
      </c>
      <c r="D37" s="193">
        <v>202.0</v>
      </c>
      <c r="E37" s="193">
        <v>278.0</v>
      </c>
      <c r="F37" s="193">
        <v>374.0</v>
      </c>
      <c r="G37" s="193">
        <v>368.0</v>
      </c>
      <c r="H37" s="193">
        <v>267.0</v>
      </c>
      <c r="I37" s="193">
        <v>309.0</v>
      </c>
      <c r="J37" s="193">
        <v>298.0</v>
      </c>
      <c r="K37" s="193"/>
      <c r="L37" s="193"/>
      <c r="M37" s="193"/>
      <c r="N37" s="193"/>
      <c r="O37" s="193">
        <v>262.0</v>
      </c>
      <c r="P37" s="3" t="s">
        <v>309</v>
      </c>
      <c r="S37" s="180" t="s">
        <v>338</v>
      </c>
      <c r="T37" s="181" t="s">
        <v>339</v>
      </c>
      <c r="U37" s="181" t="s">
        <v>337</v>
      </c>
    </row>
    <row r="38">
      <c r="A38" s="22" t="s">
        <v>74</v>
      </c>
      <c r="B38" s="10" t="s">
        <v>248</v>
      </c>
      <c r="C38" s="123">
        <f t="shared" ref="C38:J38" si="2">C37/35.3</f>
        <v>4.787535411</v>
      </c>
      <c r="D38" s="123">
        <f t="shared" si="2"/>
        <v>5.722379603</v>
      </c>
      <c r="E38" s="123">
        <f t="shared" si="2"/>
        <v>7.875354108</v>
      </c>
      <c r="F38" s="123">
        <f t="shared" si="2"/>
        <v>10.59490085</v>
      </c>
      <c r="G38" s="123">
        <f t="shared" si="2"/>
        <v>10.42492918</v>
      </c>
      <c r="H38" s="123">
        <f t="shared" si="2"/>
        <v>7.563739377</v>
      </c>
      <c r="I38" s="123">
        <f t="shared" si="2"/>
        <v>8.753541076</v>
      </c>
      <c r="J38" s="123">
        <f t="shared" si="2"/>
        <v>8.441926346</v>
      </c>
      <c r="K38" s="123"/>
      <c r="L38" s="123"/>
      <c r="M38" s="123"/>
      <c r="N38" s="123"/>
      <c r="O38" s="123">
        <f>O37/35.3</f>
        <v>7.422096317</v>
      </c>
      <c r="P38" s="3" t="s">
        <v>309</v>
      </c>
      <c r="Q38" s="124"/>
      <c r="R38" s="124"/>
      <c r="S38" s="180" t="s">
        <v>340</v>
      </c>
      <c r="T38" s="181" t="s">
        <v>341</v>
      </c>
      <c r="U38" s="181" t="s">
        <v>337</v>
      </c>
    </row>
    <row r="39">
      <c r="A39" s="3" t="s">
        <v>249</v>
      </c>
      <c r="B39" s="10" t="s">
        <v>248</v>
      </c>
      <c r="C39" s="11">
        <v>6.8</v>
      </c>
      <c r="D39" s="11">
        <v>8.7</v>
      </c>
      <c r="E39" s="11">
        <v>16.9</v>
      </c>
      <c r="F39" s="11">
        <v>29.0</v>
      </c>
      <c r="G39" s="11">
        <v>29.0</v>
      </c>
      <c r="H39" s="11">
        <v>15.0</v>
      </c>
      <c r="I39" s="11">
        <v>11.0</v>
      </c>
      <c r="J39" s="11">
        <v>15.0</v>
      </c>
      <c r="K39" s="11"/>
      <c r="L39" s="11"/>
      <c r="M39" s="11"/>
      <c r="N39" s="11"/>
      <c r="O39" s="11">
        <v>15.0</v>
      </c>
      <c r="P39" s="125" t="s">
        <v>250</v>
      </c>
      <c r="S39" s="180" t="s">
        <v>171</v>
      </c>
      <c r="T39" s="181" t="s">
        <v>342</v>
      </c>
      <c r="U39" s="181" t="s">
        <v>337</v>
      </c>
    </row>
    <row r="40">
      <c r="A40" s="3"/>
      <c r="B40" s="10"/>
      <c r="C40" s="126"/>
      <c r="D40" s="126"/>
      <c r="E40" s="126"/>
      <c r="F40" s="11"/>
      <c r="G40" s="11">
        <v>29.0</v>
      </c>
      <c r="H40" s="11">
        <v>29.0</v>
      </c>
      <c r="I40" s="11">
        <v>28.5</v>
      </c>
      <c r="J40" s="11">
        <v>29.5</v>
      </c>
      <c r="K40" s="127"/>
      <c r="L40" s="127"/>
      <c r="M40" s="127"/>
      <c r="N40" s="127"/>
      <c r="O40" s="127"/>
      <c r="P40" s="127" t="s">
        <v>251</v>
      </c>
      <c r="S40" s="180" t="s">
        <v>343</v>
      </c>
      <c r="T40" s="181" t="s">
        <v>344</v>
      </c>
      <c r="U40" s="181" t="s">
        <v>337</v>
      </c>
    </row>
    <row r="41">
      <c r="A41" s="3" t="s">
        <v>252</v>
      </c>
      <c r="B41" s="10" t="s">
        <v>248</v>
      </c>
      <c r="C41" s="128">
        <f t="shared" ref="C41:J41" si="3">14%*C36</f>
        <v>8.54</v>
      </c>
      <c r="D41" s="128">
        <f t="shared" si="3"/>
        <v>9.66</v>
      </c>
      <c r="E41" s="128">
        <f t="shared" si="3"/>
        <v>10.22</v>
      </c>
      <c r="F41" s="128">
        <f t="shared" si="3"/>
        <v>11.06</v>
      </c>
      <c r="G41" s="128">
        <f t="shared" si="3"/>
        <v>12.32</v>
      </c>
      <c r="H41" s="128">
        <f t="shared" si="3"/>
        <v>11.34</v>
      </c>
      <c r="I41" s="128">
        <f t="shared" si="3"/>
        <v>8.4</v>
      </c>
      <c r="J41" s="128">
        <f t="shared" si="3"/>
        <v>8.75</v>
      </c>
      <c r="K41" s="128"/>
      <c r="L41" s="128"/>
      <c r="M41" s="128"/>
      <c r="N41" s="128"/>
      <c r="O41" s="128">
        <f>14%*O36</f>
        <v>9.8</v>
      </c>
      <c r="P41" s="127" t="s">
        <v>253</v>
      </c>
      <c r="S41" s="180" t="s">
        <v>345</v>
      </c>
      <c r="T41" s="181" t="s">
        <v>346</v>
      </c>
      <c r="U41" s="181" t="s">
        <v>334</v>
      </c>
    </row>
    <row r="42">
      <c r="A42" s="3" t="s">
        <v>254</v>
      </c>
      <c r="B42" s="10" t="s">
        <v>248</v>
      </c>
      <c r="C42" s="128">
        <f>0.8*C39 + 0.2*C41</f>
        <v>7.148</v>
      </c>
      <c r="D42" s="128">
        <f t="shared" ref="D42:J42" si="4">0.8*D39+0.2*D41</f>
        <v>8.892</v>
      </c>
      <c r="E42" s="128">
        <f t="shared" si="4"/>
        <v>15.564</v>
      </c>
      <c r="F42" s="128">
        <f t="shared" si="4"/>
        <v>25.412</v>
      </c>
      <c r="G42" s="128">
        <f t="shared" si="4"/>
        <v>25.664</v>
      </c>
      <c r="H42" s="128">
        <f t="shared" si="4"/>
        <v>14.268</v>
      </c>
      <c r="I42" s="128">
        <f t="shared" si="4"/>
        <v>10.48</v>
      </c>
      <c r="J42" s="128">
        <f t="shared" si="4"/>
        <v>13.75</v>
      </c>
      <c r="K42" s="128"/>
      <c r="L42" s="128"/>
      <c r="M42" s="128"/>
      <c r="N42" s="128"/>
      <c r="O42" s="128">
        <f>0.8*O39+0.2*O41</f>
        <v>13.96</v>
      </c>
      <c r="P42" s="127" t="s">
        <v>255</v>
      </c>
      <c r="Q42" s="22"/>
      <c r="S42" s="180" t="s">
        <v>347</v>
      </c>
      <c r="T42" s="181" t="s">
        <v>344</v>
      </c>
      <c r="U42" s="181" t="s">
        <v>334</v>
      </c>
    </row>
    <row r="43">
      <c r="A43" s="129" t="s">
        <v>256</v>
      </c>
      <c r="B43" s="130"/>
      <c r="C43" s="131">
        <f t="shared" ref="C43:J43" si="5">C42-C38</f>
        <v>2.360464589</v>
      </c>
      <c r="D43" s="131">
        <f t="shared" si="5"/>
        <v>3.169620397</v>
      </c>
      <c r="E43" s="131">
        <f t="shared" si="5"/>
        <v>7.688645892</v>
      </c>
      <c r="F43" s="131">
        <f t="shared" si="5"/>
        <v>14.81709915</v>
      </c>
      <c r="G43" s="131">
        <f t="shared" si="5"/>
        <v>15.23907082</v>
      </c>
      <c r="H43" s="131">
        <f t="shared" si="5"/>
        <v>6.704260623</v>
      </c>
      <c r="I43" s="131">
        <f t="shared" si="5"/>
        <v>1.726458924</v>
      </c>
      <c r="J43" s="131">
        <f t="shared" si="5"/>
        <v>5.308073654</v>
      </c>
      <c r="K43" s="130"/>
      <c r="L43" s="130"/>
      <c r="M43" s="130"/>
      <c r="N43" s="130"/>
      <c r="O43" s="131">
        <f>O42-O38</f>
        <v>6.537903683</v>
      </c>
      <c r="P43" s="129" t="s">
        <v>257</v>
      </c>
      <c r="Q43" s="130"/>
      <c r="R43" s="130"/>
      <c r="S43" s="180" t="s">
        <v>348</v>
      </c>
      <c r="T43" s="181" t="s">
        <v>349</v>
      </c>
      <c r="U43" s="181" t="s">
        <v>334</v>
      </c>
      <c r="V43" s="130"/>
      <c r="W43" s="130"/>
      <c r="X43" s="130"/>
      <c r="Y43" s="130"/>
      <c r="Z43" s="130"/>
      <c r="AA43" s="130"/>
      <c r="AB43" s="130"/>
      <c r="AC43" s="130"/>
      <c r="AD43" s="130"/>
      <c r="AE43" s="130"/>
      <c r="AF43" s="130"/>
      <c r="AG43" s="130"/>
      <c r="AH43" s="130"/>
      <c r="AI43" s="130"/>
      <c r="AJ43" s="130"/>
    </row>
    <row r="44">
      <c r="S44" s="180" t="s">
        <v>350</v>
      </c>
      <c r="T44" s="181" t="s">
        <v>351</v>
      </c>
      <c r="U44" s="181" t="s">
        <v>352</v>
      </c>
    </row>
    <row r="45">
      <c r="A45" s="22" t="s">
        <v>76</v>
      </c>
      <c r="B45" s="10" t="s">
        <v>77</v>
      </c>
      <c r="C45" s="63">
        <v>1038.0</v>
      </c>
      <c r="D45" s="63">
        <v>1394.0</v>
      </c>
      <c r="E45" s="63">
        <v>1785.0</v>
      </c>
      <c r="F45" s="63">
        <v>1863.0</v>
      </c>
      <c r="G45" s="63">
        <v>1364.0</v>
      </c>
      <c r="H45" s="63">
        <v>1249.0</v>
      </c>
      <c r="I45" s="63">
        <v>1511.0</v>
      </c>
      <c r="J45" s="63">
        <v>1478.0</v>
      </c>
      <c r="K45" s="63"/>
      <c r="L45" s="63"/>
      <c r="M45" s="63"/>
      <c r="N45" s="63"/>
      <c r="O45" s="63">
        <v>1423.0</v>
      </c>
      <c r="P45" s="3" t="s">
        <v>54</v>
      </c>
      <c r="S45" s="180" t="s">
        <v>353</v>
      </c>
      <c r="T45" s="181" t="s">
        <v>354</v>
      </c>
      <c r="U45" s="181" t="s">
        <v>352</v>
      </c>
    </row>
    <row r="46">
      <c r="A46" s="132"/>
      <c r="B46" s="132"/>
      <c r="C46" s="133"/>
      <c r="D46" s="133"/>
      <c r="E46" s="133"/>
      <c r="F46" s="133"/>
      <c r="G46" s="133"/>
      <c r="H46" s="133"/>
      <c r="I46" s="133"/>
      <c r="J46" s="133"/>
      <c r="K46" s="134"/>
      <c r="L46" s="134"/>
      <c r="M46" s="134"/>
      <c r="N46" s="134"/>
      <c r="O46" s="134"/>
      <c r="P46" s="134"/>
      <c r="Q46" s="134"/>
      <c r="R46" s="134"/>
      <c r="S46" s="180" t="s">
        <v>355</v>
      </c>
      <c r="T46" s="181" t="s">
        <v>356</v>
      </c>
      <c r="U46" s="181" t="s">
        <v>357</v>
      </c>
      <c r="V46" s="134"/>
      <c r="W46" s="134"/>
      <c r="X46" s="134"/>
      <c r="Y46" s="134"/>
      <c r="Z46" s="134"/>
      <c r="AA46" s="134"/>
      <c r="AB46" s="134"/>
      <c r="AC46" s="134"/>
      <c r="AD46" s="134"/>
      <c r="AE46" s="134"/>
      <c r="AF46" s="134"/>
      <c r="AG46" s="134"/>
      <c r="AH46" s="134"/>
      <c r="AI46" s="134"/>
      <c r="AJ46" s="134"/>
    </row>
    <row r="47">
      <c r="A47" s="194" t="s">
        <v>78</v>
      </c>
      <c r="B47" s="195" t="s">
        <v>79</v>
      </c>
      <c r="C47" s="64">
        <v>99.3</v>
      </c>
      <c r="D47" s="64">
        <v>110.5</v>
      </c>
      <c r="E47" s="64">
        <v>104.3</v>
      </c>
      <c r="F47" s="64">
        <v>99.9</v>
      </c>
      <c r="G47" s="64">
        <v>98.2</v>
      </c>
      <c r="H47" s="64">
        <v>97.1</v>
      </c>
      <c r="I47" s="64">
        <v>94.8</v>
      </c>
      <c r="J47" s="64">
        <v>96.8</v>
      </c>
      <c r="K47" s="64"/>
      <c r="L47" s="64"/>
      <c r="M47" s="64"/>
      <c r="N47" s="64"/>
      <c r="O47" s="64">
        <v>103.5</v>
      </c>
    </row>
    <row r="48">
      <c r="A48" s="194" t="s">
        <v>80</v>
      </c>
      <c r="B48" s="194" t="s">
        <v>79</v>
      </c>
      <c r="C48" s="64">
        <v>97.2</v>
      </c>
      <c r="D48" s="64">
        <v>128.1</v>
      </c>
      <c r="E48" s="64">
        <v>110.3</v>
      </c>
      <c r="F48" s="64">
        <v>101.0</v>
      </c>
      <c r="G48" s="64">
        <v>100.0</v>
      </c>
      <c r="H48" s="64">
        <v>90.0</v>
      </c>
      <c r="I48" s="64">
        <v>90.0</v>
      </c>
      <c r="J48" s="64">
        <v>90.0</v>
      </c>
      <c r="K48" s="64"/>
      <c r="L48" s="64"/>
      <c r="M48" s="64"/>
      <c r="N48" s="64"/>
      <c r="O48" s="64">
        <v>101.5</v>
      </c>
    </row>
    <row r="49">
      <c r="A49" s="194" t="s">
        <v>81</v>
      </c>
      <c r="B49" s="194" t="s">
        <v>79</v>
      </c>
      <c r="C49" s="64">
        <v>105.5</v>
      </c>
      <c r="D49" s="64">
        <v>106.0</v>
      </c>
      <c r="E49" s="64">
        <v>106.8</v>
      </c>
      <c r="F49" s="64">
        <v>108.3</v>
      </c>
      <c r="G49" s="64">
        <v>99.6</v>
      </c>
      <c r="H49" s="64">
        <v>90.2</v>
      </c>
      <c r="I49" s="64">
        <v>90.2</v>
      </c>
      <c r="J49" s="64">
        <v>90.1</v>
      </c>
      <c r="K49" s="64"/>
      <c r="L49" s="64"/>
      <c r="M49" s="64"/>
      <c r="N49" s="64"/>
      <c r="O49" s="64">
        <v>103.0</v>
      </c>
      <c r="P49" s="3" t="s">
        <v>381</v>
      </c>
    </row>
    <row r="50">
      <c r="A50" s="3" t="s">
        <v>259</v>
      </c>
      <c r="B50" s="3" t="s">
        <v>260</v>
      </c>
      <c r="C50" s="196">
        <v>22.0</v>
      </c>
      <c r="D50" s="196">
        <v>17.0</v>
      </c>
      <c r="E50" s="196">
        <v>36.0</v>
      </c>
      <c r="F50" s="196">
        <v>47.0</v>
      </c>
      <c r="G50" s="196">
        <v>43.0</v>
      </c>
      <c r="H50" s="196">
        <v>55.0</v>
      </c>
      <c r="I50" s="196">
        <v>23.0</v>
      </c>
      <c r="J50" s="196">
        <v>38.0</v>
      </c>
      <c r="K50" s="196"/>
      <c r="L50" s="196"/>
      <c r="M50" s="196"/>
      <c r="N50" s="196"/>
      <c r="O50" s="196">
        <v>21.0</v>
      </c>
    </row>
    <row r="53">
      <c r="A53" s="3" t="s">
        <v>137</v>
      </c>
      <c r="B53" s="11"/>
      <c r="C53" s="63">
        <v>74.4</v>
      </c>
      <c r="D53" s="63">
        <v>73.6</v>
      </c>
      <c r="E53" s="63">
        <v>72.8</v>
      </c>
      <c r="F53" s="63">
        <v>72.8</v>
      </c>
      <c r="G53" s="63">
        <v>86.2</v>
      </c>
      <c r="H53" s="63">
        <v>86.0</v>
      </c>
      <c r="I53" s="63">
        <v>89.2</v>
      </c>
      <c r="J53" s="63">
        <v>88.1</v>
      </c>
      <c r="K53" s="63"/>
      <c r="L53" s="63"/>
      <c r="M53" s="63"/>
      <c r="N53" s="63"/>
      <c r="O53" s="63">
        <v>95.4</v>
      </c>
      <c r="P53" s="169" t="s">
        <v>311</v>
      </c>
    </row>
    <row r="57">
      <c r="C57" s="35">
        <f t="shared" ref="C57:J57" si="6">VALUE(MID(C3,1,2))</f>
        <v>72</v>
      </c>
      <c r="D57" s="35">
        <f t="shared" si="6"/>
        <v>72</v>
      </c>
      <c r="E57" s="35">
        <f t="shared" si="6"/>
        <v>71</v>
      </c>
      <c r="F57" s="35">
        <f t="shared" si="6"/>
        <v>71</v>
      </c>
      <c r="G57" s="35">
        <f t="shared" si="6"/>
        <v>74</v>
      </c>
      <c r="H57" s="35">
        <f t="shared" si="6"/>
        <v>74</v>
      </c>
      <c r="I57" s="35">
        <f t="shared" si="6"/>
        <v>58</v>
      </c>
      <c r="J57" s="35">
        <f t="shared" si="6"/>
        <v>60</v>
      </c>
    </row>
    <row r="58">
      <c r="C58" s="35">
        <f t="shared" ref="C58:J58" si="7">VALUE(MID(C4,1,2))</f>
        <v>87</v>
      </c>
      <c r="D58" s="35">
        <f t="shared" si="7"/>
        <v>87</v>
      </c>
      <c r="E58" s="35">
        <f t="shared" si="7"/>
        <v>85</v>
      </c>
      <c r="F58" s="35">
        <f t="shared" si="7"/>
        <v>81</v>
      </c>
      <c r="G58" s="35">
        <f t="shared" si="7"/>
        <v>85</v>
      </c>
      <c r="H58" s="35">
        <f t="shared" si="7"/>
        <v>85</v>
      </c>
      <c r="I58" s="35">
        <f t="shared" si="7"/>
        <v>58</v>
      </c>
      <c r="J58" s="35">
        <f t="shared" si="7"/>
        <v>60</v>
      </c>
    </row>
    <row r="59">
      <c r="C59" s="35">
        <f t="shared" ref="C59:J59" si="8">VALUE(MID(C3,4,2))</f>
        <v>77</v>
      </c>
      <c r="D59" s="35">
        <f t="shared" si="8"/>
        <v>77</v>
      </c>
      <c r="E59" s="35">
        <f t="shared" si="8"/>
        <v>76</v>
      </c>
      <c r="F59" s="35">
        <f t="shared" si="8"/>
        <v>75</v>
      </c>
      <c r="G59" s="35">
        <f t="shared" si="8"/>
        <v>79</v>
      </c>
      <c r="H59" s="35">
        <f t="shared" si="8"/>
        <v>79</v>
      </c>
      <c r="I59" s="35">
        <f t="shared" si="8"/>
        <v>62</v>
      </c>
      <c r="J59" s="35">
        <f t="shared" si="8"/>
        <v>65</v>
      </c>
    </row>
    <row r="60">
      <c r="C60" s="35">
        <f t="shared" ref="C60:J60" si="9">VALUE(MID(C4,4,2))</f>
        <v>92</v>
      </c>
      <c r="D60" s="35">
        <f t="shared" si="9"/>
        <v>92</v>
      </c>
      <c r="E60" s="35">
        <f t="shared" si="9"/>
        <v>90</v>
      </c>
      <c r="F60" s="35">
        <f t="shared" si="9"/>
        <v>85</v>
      </c>
      <c r="G60" s="35">
        <f t="shared" si="9"/>
        <v>90</v>
      </c>
      <c r="H60" s="35">
        <f t="shared" si="9"/>
        <v>90</v>
      </c>
      <c r="I60" s="35">
        <f t="shared" si="9"/>
        <v>62</v>
      </c>
      <c r="J60" s="35">
        <f t="shared" si="9"/>
        <v>65</v>
      </c>
    </row>
    <row r="61">
      <c r="C61" s="35">
        <f t="shared" ref="C61:J61" si="10">AVERAGE(C57,C59)</f>
        <v>74.5</v>
      </c>
      <c r="D61" s="35">
        <f t="shared" si="10"/>
        <v>74.5</v>
      </c>
      <c r="E61" s="35">
        <f t="shared" si="10"/>
        <v>73.5</v>
      </c>
      <c r="F61" s="35">
        <f t="shared" si="10"/>
        <v>73</v>
      </c>
      <c r="G61" s="35">
        <f t="shared" si="10"/>
        <v>76.5</v>
      </c>
      <c r="H61" s="35">
        <f t="shared" si="10"/>
        <v>76.5</v>
      </c>
      <c r="I61" s="35">
        <f t="shared" si="10"/>
        <v>60</v>
      </c>
      <c r="J61" s="35">
        <f t="shared" si="10"/>
        <v>62.5</v>
      </c>
    </row>
    <row r="62">
      <c r="C62" s="35">
        <f t="shared" ref="C62:J62" si="11">AVERAGE(C58,C60)</f>
        <v>89.5</v>
      </c>
      <c r="D62" s="35">
        <f t="shared" si="11"/>
        <v>89.5</v>
      </c>
      <c r="E62" s="35">
        <f t="shared" si="11"/>
        <v>87.5</v>
      </c>
      <c r="F62" s="35">
        <f t="shared" si="11"/>
        <v>83</v>
      </c>
      <c r="G62" s="35">
        <f t="shared" si="11"/>
        <v>87.5</v>
      </c>
      <c r="H62" s="35">
        <f t="shared" si="11"/>
        <v>87.5</v>
      </c>
      <c r="I62" s="35">
        <f t="shared" si="11"/>
        <v>60</v>
      </c>
      <c r="J62" s="35">
        <f t="shared" si="11"/>
        <v>62.5</v>
      </c>
    </row>
    <row r="63">
      <c r="A63" s="3" t="s">
        <v>151</v>
      </c>
      <c r="C63" s="59">
        <f t="shared" ref="C63:J63" si="12">C62/C61</f>
        <v>1.201342282</v>
      </c>
      <c r="D63" s="59">
        <f t="shared" si="12"/>
        <v>1.201342282</v>
      </c>
      <c r="E63" s="59">
        <f t="shared" si="12"/>
        <v>1.19047619</v>
      </c>
      <c r="F63" s="59">
        <f t="shared" si="12"/>
        <v>1.136986301</v>
      </c>
      <c r="G63" s="59">
        <f t="shared" si="12"/>
        <v>1.14379085</v>
      </c>
      <c r="H63" s="59">
        <f t="shared" si="12"/>
        <v>1.14379085</v>
      </c>
      <c r="I63" s="59">
        <f t="shared" si="12"/>
        <v>1</v>
      </c>
      <c r="J63" s="59">
        <f t="shared" si="12"/>
        <v>1</v>
      </c>
    </row>
    <row r="67">
      <c r="A67" s="66"/>
      <c r="B67" s="66"/>
      <c r="C67" s="66"/>
      <c r="D67" s="66"/>
      <c r="E67" s="66"/>
      <c r="F67" s="66"/>
      <c r="G67" s="66"/>
      <c r="H67" s="66"/>
      <c r="I67" s="66"/>
      <c r="J67" s="66"/>
      <c r="K67" s="66"/>
      <c r="L67" s="66"/>
      <c r="M67" s="66"/>
      <c r="N67" s="66"/>
      <c r="O67" s="66"/>
      <c r="P67" s="66"/>
      <c r="Q67" s="66"/>
      <c r="R67" s="66"/>
      <c r="S67" s="66"/>
      <c r="T67" s="66"/>
    </row>
    <row r="68">
      <c r="A68" s="66"/>
      <c r="B68" s="18" t="s">
        <v>167</v>
      </c>
      <c r="C68" s="18" t="s">
        <v>168</v>
      </c>
      <c r="D68" s="67" t="s">
        <v>169</v>
      </c>
      <c r="E68" s="18" t="s">
        <v>170</v>
      </c>
      <c r="F68" s="18" t="s">
        <v>171</v>
      </c>
      <c r="G68" s="67" t="s">
        <v>172</v>
      </c>
      <c r="H68" s="18" t="s">
        <v>173</v>
      </c>
      <c r="I68" s="18" t="s">
        <v>174</v>
      </c>
      <c r="J68" s="67" t="s">
        <v>175</v>
      </c>
      <c r="K68" s="18"/>
      <c r="L68" s="18"/>
      <c r="M68" s="18"/>
      <c r="N68" s="18"/>
      <c r="O68" s="18" t="s">
        <v>176</v>
      </c>
      <c r="P68" s="18" t="s">
        <v>177</v>
      </c>
      <c r="Q68" s="67" t="s">
        <v>178</v>
      </c>
      <c r="R68" s="66"/>
      <c r="S68" s="66"/>
    </row>
    <row r="69">
      <c r="A69" s="68">
        <v>2021.0</v>
      </c>
      <c r="B69" s="69">
        <v>0.67</v>
      </c>
      <c r="C69" s="69">
        <v>0.78</v>
      </c>
      <c r="D69" s="69">
        <v>0.66</v>
      </c>
      <c r="E69" s="69">
        <v>0.58</v>
      </c>
      <c r="F69" s="69">
        <v>0.74</v>
      </c>
      <c r="G69" s="69">
        <v>0.69</v>
      </c>
      <c r="H69" s="98">
        <v>0.31</v>
      </c>
      <c r="I69" s="98">
        <v>0.17</v>
      </c>
      <c r="J69" s="98">
        <v>0.6</v>
      </c>
      <c r="K69" s="98"/>
      <c r="L69" s="98"/>
      <c r="M69" s="98"/>
      <c r="N69" s="98"/>
      <c r="O69" s="170">
        <v>1.11</v>
      </c>
      <c r="P69" s="170">
        <v>0.96</v>
      </c>
      <c r="Q69" s="183">
        <v>0.82</v>
      </c>
      <c r="R69" s="73"/>
      <c r="S69" s="74"/>
    </row>
    <row r="70">
      <c r="A70" s="75" t="s">
        <v>179</v>
      </c>
      <c r="B70" s="91">
        <v>5.19</v>
      </c>
      <c r="C70" s="76">
        <v>5.67</v>
      </c>
      <c r="D70" s="76">
        <v>5.79</v>
      </c>
      <c r="E70" s="76">
        <v>5.53</v>
      </c>
      <c r="F70" s="76">
        <v>6.02</v>
      </c>
      <c r="G70" s="76">
        <v>6.5</v>
      </c>
      <c r="H70" s="77">
        <v>6.46</v>
      </c>
      <c r="I70" s="77">
        <v>6.68</v>
      </c>
      <c r="J70" s="135">
        <v>7.4</v>
      </c>
      <c r="K70" s="135"/>
      <c r="L70" s="135"/>
      <c r="M70" s="135"/>
      <c r="N70" s="135"/>
      <c r="O70" s="135">
        <v>8.13</v>
      </c>
      <c r="P70" s="77">
        <v>8.4</v>
      </c>
      <c r="Q70" s="184">
        <v>8.39</v>
      </c>
      <c r="R70" s="79"/>
      <c r="S70" s="80">
        <v>2021.0</v>
      </c>
    </row>
    <row r="71">
      <c r="A71" s="66"/>
      <c r="B71" s="66"/>
      <c r="C71" s="66"/>
      <c r="D71" s="66"/>
      <c r="E71" s="66"/>
      <c r="F71" s="66"/>
      <c r="G71" s="66"/>
      <c r="H71" s="66"/>
      <c r="I71" s="66"/>
      <c r="J71" s="66"/>
      <c r="K71" s="66"/>
      <c r="L71" s="66"/>
      <c r="M71" s="66"/>
      <c r="N71" s="66"/>
      <c r="O71" s="66"/>
      <c r="P71" s="66"/>
      <c r="Q71" s="66"/>
      <c r="R71" s="81"/>
    </row>
    <row r="72">
      <c r="A72" s="18" t="s">
        <v>181</v>
      </c>
      <c r="B72" s="18">
        <v>0.6</v>
      </c>
      <c r="C72" s="18">
        <v>0.4</v>
      </c>
      <c r="D72" s="18">
        <v>0.5</v>
      </c>
      <c r="E72" s="18">
        <v>0.4</v>
      </c>
      <c r="F72" s="18">
        <v>0.4</v>
      </c>
      <c r="G72" s="18">
        <v>0.4</v>
      </c>
      <c r="H72" s="18">
        <v>0.5</v>
      </c>
      <c r="I72" s="18">
        <v>0.0</v>
      </c>
      <c r="J72" s="18">
        <v>0.2</v>
      </c>
      <c r="K72" s="18"/>
      <c r="L72" s="18"/>
      <c r="M72" s="18"/>
      <c r="N72" s="18"/>
      <c r="O72" s="18">
        <v>0.4</v>
      </c>
      <c r="P72" s="18">
        <v>0.5</v>
      </c>
      <c r="Q72" s="18">
        <v>0.5</v>
      </c>
      <c r="R72" s="66"/>
      <c r="S72" s="66"/>
    </row>
    <row r="73">
      <c r="A73" s="18" t="s">
        <v>182</v>
      </c>
      <c r="B73" s="18">
        <v>0.5</v>
      </c>
      <c r="C73" s="18">
        <v>0.3</v>
      </c>
      <c r="D73" s="18">
        <v>0.3</v>
      </c>
      <c r="E73" s="18">
        <v>0.4</v>
      </c>
      <c r="F73" s="18">
        <v>0.4</v>
      </c>
      <c r="G73" s="18">
        <v>0.4</v>
      </c>
      <c r="H73" s="18">
        <v>0.2</v>
      </c>
      <c r="I73" s="82">
        <v>-0.1</v>
      </c>
      <c r="J73" s="82">
        <v>-0.1</v>
      </c>
      <c r="K73" s="18"/>
      <c r="L73" s="18"/>
      <c r="M73" s="18"/>
      <c r="N73" s="18"/>
      <c r="O73" s="18">
        <v>0.3</v>
      </c>
      <c r="P73" s="18">
        <v>0.4</v>
      </c>
      <c r="Q73" s="18">
        <v>0.6</v>
      </c>
      <c r="R73" s="66"/>
      <c r="S73" s="66"/>
    </row>
    <row r="74">
      <c r="A74" s="66"/>
      <c r="B74" s="18" t="s">
        <v>183</v>
      </c>
      <c r="C74" s="18" t="s">
        <v>184</v>
      </c>
      <c r="D74" s="18" t="s">
        <v>169</v>
      </c>
      <c r="E74" s="18" t="s">
        <v>185</v>
      </c>
      <c r="F74" s="18" t="s">
        <v>186</v>
      </c>
      <c r="G74" s="18" t="s">
        <v>172</v>
      </c>
      <c r="H74" s="18" t="s">
        <v>187</v>
      </c>
      <c r="I74" s="18" t="s">
        <v>188</v>
      </c>
      <c r="J74" s="18" t="s">
        <v>175</v>
      </c>
      <c r="K74" s="18"/>
      <c r="L74" s="18"/>
      <c r="M74" s="18"/>
      <c r="N74" s="18"/>
      <c r="O74" s="18" t="s">
        <v>189</v>
      </c>
      <c r="P74" s="18" t="s">
        <v>190</v>
      </c>
      <c r="Q74" s="18" t="s">
        <v>178</v>
      </c>
      <c r="R74" s="66"/>
      <c r="S74" s="66"/>
    </row>
    <row r="75">
      <c r="A75" s="66"/>
      <c r="B75" s="199">
        <v>0.0099</v>
      </c>
      <c r="C75" s="199">
        <v>0.0117</v>
      </c>
      <c r="D75" s="199">
        <v>0.0761</v>
      </c>
      <c r="E75" s="199">
        <v>0.0156</v>
      </c>
      <c r="F75" s="199">
        <v>0.0012</v>
      </c>
      <c r="G75" s="199">
        <v>-0.0035</v>
      </c>
      <c r="H75" s="199">
        <v>0.007</v>
      </c>
      <c r="I75" s="200">
        <f t="shared" ref="I75:J75" si="13"> (12% - SUM( $B$75:$H$75 ) ) * I73 / SUM( $I$73:$Q$73 )</f>
        <v>-0.0001818181818</v>
      </c>
      <c r="J75" s="200">
        <f t="shared" si="13"/>
        <v>-0.0001818181818</v>
      </c>
      <c r="K75" s="200"/>
      <c r="L75" s="200"/>
      <c r="M75" s="200"/>
      <c r="N75" s="200"/>
      <c r="O75" s="200">
        <f t="shared" ref="O75:Q75" si="14"> (12% - SUM( $B$75:$H$75 ) ) * O73 / SUM( $I$73:$Q$73 )</f>
        <v>0.0005454545455</v>
      </c>
      <c r="P75" s="200">
        <f t="shared" si="14"/>
        <v>0.0007272727273</v>
      </c>
      <c r="Q75" s="200">
        <f t="shared" si="14"/>
        <v>0.001090909091</v>
      </c>
      <c r="R75" s="66"/>
      <c r="S75" s="201">
        <f> SUM( B75:Q75 )</f>
        <v>0.12</v>
      </c>
    </row>
    <row r="76">
      <c r="A76" s="66"/>
      <c r="B76" s="66"/>
      <c r="C76" s="66"/>
      <c r="D76" s="66"/>
      <c r="E76" s="66"/>
      <c r="F76" s="66"/>
      <c r="G76" s="66"/>
      <c r="H76" s="66"/>
      <c r="I76" s="66"/>
      <c r="J76" s="66"/>
      <c r="K76" s="66"/>
      <c r="L76" s="66"/>
      <c r="M76" s="66"/>
      <c r="N76" s="66"/>
      <c r="O76" s="66"/>
      <c r="P76" s="66"/>
      <c r="Q76" s="66"/>
      <c r="R76" s="66"/>
      <c r="S76" s="66"/>
    </row>
    <row r="77">
      <c r="A77" s="66"/>
      <c r="B77" s="18" t="s">
        <v>167</v>
      </c>
      <c r="C77" s="18" t="s">
        <v>168</v>
      </c>
      <c r="D77" s="83" t="s">
        <v>169</v>
      </c>
      <c r="E77" s="18" t="s">
        <v>170</v>
      </c>
      <c r="F77" s="18" t="s">
        <v>171</v>
      </c>
      <c r="G77" s="83" t="s">
        <v>172</v>
      </c>
      <c r="H77" s="18" t="s">
        <v>173</v>
      </c>
      <c r="I77" s="18" t="s">
        <v>174</v>
      </c>
      <c r="J77" s="83" t="s">
        <v>175</v>
      </c>
      <c r="K77" s="18"/>
      <c r="L77" s="18"/>
      <c r="M77" s="18"/>
      <c r="N77" s="18"/>
      <c r="O77" s="18" t="s">
        <v>176</v>
      </c>
      <c r="P77" s="18" t="s">
        <v>177</v>
      </c>
      <c r="Q77" s="83" t="s">
        <v>178</v>
      </c>
      <c r="R77" s="66"/>
      <c r="S77" s="66"/>
    </row>
    <row r="78">
      <c r="A78" s="68">
        <v>2022.0</v>
      </c>
      <c r="B78" s="70">
        <v>1.0</v>
      </c>
      <c r="C78" s="70">
        <v>0.5</v>
      </c>
      <c r="D78" s="70">
        <v>0.5</v>
      </c>
      <c r="E78" s="70">
        <v>0.5</v>
      </c>
      <c r="F78" s="70">
        <v>0.4</v>
      </c>
      <c r="G78" s="70">
        <v>0.5</v>
      </c>
      <c r="H78" s="71">
        <v>0.4</v>
      </c>
      <c r="I78" s="71">
        <v>0.0</v>
      </c>
      <c r="J78" s="71">
        <v>0.2</v>
      </c>
      <c r="K78" s="71"/>
      <c r="L78" s="71"/>
      <c r="M78" s="71"/>
      <c r="N78" s="71"/>
      <c r="O78" s="71">
        <v>0.4</v>
      </c>
      <c r="P78" s="71">
        <v>0.5</v>
      </c>
      <c r="Q78" s="72">
        <v>0.6</v>
      </c>
      <c r="R78" s="66"/>
      <c r="S78" s="66"/>
    </row>
    <row r="79">
      <c r="A79" s="75" t="s">
        <v>179</v>
      </c>
      <c r="B79" s="91">
        <v>8.75</v>
      </c>
      <c r="C79" s="76">
        <v>8.45</v>
      </c>
      <c r="D79" s="76">
        <v>8.28</v>
      </c>
      <c r="E79" s="76">
        <v>8.19</v>
      </c>
      <c r="F79" s="76">
        <v>7.82</v>
      </c>
      <c r="G79" s="76">
        <v>7.62</v>
      </c>
      <c r="H79" s="77">
        <v>7.72</v>
      </c>
      <c r="I79" s="77">
        <v>7.53</v>
      </c>
      <c r="J79" s="77">
        <v>7.11</v>
      </c>
      <c r="K79" s="77"/>
      <c r="L79" s="77"/>
      <c r="M79" s="77"/>
      <c r="N79" s="77"/>
      <c r="O79" s="77">
        <v>6.35</v>
      </c>
      <c r="P79" s="77">
        <v>5.87</v>
      </c>
      <c r="Q79" s="78">
        <v>5.64</v>
      </c>
      <c r="R79" s="79"/>
      <c r="S79" s="80">
        <v>2022.0</v>
      </c>
    </row>
    <row r="81">
      <c r="C81" s="2" t="s">
        <v>0</v>
      </c>
      <c r="D81" s="2" t="s">
        <v>1</v>
      </c>
      <c r="E81" s="2" t="s">
        <v>2</v>
      </c>
      <c r="F81" s="2" t="s">
        <v>3</v>
      </c>
      <c r="G81" s="2" t="s">
        <v>4</v>
      </c>
      <c r="H81" s="2" t="s">
        <v>5</v>
      </c>
      <c r="I81" s="2" t="s">
        <v>6</v>
      </c>
      <c r="J81" s="2" t="s">
        <v>7</v>
      </c>
    </row>
    <row r="82">
      <c r="A82" s="31" t="s">
        <v>382</v>
      </c>
      <c r="B82" s="185"/>
      <c r="C82" s="177">
        <v>74.4</v>
      </c>
      <c r="D82" s="177">
        <v>74.2</v>
      </c>
      <c r="E82" s="177">
        <v>73.5</v>
      </c>
      <c r="F82" s="177">
        <v>72.7</v>
      </c>
      <c r="G82" s="177">
        <v>76.6</v>
      </c>
      <c r="H82" s="177">
        <v>76.3</v>
      </c>
      <c r="I82" s="177">
        <v>78.8</v>
      </c>
      <c r="J82" s="177">
        <v>76.6</v>
      </c>
      <c r="K82" s="186"/>
      <c r="L82" s="186"/>
      <c r="M82" s="186"/>
      <c r="N82" s="186"/>
      <c r="O82" s="186" t="s">
        <v>383</v>
      </c>
    </row>
    <row r="83">
      <c r="A83" s="3" t="s">
        <v>384</v>
      </c>
      <c r="C83" s="187">
        <v>74.4</v>
      </c>
      <c r="D83" s="187">
        <v>74.2</v>
      </c>
      <c r="E83" s="187">
        <v>73.5</v>
      </c>
      <c r="F83" s="187">
        <v>72.7</v>
      </c>
      <c r="G83" s="187">
        <v>87.8</v>
      </c>
      <c r="H83" s="187">
        <v>85.4</v>
      </c>
      <c r="I83" s="187">
        <v>82.7</v>
      </c>
      <c r="J83" s="187">
        <v>80.5</v>
      </c>
      <c r="K83" s="188"/>
      <c r="L83" s="188"/>
      <c r="M83" s="188"/>
      <c r="N83" s="188"/>
      <c r="O83" s="188" t="s">
        <v>385</v>
      </c>
    </row>
  </sheetData>
  <mergeCells count="1">
    <mergeCell ref="R71:S7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39.5"/>
    <col customWidth="1" min="3" max="3" width="77.88"/>
    <col customWidth="1" min="4" max="4" width="21.13"/>
  </cols>
  <sheetData>
    <row r="1">
      <c r="A1" s="31"/>
      <c r="C1" s="3" t="s">
        <v>472</v>
      </c>
    </row>
    <row r="3">
      <c r="A3" s="219" t="s">
        <v>473</v>
      </c>
      <c r="B3" s="219" t="s">
        <v>474</v>
      </c>
      <c r="C3" s="219" t="s">
        <v>475</v>
      </c>
      <c r="D3" s="219" t="s">
        <v>476</v>
      </c>
      <c r="E3" s="219" t="s">
        <v>477</v>
      </c>
    </row>
    <row r="4">
      <c r="A4" s="220" t="s">
        <v>478</v>
      </c>
      <c r="B4" s="220" t="s">
        <v>479</v>
      </c>
      <c r="C4" s="220"/>
      <c r="E4" s="49" t="s">
        <v>480</v>
      </c>
    </row>
    <row r="5">
      <c r="A5" s="220" t="s">
        <v>481</v>
      </c>
      <c r="B5" s="220" t="s">
        <v>482</v>
      </c>
      <c r="C5" s="220" t="s">
        <v>483</v>
      </c>
      <c r="D5" s="3" t="s">
        <v>484</v>
      </c>
      <c r="E5" s="49" t="s">
        <v>485</v>
      </c>
    </row>
    <row r="6">
      <c r="A6" s="220" t="s">
        <v>486</v>
      </c>
      <c r="B6" s="220" t="s">
        <v>487</v>
      </c>
      <c r="C6" s="220" t="s">
        <v>488</v>
      </c>
      <c r="D6" s="221" t="s">
        <v>489</v>
      </c>
      <c r="E6" s="49" t="s">
        <v>490</v>
      </c>
    </row>
    <row r="7">
      <c r="A7" s="220" t="s">
        <v>491</v>
      </c>
      <c r="B7" s="220"/>
      <c r="C7" s="220"/>
      <c r="D7" s="3"/>
      <c r="E7" s="49" t="s">
        <v>492</v>
      </c>
    </row>
    <row r="8">
      <c r="A8" s="220" t="s">
        <v>493</v>
      </c>
      <c r="B8" s="220"/>
      <c r="C8" s="220"/>
    </row>
    <row r="9">
      <c r="A9" s="220" t="s">
        <v>494</v>
      </c>
      <c r="B9" s="220" t="s">
        <v>495</v>
      </c>
      <c r="C9" s="220" t="s">
        <v>496</v>
      </c>
    </row>
    <row r="10">
      <c r="A10" s="220" t="s">
        <v>497</v>
      </c>
      <c r="B10" s="220" t="s">
        <v>498</v>
      </c>
      <c r="C10" s="220" t="s">
        <v>499</v>
      </c>
    </row>
    <row r="11">
      <c r="A11" s="220" t="s">
        <v>500</v>
      </c>
      <c r="B11" s="220" t="s">
        <v>501</v>
      </c>
      <c r="C11" s="220" t="s">
        <v>502</v>
      </c>
      <c r="D11" s="3" t="s">
        <v>503</v>
      </c>
      <c r="E11" s="49" t="s">
        <v>490</v>
      </c>
    </row>
    <row r="12">
      <c r="A12" s="220" t="s">
        <v>504</v>
      </c>
      <c r="B12" s="220" t="s">
        <v>505</v>
      </c>
      <c r="C12" s="220" t="s">
        <v>506</v>
      </c>
      <c r="D12" s="3" t="s">
        <v>507</v>
      </c>
      <c r="E12" s="49" t="s">
        <v>490</v>
      </c>
    </row>
    <row r="13">
      <c r="A13" s="220" t="s">
        <v>508</v>
      </c>
      <c r="B13" s="220" t="s">
        <v>509</v>
      </c>
      <c r="C13" s="220" t="s">
        <v>509</v>
      </c>
    </row>
    <row r="14">
      <c r="A14" s="220" t="s">
        <v>510</v>
      </c>
      <c r="B14" s="220"/>
      <c r="C14" s="220"/>
    </row>
    <row r="15">
      <c r="A15" s="220" t="s">
        <v>511</v>
      </c>
      <c r="B15" s="220" t="s">
        <v>512</v>
      </c>
      <c r="C15" s="220" t="s">
        <v>513</v>
      </c>
    </row>
    <row r="16">
      <c r="A16" s="220" t="s">
        <v>514</v>
      </c>
      <c r="B16" s="220"/>
      <c r="C16" s="220"/>
    </row>
    <row r="17">
      <c r="A17" s="220" t="s">
        <v>515</v>
      </c>
      <c r="B17" s="220"/>
      <c r="C17" s="220"/>
      <c r="D17" s="3"/>
      <c r="E17" s="49" t="s">
        <v>516</v>
      </c>
    </row>
    <row r="18">
      <c r="A18" s="220" t="s">
        <v>517</v>
      </c>
      <c r="B18" s="220"/>
      <c r="C18" s="220"/>
    </row>
    <row r="19">
      <c r="A19" s="220" t="s">
        <v>518</v>
      </c>
      <c r="B19" s="220"/>
      <c r="C19" s="220"/>
      <c r="E19" s="49" t="s">
        <v>490</v>
      </c>
    </row>
    <row r="20">
      <c r="A20" s="220" t="s">
        <v>519</v>
      </c>
      <c r="B20" s="220"/>
      <c r="C20" s="220" t="s">
        <v>520</v>
      </c>
    </row>
    <row r="21">
      <c r="A21" s="220"/>
      <c r="B21" s="220"/>
      <c r="C21" s="222"/>
    </row>
    <row r="22">
      <c r="A22" s="220"/>
      <c r="B22" s="220"/>
      <c r="C22" s="220"/>
    </row>
    <row r="23">
      <c r="A23" s="220"/>
      <c r="B23" s="220"/>
      <c r="C23" s="220"/>
    </row>
    <row r="24">
      <c r="A24" s="220"/>
      <c r="B24" s="220"/>
      <c r="C24" s="220"/>
    </row>
    <row r="25">
      <c r="A25" s="220"/>
      <c r="B25" s="220"/>
      <c r="C25" s="220"/>
    </row>
    <row r="26">
      <c r="A26" s="220"/>
      <c r="B26" s="220"/>
      <c r="C26" s="220"/>
    </row>
    <row r="27">
      <c r="A27" s="220"/>
      <c r="B27" s="220"/>
      <c r="C27" s="220"/>
    </row>
    <row r="28">
      <c r="A28" s="220"/>
      <c r="B28" s="220"/>
      <c r="C28" s="220"/>
    </row>
    <row r="29">
      <c r="A29" s="220"/>
      <c r="B29" s="220"/>
      <c r="C29" s="220"/>
    </row>
    <row r="30">
      <c r="A30" s="220"/>
      <c r="B30" s="220"/>
      <c r="C30" s="220"/>
    </row>
    <row r="31">
      <c r="A31" s="220"/>
      <c r="B31" s="220"/>
      <c r="C31" s="220"/>
    </row>
    <row r="32">
      <c r="A32" s="220"/>
      <c r="B32" s="220"/>
      <c r="C32" s="220"/>
    </row>
  </sheetData>
  <hyperlinks>
    <hyperlink r:id="rId1" ref="E4"/>
    <hyperlink r:id="rId2" ref="E5"/>
    <hyperlink r:id="rId3" ref="E6"/>
    <hyperlink r:id="rId4" ref="E7"/>
    <hyperlink r:id="rId5" ref="E11"/>
    <hyperlink r:id="rId6" ref="E12"/>
    <hyperlink r:id="rId7" ref="E17"/>
    <hyperlink r:id="rId8" ref="E19"/>
  </hyperlinks>
  <drawing r:id="rId9"/>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9" width="12.5"/>
    <col customWidth="1" min="10" max="10" width="11.75"/>
    <col customWidth="1" min="11" max="15" width="14.5"/>
    <col customWidth="1" hidden="1" min="16" max="16" width="19.13"/>
  </cols>
  <sheetData>
    <row r="1">
      <c r="A1" s="92">
        <v>45142.0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t="s">
        <v>521</v>
      </c>
      <c r="R1" s="61" t="s">
        <v>522</v>
      </c>
      <c r="S1" s="61" t="s">
        <v>523</v>
      </c>
      <c r="T1" s="61" t="s">
        <v>524</v>
      </c>
      <c r="U1" s="61">
        <v>2024.0</v>
      </c>
      <c r="V1" s="2"/>
    </row>
    <row r="2">
      <c r="A2" s="191"/>
      <c r="B2" s="54"/>
      <c r="C2" s="4"/>
      <c r="D2" s="4"/>
      <c r="E2" s="54"/>
      <c r="F2" s="54"/>
      <c r="G2" s="54"/>
      <c r="H2" s="54"/>
      <c r="J2" s="5"/>
      <c r="K2" s="4" t="s">
        <v>525</v>
      </c>
      <c r="L2" s="4" t="s">
        <v>525</v>
      </c>
      <c r="M2" s="4" t="s">
        <v>526</v>
      </c>
      <c r="N2" s="4" t="s">
        <v>526</v>
      </c>
      <c r="O2" s="3" t="s">
        <v>527</v>
      </c>
      <c r="Q2" s="3"/>
      <c r="S2" s="7"/>
      <c r="T2" s="52"/>
      <c r="U2" s="3" t="s">
        <v>527</v>
      </c>
      <c r="V2" s="52"/>
    </row>
    <row r="3">
      <c r="A3" s="3" t="s">
        <v>528</v>
      </c>
      <c r="B3" s="4"/>
      <c r="C3" s="4" t="s">
        <v>16</v>
      </c>
      <c r="D3" s="4" t="s">
        <v>16</v>
      </c>
      <c r="E3" s="54" t="s">
        <v>152</v>
      </c>
      <c r="F3" s="54" t="s">
        <v>293</v>
      </c>
      <c r="G3" s="54" t="s">
        <v>18</v>
      </c>
      <c r="H3" s="54" t="s">
        <v>18</v>
      </c>
      <c r="I3" s="112" t="s">
        <v>416</v>
      </c>
      <c r="J3" s="112" t="s">
        <v>397</v>
      </c>
      <c r="K3" s="112">
        <v>73.0</v>
      </c>
      <c r="L3" s="112">
        <v>81.0</v>
      </c>
      <c r="M3" s="8">
        <v>93.0</v>
      </c>
      <c r="N3" s="8">
        <v>95.0</v>
      </c>
      <c r="O3" s="223">
        <f t="shared" ref="O3:O5" si="1">AVERAGE(K3:N3)</f>
        <v>85.5</v>
      </c>
      <c r="Q3" s="4">
        <v>97.0</v>
      </c>
      <c r="R3" s="4">
        <v>99.0</v>
      </c>
      <c r="S3" s="224">
        <v>101.0</v>
      </c>
      <c r="T3" s="225">
        <v>103.0</v>
      </c>
      <c r="U3" s="223">
        <f t="shared" ref="U3:U8" si="2">AVERAGE(Q3:T3)</f>
        <v>100</v>
      </c>
      <c r="V3" s="52"/>
    </row>
    <row r="4">
      <c r="A4" s="3" t="s">
        <v>529</v>
      </c>
      <c r="B4" s="4"/>
      <c r="C4" s="4" t="s">
        <v>29</v>
      </c>
      <c r="D4" s="4" t="s">
        <v>139</v>
      </c>
      <c r="E4" s="54" t="s">
        <v>199</v>
      </c>
      <c r="F4" s="54" t="s">
        <v>298</v>
      </c>
      <c r="G4" s="54" t="s">
        <v>391</v>
      </c>
      <c r="H4" s="54" t="s">
        <v>392</v>
      </c>
      <c r="I4" s="112" t="s">
        <v>410</v>
      </c>
      <c r="J4" s="112" t="s">
        <v>411</v>
      </c>
      <c r="K4" s="112">
        <v>82.0</v>
      </c>
      <c r="L4" s="112">
        <v>78.0</v>
      </c>
      <c r="M4" s="8">
        <v>82.0</v>
      </c>
      <c r="N4" s="8">
        <v>77.0</v>
      </c>
      <c r="O4" s="223">
        <f t="shared" si="1"/>
        <v>79.75</v>
      </c>
      <c r="Q4" s="5"/>
      <c r="R4" s="5"/>
      <c r="T4" s="4">
        <v>75.0</v>
      </c>
      <c r="U4" s="223">
        <f t="shared" si="2"/>
        <v>75</v>
      </c>
    </row>
    <row r="5" ht="42.0" customHeight="1">
      <c r="A5" s="136" t="s">
        <v>530</v>
      </c>
      <c r="B5" s="4"/>
      <c r="C5" s="4"/>
      <c r="D5" s="54"/>
      <c r="E5" s="54"/>
      <c r="F5" s="54"/>
      <c r="G5" s="54"/>
      <c r="H5" s="54"/>
      <c r="I5" s="112"/>
      <c r="J5" s="112"/>
      <c r="K5" s="112">
        <v>53.0</v>
      </c>
      <c r="L5" s="112">
        <v>54.0</v>
      </c>
      <c r="M5" s="8">
        <v>63.0</v>
      </c>
      <c r="N5" s="8">
        <f>N4-17</f>
        <v>60</v>
      </c>
      <c r="O5" s="223">
        <f t="shared" si="1"/>
        <v>57.5</v>
      </c>
      <c r="P5" s="3"/>
      <c r="Q5" s="5"/>
      <c r="R5" s="5"/>
      <c r="S5" s="7"/>
      <c r="T5" s="4">
        <v>58.0</v>
      </c>
      <c r="U5" s="223">
        <f t="shared" si="2"/>
        <v>58</v>
      </c>
    </row>
    <row r="6" ht="26.25" customHeight="1">
      <c r="A6" s="3" t="s">
        <v>531</v>
      </c>
      <c r="B6" s="4"/>
      <c r="C6" s="4"/>
      <c r="D6" s="54"/>
      <c r="E6" s="54"/>
      <c r="F6" s="54"/>
      <c r="G6" s="54"/>
      <c r="H6" s="54"/>
      <c r="I6" s="112"/>
      <c r="J6" s="112"/>
      <c r="K6" s="112">
        <f t="shared" ref="K6:O6" si="3">K4-K5</f>
        <v>29</v>
      </c>
      <c r="L6" s="112">
        <f t="shared" si="3"/>
        <v>24</v>
      </c>
      <c r="M6" s="175">
        <f t="shared" si="3"/>
        <v>19</v>
      </c>
      <c r="N6" s="175">
        <f t="shared" si="3"/>
        <v>17</v>
      </c>
      <c r="O6" s="223">
        <f t="shared" si="3"/>
        <v>22.25</v>
      </c>
      <c r="P6" s="3"/>
      <c r="Q6" s="4"/>
      <c r="R6" s="4"/>
      <c r="S6" s="224"/>
      <c r="T6" s="4">
        <f>T4-T5</f>
        <v>17</v>
      </c>
      <c r="U6" s="223">
        <f t="shared" si="2"/>
        <v>17</v>
      </c>
    </row>
    <row r="7" ht="26.25" customHeight="1">
      <c r="A7" s="136" t="s">
        <v>532</v>
      </c>
      <c r="B7" s="4"/>
      <c r="C7" s="4">
        <v>5.7</v>
      </c>
      <c r="D7" s="54" t="s">
        <v>144</v>
      </c>
      <c r="E7" s="54" t="s">
        <v>201</v>
      </c>
      <c r="F7" s="54" t="s">
        <v>299</v>
      </c>
      <c r="G7" s="54" t="s">
        <v>319</v>
      </c>
      <c r="H7" s="54" t="s">
        <v>304</v>
      </c>
      <c r="I7" s="112" t="s">
        <v>400</v>
      </c>
      <c r="J7" s="112" t="s">
        <v>420</v>
      </c>
      <c r="K7" s="112">
        <v>3.5</v>
      </c>
      <c r="L7" s="112">
        <v>3.3</v>
      </c>
      <c r="M7" s="8">
        <v>6.1</v>
      </c>
      <c r="N7" s="209">
        <v>7.5</v>
      </c>
      <c r="O7" s="226">
        <f t="shared" ref="O7:O8" si="4">AVERAGE(K7:N7)</f>
        <v>5.1</v>
      </c>
      <c r="P7" s="3" t="s">
        <v>533</v>
      </c>
      <c r="Q7" s="4">
        <v>7.9</v>
      </c>
      <c r="R7" s="4">
        <v>8.2</v>
      </c>
      <c r="S7" s="224">
        <v>6.8</v>
      </c>
      <c r="T7" s="4">
        <v>5.5</v>
      </c>
      <c r="U7" s="226">
        <f t="shared" si="2"/>
        <v>7.1</v>
      </c>
    </row>
    <row r="8">
      <c r="A8" s="136" t="s">
        <v>534</v>
      </c>
      <c r="B8" s="4"/>
      <c r="C8" s="4">
        <v>4.5</v>
      </c>
      <c r="D8" s="54">
        <v>5.5</v>
      </c>
      <c r="E8" s="54" t="s">
        <v>194</v>
      </c>
      <c r="F8" s="54">
        <v>8.5</v>
      </c>
      <c r="G8" s="54" t="s">
        <v>387</v>
      </c>
      <c r="H8" s="54" t="s">
        <v>387</v>
      </c>
      <c r="I8" s="207">
        <v>44780.0</v>
      </c>
      <c r="J8" s="112">
        <v>7.5</v>
      </c>
      <c r="K8" s="227">
        <v>7.5</v>
      </c>
      <c r="L8" s="227">
        <v>7.5</v>
      </c>
      <c r="M8" s="211">
        <v>9.5</v>
      </c>
      <c r="N8" s="211">
        <v>10.25</v>
      </c>
      <c r="O8" s="226">
        <f t="shared" si="4"/>
        <v>8.6875</v>
      </c>
      <c r="Q8" s="4">
        <v>12.0</v>
      </c>
      <c r="R8" s="4">
        <v>11.0</v>
      </c>
      <c r="S8" s="224">
        <v>10.0</v>
      </c>
      <c r="T8" s="4">
        <v>8.5</v>
      </c>
      <c r="U8" s="226">
        <f t="shared" si="2"/>
        <v>10.375</v>
      </c>
      <c r="X8" s="41">
        <v>0.1</v>
      </c>
      <c r="Y8" s="41">
        <v>0.3</v>
      </c>
    </row>
    <row r="9">
      <c r="E9" s="114"/>
      <c r="F9" s="115"/>
      <c r="G9" s="115"/>
      <c r="H9" s="115"/>
      <c r="I9" s="112" t="s">
        <v>406</v>
      </c>
      <c r="J9" s="112" t="s">
        <v>406</v>
      </c>
      <c r="L9" s="218" t="s">
        <v>535</v>
      </c>
      <c r="M9" s="4">
        <v>95.0</v>
      </c>
      <c r="N9" s="4">
        <v>98.0</v>
      </c>
      <c r="Q9" s="4"/>
      <c r="T9" s="55"/>
      <c r="V9" s="3" t="s">
        <v>536</v>
      </c>
      <c r="X9" s="3" t="s">
        <v>537</v>
      </c>
    </row>
    <row r="10">
      <c r="E10" s="114" t="s">
        <v>241</v>
      </c>
      <c r="F10" s="115" t="s">
        <v>242</v>
      </c>
      <c r="G10" s="115" t="s">
        <v>242</v>
      </c>
      <c r="H10" s="115" t="s">
        <v>194</v>
      </c>
      <c r="I10" s="115" t="s">
        <v>148</v>
      </c>
      <c r="L10" s="218" t="s">
        <v>469</v>
      </c>
      <c r="M10" s="4">
        <v>93.0</v>
      </c>
      <c r="N10" s="4">
        <v>94.0</v>
      </c>
      <c r="Q10" s="4"/>
      <c r="V10" s="3" t="s">
        <v>538</v>
      </c>
      <c r="W10" s="4">
        <v>0.24</v>
      </c>
      <c r="X10" s="212">
        <f t="shared" ref="X10:X14" si="5">W10*$X$8</f>
        <v>0.024</v>
      </c>
      <c r="Y10" s="212">
        <f t="shared" ref="Y10:Y14" si="6">W10*$Y$8</f>
        <v>0.072</v>
      </c>
    </row>
    <row r="11">
      <c r="A11" s="3" t="s">
        <v>47</v>
      </c>
      <c r="C11" s="4">
        <v>5.7</v>
      </c>
      <c r="D11" s="4">
        <v>6.5</v>
      </c>
      <c r="E11" s="62">
        <v>7.4</v>
      </c>
      <c r="F11" s="54">
        <v>8.1</v>
      </c>
      <c r="G11" s="54"/>
      <c r="H11" s="62"/>
      <c r="I11" s="62"/>
      <c r="J11" s="62"/>
      <c r="L11" s="218" t="s">
        <v>470</v>
      </c>
      <c r="M11" s="4">
        <v>92.0</v>
      </c>
      <c r="N11" s="4">
        <v>91.0</v>
      </c>
      <c r="Q11" s="99" t="s">
        <v>539</v>
      </c>
      <c r="R11" s="52"/>
      <c r="V11" s="99" t="s">
        <v>540</v>
      </c>
      <c r="W11" s="4">
        <v>0.055</v>
      </c>
      <c r="X11" s="212">
        <f t="shared" si="5"/>
        <v>0.0055</v>
      </c>
      <c r="Y11" s="212">
        <f t="shared" si="6"/>
        <v>0.0165</v>
      </c>
      <c r="Z11" s="49" t="s">
        <v>541</v>
      </c>
    </row>
    <row r="12">
      <c r="A12" s="3" t="s">
        <v>162</v>
      </c>
      <c r="D12" s="111" t="s">
        <v>241</v>
      </c>
      <c r="E12" s="117">
        <v>7.0</v>
      </c>
      <c r="F12" s="112">
        <v>7.3</v>
      </c>
      <c r="G12" s="112"/>
      <c r="H12" s="112"/>
      <c r="I12" s="117"/>
      <c r="J12" s="112"/>
      <c r="L12" s="218" t="s">
        <v>471</v>
      </c>
      <c r="M12" s="4">
        <v>93.0</v>
      </c>
      <c r="N12" s="4">
        <v>97.0</v>
      </c>
      <c r="Q12" s="4"/>
      <c r="R12" s="52"/>
      <c r="V12" s="3" t="s">
        <v>542</v>
      </c>
      <c r="W12" s="4">
        <v>0.1</v>
      </c>
      <c r="X12" s="212">
        <f t="shared" si="5"/>
        <v>0.01</v>
      </c>
      <c r="Y12" s="212">
        <f t="shared" si="6"/>
        <v>0.03</v>
      </c>
    </row>
    <row r="13">
      <c r="C13" s="10"/>
      <c r="D13" s="10"/>
      <c r="E13" s="10"/>
      <c r="F13" s="10"/>
      <c r="G13" s="10"/>
      <c r="H13" s="10"/>
      <c r="I13" s="10"/>
      <c r="J13" s="10"/>
      <c r="L13" s="228"/>
      <c r="M13" s="229">
        <f t="shared" ref="M13:N13" si="7">AVERAGE(M9:M12)</f>
        <v>93.25</v>
      </c>
      <c r="N13" s="229">
        <f t="shared" si="7"/>
        <v>95</v>
      </c>
      <c r="R13" s="52"/>
      <c r="V13" s="3" t="s">
        <v>543</v>
      </c>
      <c r="W13" s="4">
        <f>(0.05+0.1)/2</f>
        <v>0.075</v>
      </c>
      <c r="X13" s="212">
        <f t="shared" si="5"/>
        <v>0.0075</v>
      </c>
      <c r="Y13" s="212">
        <f t="shared" si="6"/>
        <v>0.0225</v>
      </c>
    </row>
    <row r="14">
      <c r="E14" s="118"/>
      <c r="F14" s="118"/>
      <c r="G14" s="118"/>
      <c r="H14" s="118"/>
      <c r="I14" s="118"/>
      <c r="J14" s="118"/>
      <c r="L14" s="218" t="s">
        <v>544</v>
      </c>
      <c r="M14" s="4">
        <v>9.5</v>
      </c>
      <c r="N14" s="4">
        <v>11.0</v>
      </c>
      <c r="O14" s="119"/>
      <c r="P14" s="119"/>
      <c r="R14" s="210"/>
      <c r="S14" s="157"/>
      <c r="V14" s="3" t="s">
        <v>545</v>
      </c>
      <c r="W14" s="4">
        <v>0.05</v>
      </c>
      <c r="X14" s="212">
        <f t="shared" si="5"/>
        <v>0.005</v>
      </c>
      <c r="Y14" s="212">
        <f t="shared" si="6"/>
        <v>0.015</v>
      </c>
    </row>
    <row r="15">
      <c r="E15" s="118"/>
      <c r="F15" s="118"/>
      <c r="G15" s="118"/>
      <c r="H15" s="118"/>
      <c r="I15" s="118"/>
      <c r="J15" s="118"/>
      <c r="L15" s="218" t="s">
        <v>469</v>
      </c>
      <c r="M15" s="4">
        <v>9.25</v>
      </c>
      <c r="N15" s="4">
        <v>10.0</v>
      </c>
      <c r="O15" s="119"/>
      <c r="P15" s="119"/>
      <c r="Q15" s="230" t="s">
        <v>546</v>
      </c>
      <c r="R15" s="210" t="s">
        <v>547</v>
      </c>
      <c r="S15" s="4" t="s">
        <v>548</v>
      </c>
      <c r="U15" s="210"/>
      <c r="V15" s="157"/>
    </row>
    <row r="16">
      <c r="E16" s="118"/>
      <c r="F16" s="118"/>
      <c r="G16" s="118"/>
      <c r="H16" s="118"/>
      <c r="I16" s="118"/>
      <c r="J16" s="118"/>
      <c r="L16" s="218" t="s">
        <v>470</v>
      </c>
      <c r="M16" s="4">
        <v>9.5</v>
      </c>
      <c r="N16" s="4">
        <v>10.0</v>
      </c>
      <c r="O16" s="119"/>
      <c r="P16" s="119"/>
      <c r="Q16" s="3" t="s">
        <v>549</v>
      </c>
      <c r="R16" s="4">
        <v>110.0</v>
      </c>
      <c r="S16" s="157"/>
      <c r="U16" s="210"/>
      <c r="V16" s="212"/>
    </row>
    <row r="17">
      <c r="E17" s="118"/>
      <c r="F17" s="118"/>
      <c r="G17" s="118"/>
      <c r="H17" s="118"/>
      <c r="I17" s="118"/>
      <c r="J17" s="118"/>
      <c r="L17" s="218" t="s">
        <v>471</v>
      </c>
      <c r="M17" s="4">
        <v>9.25</v>
      </c>
      <c r="N17" s="4">
        <v>10.0</v>
      </c>
      <c r="O17" s="119"/>
      <c r="P17" s="119"/>
      <c r="Q17" s="3" t="s">
        <v>81</v>
      </c>
      <c r="R17" s="4" t="s">
        <v>550</v>
      </c>
      <c r="S17" s="225">
        <v>10.5</v>
      </c>
    </row>
    <row r="18">
      <c r="E18" s="118"/>
      <c r="F18" s="118"/>
      <c r="G18" s="118"/>
      <c r="H18" s="118"/>
      <c r="I18" s="118"/>
      <c r="J18" s="118"/>
      <c r="N18" s="5">
        <f>AVERAGE(N14:N17)</f>
        <v>10.25</v>
      </c>
      <c r="O18" s="99" t="s">
        <v>551</v>
      </c>
      <c r="P18" s="119"/>
      <c r="Q18" s="3" t="s">
        <v>286</v>
      </c>
      <c r="R18" s="225" t="s">
        <v>420</v>
      </c>
      <c r="S18" s="157"/>
    </row>
    <row r="19">
      <c r="E19" s="118"/>
      <c r="F19" s="118"/>
      <c r="G19" s="118"/>
      <c r="H19" s="118"/>
      <c r="I19" s="118"/>
      <c r="J19" s="118"/>
      <c r="K19" s="119"/>
      <c r="L19" s="119"/>
      <c r="M19" s="119"/>
      <c r="N19" s="119"/>
      <c r="O19" s="119"/>
      <c r="P19" s="119"/>
      <c r="R19" s="210"/>
      <c r="S19" s="157"/>
    </row>
    <row r="20">
      <c r="A20" s="3"/>
      <c r="B20" s="12"/>
      <c r="C20" s="12"/>
      <c r="D20" s="13"/>
      <c r="E20" s="13"/>
      <c r="F20" s="13"/>
      <c r="G20" s="13"/>
      <c r="H20" s="13"/>
      <c r="I20" s="13"/>
      <c r="J20" s="13"/>
      <c r="K20" s="13"/>
      <c r="L20" s="13"/>
      <c r="M20" s="13"/>
      <c r="N20" s="13"/>
      <c r="O20" s="13"/>
      <c r="P20" s="13"/>
      <c r="Q20" s="13"/>
    </row>
  </sheetData>
  <hyperlinks>
    <hyperlink r:id="rId1" ref="Z11"/>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9" width="12.5"/>
    <col customWidth="1" min="10" max="10" width="11.75"/>
    <col customWidth="1" min="11" max="15" width="14.5"/>
    <col customWidth="1" hidden="1" min="16" max="16" width="19.13"/>
  </cols>
  <sheetData>
    <row r="1">
      <c r="A1" s="92">
        <v>45166.0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t="s">
        <v>521</v>
      </c>
      <c r="R1" s="61" t="s">
        <v>522</v>
      </c>
      <c r="S1" s="61" t="s">
        <v>523</v>
      </c>
      <c r="T1" s="61" t="s">
        <v>524</v>
      </c>
      <c r="U1" s="61">
        <v>2024.0</v>
      </c>
      <c r="V1" s="2"/>
    </row>
    <row r="2">
      <c r="A2" s="191"/>
      <c r="B2" s="54"/>
      <c r="C2" s="4"/>
      <c r="D2" s="4"/>
      <c r="E2" s="54"/>
      <c r="F2" s="54"/>
      <c r="G2" s="54"/>
      <c r="H2" s="54"/>
      <c r="J2" s="5"/>
      <c r="K2" s="4" t="s">
        <v>525</v>
      </c>
      <c r="L2" s="4" t="s">
        <v>525</v>
      </c>
      <c r="M2" s="4" t="s">
        <v>526</v>
      </c>
      <c r="N2" s="4" t="s">
        <v>526</v>
      </c>
      <c r="O2" s="3" t="s">
        <v>527</v>
      </c>
      <c r="Q2" s="3"/>
      <c r="S2" s="7"/>
      <c r="T2" s="52"/>
      <c r="U2" s="3" t="s">
        <v>527</v>
      </c>
      <c r="V2" s="52"/>
    </row>
    <row r="3">
      <c r="A3" s="3" t="s">
        <v>528</v>
      </c>
      <c r="B3" s="4"/>
      <c r="C3" s="4" t="s">
        <v>16</v>
      </c>
      <c r="D3" s="4" t="s">
        <v>16</v>
      </c>
      <c r="E3" s="54" t="s">
        <v>152</v>
      </c>
      <c r="F3" s="54" t="s">
        <v>293</v>
      </c>
      <c r="G3" s="54" t="s">
        <v>18</v>
      </c>
      <c r="H3" s="54" t="s">
        <v>18</v>
      </c>
      <c r="I3" s="112" t="s">
        <v>416</v>
      </c>
      <c r="J3" s="112" t="s">
        <v>397</v>
      </c>
      <c r="K3" s="112">
        <v>73.0</v>
      </c>
      <c r="L3" s="112">
        <v>81.0</v>
      </c>
      <c r="M3" s="8">
        <v>93.0</v>
      </c>
      <c r="N3" s="8">
        <v>98.0</v>
      </c>
      <c r="O3" s="223">
        <f t="shared" ref="O3:O5" si="1">AVERAGE(K3:N3)</f>
        <v>86.25</v>
      </c>
      <c r="Q3" s="8">
        <v>97.0</v>
      </c>
      <c r="R3" s="8">
        <v>99.0</v>
      </c>
      <c r="S3" s="231">
        <v>101.0</v>
      </c>
      <c r="T3" s="232">
        <v>103.0</v>
      </c>
      <c r="U3" s="223">
        <f t="shared" ref="U3:U8" si="2">AVERAGE(Q3:T3)</f>
        <v>100</v>
      </c>
      <c r="V3" s="52"/>
    </row>
    <row r="4">
      <c r="A4" s="3" t="s">
        <v>529</v>
      </c>
      <c r="B4" s="4"/>
      <c r="C4" s="4" t="s">
        <v>29</v>
      </c>
      <c r="D4" s="4" t="s">
        <v>139</v>
      </c>
      <c r="E4" s="54" t="s">
        <v>199</v>
      </c>
      <c r="F4" s="54" t="s">
        <v>298</v>
      </c>
      <c r="G4" s="54" t="s">
        <v>391</v>
      </c>
      <c r="H4" s="54" t="s">
        <v>392</v>
      </c>
      <c r="I4" s="112" t="s">
        <v>410</v>
      </c>
      <c r="J4" s="112" t="s">
        <v>411</v>
      </c>
      <c r="K4" s="112">
        <v>82.0</v>
      </c>
      <c r="L4" s="112">
        <v>78.0</v>
      </c>
      <c r="M4" s="8">
        <v>82.0</v>
      </c>
      <c r="N4" s="8">
        <v>77.0</v>
      </c>
      <c r="O4" s="223">
        <f t="shared" si="1"/>
        <v>79.75</v>
      </c>
      <c r="Q4" s="5"/>
      <c r="R4" s="5"/>
      <c r="T4" s="8">
        <v>75.0</v>
      </c>
      <c r="U4" s="223">
        <f t="shared" si="2"/>
        <v>75</v>
      </c>
    </row>
    <row r="5" ht="42.0" customHeight="1">
      <c r="A5" s="136" t="s">
        <v>530</v>
      </c>
      <c r="B5" s="4"/>
      <c r="C5" s="4"/>
      <c r="D5" s="54"/>
      <c r="E5" s="54"/>
      <c r="F5" s="54"/>
      <c r="G5" s="54"/>
      <c r="H5" s="54"/>
      <c r="I5" s="112"/>
      <c r="J5" s="112"/>
      <c r="K5" s="112">
        <v>53.0</v>
      </c>
      <c r="L5" s="112">
        <v>54.0</v>
      </c>
      <c r="M5" s="8">
        <v>63.0</v>
      </c>
      <c r="N5" s="8">
        <f>N4-17</f>
        <v>60</v>
      </c>
      <c r="O5" s="223">
        <f t="shared" si="1"/>
        <v>57.5</v>
      </c>
      <c r="P5" s="3"/>
      <c r="Q5" s="5"/>
      <c r="R5" s="5"/>
      <c r="S5" s="7"/>
      <c r="T5" s="4">
        <v>58.0</v>
      </c>
      <c r="U5" s="223">
        <f t="shared" si="2"/>
        <v>58</v>
      </c>
    </row>
    <row r="6" ht="26.25" customHeight="1">
      <c r="A6" s="3" t="s">
        <v>531</v>
      </c>
      <c r="B6" s="4"/>
      <c r="C6" s="4"/>
      <c r="D6" s="54"/>
      <c r="E6" s="54"/>
      <c r="F6" s="54"/>
      <c r="G6" s="54"/>
      <c r="H6" s="54"/>
      <c r="I6" s="112"/>
      <c r="J6" s="112"/>
      <c r="K6" s="112">
        <f t="shared" ref="K6:O6" si="3">K4-K5</f>
        <v>29</v>
      </c>
      <c r="L6" s="112">
        <f t="shared" si="3"/>
        <v>24</v>
      </c>
      <c r="M6" s="175">
        <f t="shared" si="3"/>
        <v>19</v>
      </c>
      <c r="N6" s="175">
        <f t="shared" si="3"/>
        <v>17</v>
      </c>
      <c r="O6" s="223">
        <f t="shared" si="3"/>
        <v>22.25</v>
      </c>
      <c r="P6" s="3"/>
      <c r="Q6" s="4"/>
      <c r="R6" s="4"/>
      <c r="S6" s="224"/>
      <c r="T6" s="4">
        <f>T4-T5</f>
        <v>17</v>
      </c>
      <c r="U6" s="223">
        <f t="shared" si="2"/>
        <v>17</v>
      </c>
    </row>
    <row r="7" ht="26.25" customHeight="1">
      <c r="A7" s="136" t="s">
        <v>532</v>
      </c>
      <c r="B7" s="4"/>
      <c r="C7" s="4">
        <v>5.7</v>
      </c>
      <c r="D7" s="54" t="s">
        <v>144</v>
      </c>
      <c r="E7" s="54" t="s">
        <v>201</v>
      </c>
      <c r="F7" s="54" t="s">
        <v>299</v>
      </c>
      <c r="G7" s="54" t="s">
        <v>319</v>
      </c>
      <c r="H7" s="54" t="s">
        <v>304</v>
      </c>
      <c r="I7" s="112" t="s">
        <v>400</v>
      </c>
      <c r="J7" s="112" t="s">
        <v>420</v>
      </c>
      <c r="K7" s="112">
        <v>3.5</v>
      </c>
      <c r="L7" s="112">
        <v>3.3</v>
      </c>
      <c r="M7" s="8">
        <v>6.1</v>
      </c>
      <c r="N7" s="209">
        <v>7.2</v>
      </c>
      <c r="O7" s="226">
        <f t="shared" ref="O7:O8" si="4">AVERAGE(K7:N7)</f>
        <v>5.025</v>
      </c>
      <c r="P7" s="3" t="s">
        <v>533</v>
      </c>
      <c r="Q7" s="8">
        <v>7.9</v>
      </c>
      <c r="R7" s="8">
        <v>8.2</v>
      </c>
      <c r="S7" s="231">
        <v>6.8</v>
      </c>
      <c r="T7" s="8">
        <v>5.5</v>
      </c>
      <c r="U7" s="226">
        <f t="shared" si="2"/>
        <v>7.1</v>
      </c>
    </row>
    <row r="8">
      <c r="A8" s="136" t="s">
        <v>534</v>
      </c>
      <c r="B8" s="4"/>
      <c r="C8" s="4">
        <v>4.5</v>
      </c>
      <c r="D8" s="54">
        <v>5.5</v>
      </c>
      <c r="E8" s="54" t="s">
        <v>194</v>
      </c>
      <c r="F8" s="54">
        <v>8.5</v>
      </c>
      <c r="G8" s="54" t="s">
        <v>387</v>
      </c>
      <c r="H8" s="54" t="s">
        <v>387</v>
      </c>
      <c r="I8" s="207">
        <v>44780.0</v>
      </c>
      <c r="J8" s="112">
        <v>7.5</v>
      </c>
      <c r="K8" s="227">
        <v>7.5</v>
      </c>
      <c r="L8" s="227">
        <v>7.5</v>
      </c>
      <c r="M8" s="211">
        <v>12.0</v>
      </c>
      <c r="N8" s="211">
        <v>12.0</v>
      </c>
      <c r="O8" s="226">
        <f t="shared" si="4"/>
        <v>9.75</v>
      </c>
      <c r="Q8" s="8">
        <v>12.0</v>
      </c>
      <c r="R8" s="8">
        <v>11.0</v>
      </c>
      <c r="S8" s="231">
        <v>10.0</v>
      </c>
      <c r="T8" s="8">
        <v>8.5</v>
      </c>
      <c r="U8" s="226">
        <f t="shared" si="2"/>
        <v>10.375</v>
      </c>
    </row>
    <row r="9">
      <c r="E9" s="114"/>
      <c r="F9" s="115"/>
      <c r="G9" s="115"/>
      <c r="H9" s="115"/>
      <c r="I9" s="112" t="s">
        <v>406</v>
      </c>
      <c r="J9" s="112" t="s">
        <v>406</v>
      </c>
      <c r="L9" s="218" t="s">
        <v>552</v>
      </c>
      <c r="M9" s="4">
        <v>94.0</v>
      </c>
      <c r="N9" s="4">
        <v>98.0</v>
      </c>
      <c r="Q9" s="4"/>
      <c r="T9" s="55"/>
    </row>
    <row r="10">
      <c r="E10" s="114" t="s">
        <v>241</v>
      </c>
      <c r="F10" s="115" t="s">
        <v>242</v>
      </c>
      <c r="G10" s="115" t="s">
        <v>242</v>
      </c>
      <c r="H10" s="115" t="s">
        <v>194</v>
      </c>
      <c r="I10" s="115" t="s">
        <v>148</v>
      </c>
      <c r="L10" s="218" t="s">
        <v>469</v>
      </c>
      <c r="M10" s="4">
        <v>93.0</v>
      </c>
      <c r="N10" s="4">
        <v>95.0</v>
      </c>
      <c r="Q10" s="4" t="s">
        <v>345</v>
      </c>
      <c r="R10" s="4" t="s">
        <v>347</v>
      </c>
      <c r="S10" s="4" t="s">
        <v>348</v>
      </c>
      <c r="T10" s="4" t="s">
        <v>62</v>
      </c>
    </row>
    <row r="11">
      <c r="A11" s="3" t="s">
        <v>47</v>
      </c>
      <c r="C11" s="4">
        <v>5.7</v>
      </c>
      <c r="D11" s="4">
        <v>6.5</v>
      </c>
      <c r="E11" s="62">
        <v>7.4</v>
      </c>
      <c r="F11" s="54">
        <v>8.1</v>
      </c>
      <c r="G11" s="54"/>
      <c r="H11" s="62"/>
      <c r="I11" s="62"/>
      <c r="J11" s="62"/>
      <c r="L11" s="218" t="s">
        <v>470</v>
      </c>
      <c r="M11" s="4">
        <v>93.0</v>
      </c>
      <c r="N11" s="4">
        <v>98.0</v>
      </c>
      <c r="Q11" s="4">
        <v>90.0</v>
      </c>
      <c r="R11" s="233">
        <v>95.3</v>
      </c>
      <c r="S11" s="24">
        <v>96.0</v>
      </c>
      <c r="T11" s="226">
        <f>AVERAGE(P11:S11)</f>
        <v>93.76666667</v>
      </c>
    </row>
    <row r="12">
      <c r="A12" s="3" t="s">
        <v>162</v>
      </c>
      <c r="D12" s="111" t="s">
        <v>241</v>
      </c>
      <c r="E12" s="117">
        <v>7.0</v>
      </c>
      <c r="F12" s="112">
        <v>7.3</v>
      </c>
      <c r="G12" s="112"/>
      <c r="H12" s="112"/>
      <c r="I12" s="117"/>
      <c r="J12" s="112"/>
      <c r="L12" s="218" t="s">
        <v>471</v>
      </c>
      <c r="M12" s="4">
        <v>93.0</v>
      </c>
      <c r="N12" s="4">
        <v>99.0</v>
      </c>
    </row>
    <row r="13">
      <c r="C13" s="10"/>
      <c r="D13" s="10"/>
      <c r="E13" s="10"/>
      <c r="F13" s="10"/>
      <c r="G13" s="10"/>
      <c r="H13" s="10"/>
      <c r="I13" s="10"/>
      <c r="J13" s="10"/>
      <c r="L13" s="228"/>
      <c r="M13" s="234">
        <f t="shared" ref="M13:N13" si="5">AVERAGE(M9:M12)</f>
        <v>93.25</v>
      </c>
      <c r="N13" s="235">
        <f t="shared" si="5"/>
        <v>97.5</v>
      </c>
      <c r="Q13" s="4" t="s">
        <v>350</v>
      </c>
      <c r="R13" s="4" t="s">
        <v>353</v>
      </c>
      <c r="S13" s="4" t="s">
        <v>355</v>
      </c>
      <c r="T13" s="4" t="s">
        <v>62</v>
      </c>
    </row>
    <row r="14">
      <c r="E14" s="118"/>
      <c r="F14" s="118"/>
      <c r="G14" s="118"/>
      <c r="H14" s="118"/>
      <c r="I14" s="118"/>
      <c r="J14" s="118"/>
      <c r="L14" s="218" t="s">
        <v>553</v>
      </c>
      <c r="M14" s="4">
        <v>12.0</v>
      </c>
      <c r="N14" s="4">
        <v>12.0</v>
      </c>
      <c r="O14" s="119"/>
      <c r="P14" s="119"/>
      <c r="Q14" s="24">
        <v>97.0</v>
      </c>
      <c r="R14" s="236">
        <v>98.0</v>
      </c>
      <c r="S14" s="24">
        <v>99.0</v>
      </c>
      <c r="T14" s="226">
        <f>AVERAGE(P14:S14)</f>
        <v>98</v>
      </c>
    </row>
    <row r="15">
      <c r="E15" s="118"/>
      <c r="F15" s="118"/>
      <c r="G15" s="118"/>
      <c r="H15" s="118"/>
      <c r="I15" s="118"/>
      <c r="J15" s="118"/>
      <c r="L15" s="218" t="s">
        <v>469</v>
      </c>
      <c r="M15" s="4">
        <v>12.0</v>
      </c>
      <c r="N15" s="4">
        <v>12.0</v>
      </c>
      <c r="O15" s="119"/>
      <c r="P15" s="119"/>
      <c r="U15" s="210"/>
      <c r="V15" s="157"/>
    </row>
    <row r="16">
      <c r="E16" s="118"/>
      <c r="F16" s="118"/>
      <c r="G16" s="118"/>
      <c r="H16" s="118"/>
      <c r="I16" s="118"/>
      <c r="J16" s="118"/>
      <c r="L16" s="218" t="s">
        <v>470</v>
      </c>
      <c r="M16" s="4">
        <v>12.0</v>
      </c>
      <c r="N16" s="4">
        <v>12.0</v>
      </c>
      <c r="O16" s="119"/>
      <c r="P16" s="119"/>
      <c r="Q16" s="230" t="s">
        <v>546</v>
      </c>
      <c r="R16" s="210" t="s">
        <v>547</v>
      </c>
      <c r="S16" s="4" t="s">
        <v>548</v>
      </c>
      <c r="T16" s="3" t="s">
        <v>554</v>
      </c>
      <c r="U16" s="210"/>
      <c r="V16" s="212"/>
    </row>
    <row r="17">
      <c r="E17" s="118"/>
      <c r="F17" s="118"/>
      <c r="G17" s="118"/>
      <c r="H17" s="118"/>
      <c r="I17" s="118"/>
      <c r="J17" s="118"/>
      <c r="L17" s="218" t="s">
        <v>471</v>
      </c>
      <c r="M17" s="4">
        <v>12.0</v>
      </c>
      <c r="N17" s="4">
        <v>11.0</v>
      </c>
      <c r="O17" s="119"/>
      <c r="P17" s="119"/>
      <c r="Q17" s="3" t="s">
        <v>549</v>
      </c>
      <c r="R17" s="4">
        <v>110.0</v>
      </c>
      <c r="S17" s="157"/>
      <c r="X17" s="41">
        <v>0.1</v>
      </c>
      <c r="Y17" s="41">
        <v>0.3</v>
      </c>
    </row>
    <row r="18">
      <c r="E18" s="118"/>
      <c r="F18" s="118"/>
      <c r="G18" s="118"/>
      <c r="H18" s="118"/>
      <c r="I18" s="118"/>
      <c r="J18" s="118"/>
      <c r="N18" s="237">
        <f>AVERAGE(N14:N17)</f>
        <v>11.75</v>
      </c>
      <c r="O18" s="99"/>
      <c r="P18" s="119"/>
      <c r="Q18" s="3" t="s">
        <v>81</v>
      </c>
      <c r="R18" s="4" t="s">
        <v>550</v>
      </c>
      <c r="S18" s="225">
        <v>10.5</v>
      </c>
      <c r="T18" s="4">
        <v>7.5</v>
      </c>
      <c r="V18" s="3" t="s">
        <v>536</v>
      </c>
      <c r="X18" s="3" t="s">
        <v>537</v>
      </c>
    </row>
    <row r="19">
      <c r="E19" s="118"/>
      <c r="F19" s="118"/>
      <c r="G19" s="118"/>
      <c r="H19" s="118"/>
      <c r="I19" s="118"/>
      <c r="J19" s="118"/>
      <c r="K19" s="119"/>
      <c r="M19" s="218" t="s">
        <v>555</v>
      </c>
      <c r="N19" s="4">
        <v>7.5</v>
      </c>
      <c r="O19" s="119"/>
      <c r="P19" s="119"/>
      <c r="Q19" s="3" t="s">
        <v>286</v>
      </c>
      <c r="R19" s="225" t="s">
        <v>556</v>
      </c>
      <c r="S19" s="157"/>
      <c r="T19" s="4">
        <v>10.5</v>
      </c>
      <c r="V19" s="3" t="s">
        <v>538</v>
      </c>
      <c r="W19" s="4">
        <v>0.24</v>
      </c>
      <c r="X19" s="212">
        <f t="shared" ref="X19:X24" si="6">W19*$X$17</f>
        <v>0.024</v>
      </c>
      <c r="Y19" s="212">
        <f t="shared" ref="Y19:Y24" si="7">W19*$Y$17</f>
        <v>0.072</v>
      </c>
    </row>
    <row r="20">
      <c r="A20" s="3"/>
      <c r="B20" s="12"/>
      <c r="C20" s="12"/>
      <c r="D20" s="13"/>
      <c r="E20" s="13"/>
      <c r="F20" s="13"/>
      <c r="G20" s="13"/>
      <c r="H20" s="13"/>
      <c r="I20" s="13"/>
      <c r="J20" s="13"/>
      <c r="K20" s="13"/>
      <c r="M20" s="218" t="s">
        <v>469</v>
      </c>
      <c r="N20" s="4">
        <v>7.2</v>
      </c>
      <c r="O20" s="13"/>
      <c r="P20" s="13"/>
      <c r="Q20" s="13"/>
      <c r="V20" s="99" t="s">
        <v>540</v>
      </c>
      <c r="W20" s="4">
        <v>0.055</v>
      </c>
      <c r="X20" s="212">
        <f t="shared" si="6"/>
        <v>0.0055</v>
      </c>
      <c r="Y20" s="212">
        <f t="shared" si="7"/>
        <v>0.0165</v>
      </c>
      <c r="Z20" s="49" t="s">
        <v>541</v>
      </c>
    </row>
    <row r="21">
      <c r="M21" s="218" t="s">
        <v>470</v>
      </c>
      <c r="N21" s="4">
        <v>6.5</v>
      </c>
      <c r="O21" s="3" t="s">
        <v>557</v>
      </c>
      <c r="V21" s="3" t="s">
        <v>542</v>
      </c>
      <c r="W21" s="4">
        <v>0.1</v>
      </c>
      <c r="X21" s="212">
        <f t="shared" si="6"/>
        <v>0.01</v>
      </c>
      <c r="Y21" s="212">
        <f t="shared" si="7"/>
        <v>0.03</v>
      </c>
    </row>
    <row r="22">
      <c r="M22" s="218" t="s">
        <v>471</v>
      </c>
      <c r="N22" s="4">
        <v>7.5</v>
      </c>
      <c r="V22" s="3" t="s">
        <v>543</v>
      </c>
      <c r="W22" s="4">
        <f>(0.05+0.1)/2</f>
        <v>0.075</v>
      </c>
      <c r="X22" s="212">
        <f t="shared" si="6"/>
        <v>0.0075</v>
      </c>
      <c r="Y22" s="212">
        <f t="shared" si="7"/>
        <v>0.0225</v>
      </c>
    </row>
    <row r="23">
      <c r="L23" s="228"/>
      <c r="M23" s="229"/>
      <c r="N23" s="234">
        <f>AVERAGE(N19:N22)</f>
        <v>7.175</v>
      </c>
      <c r="V23" s="3" t="s">
        <v>545</v>
      </c>
      <c r="W23" s="4">
        <v>0.05</v>
      </c>
      <c r="X23" s="212">
        <f t="shared" si="6"/>
        <v>0.005</v>
      </c>
      <c r="Y23" s="212">
        <f t="shared" si="7"/>
        <v>0.015</v>
      </c>
    </row>
    <row r="24">
      <c r="V24" s="3" t="s">
        <v>558</v>
      </c>
      <c r="W24" s="4">
        <v>0.2</v>
      </c>
      <c r="X24" s="212">
        <f t="shared" si="6"/>
        <v>0.02</v>
      </c>
      <c r="Y24" s="212">
        <f t="shared" si="7"/>
        <v>0.06</v>
      </c>
    </row>
  </sheetData>
  <hyperlinks>
    <hyperlink r:id="rId1" ref="Z20"/>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9" width="12.5"/>
    <col customWidth="1" min="10" max="10" width="11.75"/>
    <col customWidth="1" min="11" max="15" width="14.5"/>
    <col customWidth="1" hidden="1" min="16" max="16" width="19.13"/>
  </cols>
  <sheetData>
    <row r="1">
      <c r="A1" s="92">
        <v>45189.0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t="s">
        <v>521</v>
      </c>
      <c r="R1" s="61" t="s">
        <v>522</v>
      </c>
      <c r="S1" s="61" t="s">
        <v>523</v>
      </c>
      <c r="T1" s="61" t="s">
        <v>524</v>
      </c>
      <c r="U1" s="61">
        <v>2024.0</v>
      </c>
      <c r="V1" s="2"/>
    </row>
    <row r="2">
      <c r="A2" s="191"/>
      <c r="B2" s="54"/>
      <c r="C2" s="4"/>
      <c r="D2" s="4"/>
      <c r="E2" s="54"/>
      <c r="F2" s="54"/>
      <c r="G2" s="54"/>
      <c r="H2" s="54"/>
      <c r="J2" s="5"/>
      <c r="K2" s="4" t="s">
        <v>525</v>
      </c>
      <c r="L2" s="4" t="s">
        <v>525</v>
      </c>
      <c r="M2" s="4" t="s">
        <v>526</v>
      </c>
      <c r="N2" s="4" t="s">
        <v>526</v>
      </c>
      <c r="O2" s="3" t="s">
        <v>527</v>
      </c>
      <c r="Q2" s="3"/>
      <c r="S2" s="7"/>
      <c r="T2" s="52"/>
      <c r="U2" s="3" t="s">
        <v>527</v>
      </c>
      <c r="V2" s="52"/>
    </row>
    <row r="3">
      <c r="A3" s="3" t="s">
        <v>528</v>
      </c>
      <c r="B3" s="4"/>
      <c r="C3" s="4" t="s">
        <v>16</v>
      </c>
      <c r="D3" s="4" t="s">
        <v>16</v>
      </c>
      <c r="E3" s="54" t="s">
        <v>152</v>
      </c>
      <c r="F3" s="54" t="s">
        <v>293</v>
      </c>
      <c r="G3" s="54" t="s">
        <v>18</v>
      </c>
      <c r="H3" s="54" t="s">
        <v>18</v>
      </c>
      <c r="I3" s="112" t="s">
        <v>416</v>
      </c>
      <c r="J3" s="112" t="s">
        <v>397</v>
      </c>
      <c r="K3" s="112">
        <v>73.0</v>
      </c>
      <c r="L3" s="112">
        <v>81.0</v>
      </c>
      <c r="M3" s="8">
        <v>94.0</v>
      </c>
      <c r="N3" s="8">
        <v>98.0</v>
      </c>
      <c r="O3" s="223">
        <f t="shared" ref="O3:O5" si="1">AVERAGE(K3:N3)</f>
        <v>86.5</v>
      </c>
      <c r="Q3" s="8">
        <v>96.0</v>
      </c>
      <c r="R3" s="8">
        <v>100.0</v>
      </c>
      <c r="S3" s="231">
        <v>101.0</v>
      </c>
      <c r="T3" s="232">
        <v>103.0</v>
      </c>
      <c r="U3" s="223">
        <f t="shared" ref="U3:U8" si="2">AVERAGE(Q3:T3)</f>
        <v>100</v>
      </c>
      <c r="V3" s="52"/>
    </row>
    <row r="4">
      <c r="A4" s="3" t="s">
        <v>529</v>
      </c>
      <c r="B4" s="4"/>
      <c r="C4" s="4" t="s">
        <v>29</v>
      </c>
      <c r="D4" s="4" t="s">
        <v>139</v>
      </c>
      <c r="E4" s="54" t="s">
        <v>199</v>
      </c>
      <c r="F4" s="54" t="s">
        <v>298</v>
      </c>
      <c r="G4" s="54" t="s">
        <v>391</v>
      </c>
      <c r="H4" s="54" t="s">
        <v>392</v>
      </c>
      <c r="I4" s="112" t="s">
        <v>410</v>
      </c>
      <c r="J4" s="112" t="s">
        <v>411</v>
      </c>
      <c r="K4" s="112">
        <v>82.0</v>
      </c>
      <c r="L4" s="112">
        <v>78.0</v>
      </c>
      <c r="M4" s="8">
        <v>86.0</v>
      </c>
      <c r="N4" s="8">
        <v>93.0</v>
      </c>
      <c r="O4" s="223">
        <f t="shared" si="1"/>
        <v>84.75</v>
      </c>
      <c r="Q4" s="8">
        <v>90.0</v>
      </c>
      <c r="R4" s="8">
        <v>87.0</v>
      </c>
      <c r="S4" s="8">
        <v>84.0</v>
      </c>
      <c r="T4" s="8">
        <v>80.0</v>
      </c>
      <c r="U4" s="223">
        <f t="shared" si="2"/>
        <v>85.25</v>
      </c>
    </row>
    <row r="5" ht="42.0" customHeight="1">
      <c r="A5" s="136" t="s">
        <v>530</v>
      </c>
      <c r="B5" s="4"/>
      <c r="C5" s="4"/>
      <c r="D5" s="54"/>
      <c r="E5" s="54"/>
      <c r="F5" s="54"/>
      <c r="G5" s="54"/>
      <c r="H5" s="54"/>
      <c r="I5" s="112"/>
      <c r="J5" s="112"/>
      <c r="K5" s="112">
        <v>53.0</v>
      </c>
      <c r="L5" s="112">
        <v>54.0</v>
      </c>
      <c r="M5" s="8">
        <v>63.0</v>
      </c>
      <c r="N5" s="8">
        <v>70.0</v>
      </c>
      <c r="O5" s="223">
        <f t="shared" si="1"/>
        <v>60</v>
      </c>
      <c r="P5" s="3"/>
      <c r="Q5" s="8">
        <f t="shared" ref="Q5:T5" si="3">Q4-Q6</f>
        <v>67</v>
      </c>
      <c r="R5" s="8">
        <f t="shared" si="3"/>
        <v>65</v>
      </c>
      <c r="S5" s="8">
        <f t="shared" si="3"/>
        <v>63</v>
      </c>
      <c r="T5" s="8">
        <f t="shared" si="3"/>
        <v>60</v>
      </c>
      <c r="U5" s="223">
        <f t="shared" si="2"/>
        <v>63.75</v>
      </c>
    </row>
    <row r="6" ht="26.25" customHeight="1">
      <c r="A6" s="3" t="s">
        <v>531</v>
      </c>
      <c r="B6" s="4"/>
      <c r="C6" s="4"/>
      <c r="D6" s="54"/>
      <c r="E6" s="54"/>
      <c r="F6" s="54"/>
      <c r="G6" s="54"/>
      <c r="H6" s="54"/>
      <c r="I6" s="112"/>
      <c r="J6" s="112"/>
      <c r="K6" s="112">
        <f t="shared" ref="K6:O6" si="4">K4-K5</f>
        <v>29</v>
      </c>
      <c r="L6" s="112">
        <f t="shared" si="4"/>
        <v>24</v>
      </c>
      <c r="M6" s="175">
        <f t="shared" si="4"/>
        <v>23</v>
      </c>
      <c r="N6" s="175">
        <f t="shared" si="4"/>
        <v>23</v>
      </c>
      <c r="O6" s="223">
        <f t="shared" si="4"/>
        <v>24.75</v>
      </c>
      <c r="P6" s="3"/>
      <c r="Q6" s="175">
        <v>23.0</v>
      </c>
      <c r="R6" s="175">
        <v>22.0</v>
      </c>
      <c r="S6" s="175">
        <v>21.0</v>
      </c>
      <c r="T6" s="175">
        <v>20.0</v>
      </c>
      <c r="U6" s="223">
        <f t="shared" si="2"/>
        <v>21.5</v>
      </c>
    </row>
    <row r="7" ht="26.25" customHeight="1">
      <c r="A7" s="136" t="s">
        <v>559</v>
      </c>
      <c r="B7" s="4"/>
      <c r="C7" s="4">
        <v>5.7</v>
      </c>
      <c r="D7" s="54" t="s">
        <v>144</v>
      </c>
      <c r="E7" s="54" t="s">
        <v>201</v>
      </c>
      <c r="F7" s="54" t="s">
        <v>299</v>
      </c>
      <c r="G7" s="54" t="s">
        <v>319</v>
      </c>
      <c r="H7" s="54" t="s">
        <v>304</v>
      </c>
      <c r="I7" s="112" t="s">
        <v>400</v>
      </c>
      <c r="J7" s="112" t="s">
        <v>420</v>
      </c>
      <c r="K7" s="112">
        <v>3.5</v>
      </c>
      <c r="L7" s="112">
        <v>3.3</v>
      </c>
      <c r="M7" s="8">
        <v>5.7</v>
      </c>
      <c r="N7" s="209">
        <v>7.5</v>
      </c>
      <c r="O7" s="226">
        <f t="shared" ref="O7:O8" si="5">AVERAGE(K7:N7)</f>
        <v>5</v>
      </c>
      <c r="P7" s="3" t="s">
        <v>533</v>
      </c>
      <c r="Q7" s="8">
        <v>7.6</v>
      </c>
      <c r="R7" s="209">
        <v>8.1</v>
      </c>
      <c r="S7" s="238">
        <v>7.3</v>
      </c>
      <c r="T7" s="209">
        <v>5.5</v>
      </c>
      <c r="U7" s="226">
        <f t="shared" si="2"/>
        <v>7.125</v>
      </c>
      <c r="V7" s="3" t="s">
        <v>560</v>
      </c>
    </row>
    <row r="8">
      <c r="A8" s="136" t="s">
        <v>534</v>
      </c>
      <c r="B8" s="4"/>
      <c r="C8" s="4">
        <v>4.5</v>
      </c>
      <c r="D8" s="54">
        <v>5.5</v>
      </c>
      <c r="E8" s="54" t="s">
        <v>194</v>
      </c>
      <c r="F8" s="54">
        <v>8.5</v>
      </c>
      <c r="G8" s="54" t="s">
        <v>387</v>
      </c>
      <c r="H8" s="54" t="s">
        <v>387</v>
      </c>
      <c r="I8" s="207">
        <v>44780.0</v>
      </c>
      <c r="J8" s="112">
        <v>7.5</v>
      </c>
      <c r="K8" s="227">
        <v>7.5</v>
      </c>
      <c r="L8" s="227">
        <v>7.5</v>
      </c>
      <c r="M8" s="211">
        <v>13.0</v>
      </c>
      <c r="N8" s="211">
        <v>15.0</v>
      </c>
      <c r="O8" s="226">
        <f t="shared" si="5"/>
        <v>10.75</v>
      </c>
      <c r="Q8" s="8">
        <v>15.0</v>
      </c>
      <c r="R8" s="8">
        <v>14.0</v>
      </c>
      <c r="S8" s="231">
        <v>12.0</v>
      </c>
      <c r="T8" s="8">
        <v>10.0</v>
      </c>
      <c r="U8" s="226">
        <f t="shared" si="2"/>
        <v>12.75</v>
      </c>
      <c r="V8" s="4" t="s">
        <v>561</v>
      </c>
    </row>
    <row r="9">
      <c r="E9" s="114"/>
      <c r="F9" s="115"/>
      <c r="G9" s="115"/>
      <c r="H9" s="115"/>
      <c r="I9" s="112" t="s">
        <v>406</v>
      </c>
      <c r="J9" s="112" t="s">
        <v>406</v>
      </c>
      <c r="M9" s="218" t="s">
        <v>562</v>
      </c>
      <c r="N9" s="4">
        <v>98.0</v>
      </c>
      <c r="O9" s="218" t="s">
        <v>563</v>
      </c>
      <c r="P9" s="4">
        <v>98.0</v>
      </c>
      <c r="Q9" s="4">
        <v>96.0</v>
      </c>
      <c r="S9" s="218" t="s">
        <v>564</v>
      </c>
      <c r="T9" s="4">
        <v>5.5</v>
      </c>
      <c r="W9" s="3" t="s">
        <v>565</v>
      </c>
    </row>
    <row r="10">
      <c r="E10" s="114" t="s">
        <v>241</v>
      </c>
      <c r="F10" s="115" t="s">
        <v>242</v>
      </c>
      <c r="G10" s="115" t="s">
        <v>242</v>
      </c>
      <c r="H10" s="115" t="s">
        <v>194</v>
      </c>
      <c r="I10" s="115" t="s">
        <v>148</v>
      </c>
      <c r="M10" s="218" t="s">
        <v>469</v>
      </c>
      <c r="N10" s="4">
        <v>98.0</v>
      </c>
      <c r="O10" s="218" t="s">
        <v>469</v>
      </c>
      <c r="P10" s="4">
        <v>98.0</v>
      </c>
      <c r="Q10" s="4">
        <v>95.0</v>
      </c>
      <c r="S10" s="218" t="s">
        <v>469</v>
      </c>
      <c r="T10" s="9">
        <v>5.0</v>
      </c>
      <c r="W10" s="218" t="s">
        <v>566</v>
      </c>
      <c r="X10" s="4" t="s">
        <v>567</v>
      </c>
    </row>
    <row r="11">
      <c r="A11" s="3" t="s">
        <v>47</v>
      </c>
      <c r="C11" s="4">
        <v>5.7</v>
      </c>
      <c r="D11" s="4">
        <v>6.5</v>
      </c>
      <c r="E11" s="62">
        <v>7.4</v>
      </c>
      <c r="F11" s="54">
        <v>8.1</v>
      </c>
      <c r="G11" s="54"/>
      <c r="H11" s="62"/>
      <c r="I11" s="62"/>
      <c r="J11" s="62"/>
      <c r="M11" s="218" t="s">
        <v>470</v>
      </c>
      <c r="N11" s="4">
        <v>98.0</v>
      </c>
      <c r="O11" s="218" t="s">
        <v>470</v>
      </c>
      <c r="P11" s="4">
        <v>98.0</v>
      </c>
      <c r="Q11" s="4">
        <v>97.0</v>
      </c>
      <c r="S11" s="218" t="s">
        <v>470</v>
      </c>
      <c r="T11" s="9">
        <v>5.0</v>
      </c>
      <c r="W11" s="218" t="s">
        <v>469</v>
      </c>
      <c r="X11" s="4" t="s">
        <v>567</v>
      </c>
    </row>
    <row r="12">
      <c r="A12" s="3" t="s">
        <v>162</v>
      </c>
      <c r="D12" s="111" t="s">
        <v>241</v>
      </c>
      <c r="E12" s="117">
        <v>7.0</v>
      </c>
      <c r="F12" s="112">
        <v>7.3</v>
      </c>
      <c r="G12" s="112"/>
      <c r="H12" s="112"/>
      <c r="I12" s="117"/>
      <c r="J12" s="112"/>
      <c r="M12" s="218" t="s">
        <v>471</v>
      </c>
      <c r="N12" s="4">
        <v>99.0</v>
      </c>
      <c r="O12" s="218" t="s">
        <v>471</v>
      </c>
      <c r="P12" s="4">
        <v>99.0</v>
      </c>
      <c r="Q12" s="4">
        <v>95.0</v>
      </c>
      <c r="S12" s="218" t="s">
        <v>471</v>
      </c>
      <c r="T12" s="9">
        <v>5.0</v>
      </c>
      <c r="U12" s="3" t="s">
        <v>568</v>
      </c>
      <c r="W12" s="218" t="s">
        <v>470</v>
      </c>
      <c r="X12" s="4" t="s">
        <v>567</v>
      </c>
    </row>
    <row r="13">
      <c r="C13" s="10"/>
      <c r="D13" s="10"/>
      <c r="E13" s="10"/>
      <c r="F13" s="10"/>
      <c r="G13" s="10"/>
      <c r="H13" s="10"/>
      <c r="I13" s="10"/>
      <c r="J13" s="10"/>
      <c r="L13" s="228"/>
      <c r="M13" s="234"/>
      <c r="N13" s="235">
        <f>AVERAGE(N9:N12)</f>
        <v>98.25</v>
      </c>
      <c r="O13" s="234"/>
      <c r="P13" s="235">
        <f t="shared" ref="P13:Q13" si="6">AVERAGE(P9:P12)</f>
        <v>98.25</v>
      </c>
      <c r="Q13" s="234">
        <f t="shared" si="6"/>
        <v>95.75</v>
      </c>
      <c r="S13" s="229"/>
      <c r="T13" s="234">
        <f>AVERAGE(T9:T12)</f>
        <v>5.125</v>
      </c>
      <c r="W13" s="218" t="s">
        <v>471</v>
      </c>
      <c r="X13" s="4" t="s">
        <v>569</v>
      </c>
    </row>
    <row r="14">
      <c r="E14" s="118"/>
      <c r="F14" s="118"/>
      <c r="G14" s="118"/>
      <c r="H14" s="118"/>
      <c r="I14" s="118"/>
      <c r="J14" s="118"/>
      <c r="L14" s="218" t="s">
        <v>570</v>
      </c>
      <c r="M14" s="4"/>
      <c r="N14" s="4">
        <v>15.0</v>
      </c>
      <c r="O14" s="119"/>
      <c r="P14" s="119"/>
      <c r="Q14" s="4"/>
      <c r="T14" s="55"/>
    </row>
    <row r="15">
      <c r="E15" s="118"/>
      <c r="F15" s="118"/>
      <c r="G15" s="118"/>
      <c r="H15" s="118"/>
      <c r="I15" s="118"/>
      <c r="J15" s="118"/>
      <c r="L15" s="218" t="s">
        <v>469</v>
      </c>
      <c r="M15" s="4"/>
      <c r="N15" s="4">
        <v>15.0</v>
      </c>
      <c r="O15" s="119"/>
      <c r="P15" s="119"/>
      <c r="Q15" s="4" t="s">
        <v>345</v>
      </c>
      <c r="R15" s="4" t="s">
        <v>347</v>
      </c>
      <c r="S15" s="4" t="s">
        <v>348</v>
      </c>
      <c r="T15" s="4" t="s">
        <v>62</v>
      </c>
      <c r="U15" s="210"/>
      <c r="V15" s="157"/>
    </row>
    <row r="16">
      <c r="E16" s="118"/>
      <c r="F16" s="118"/>
      <c r="G16" s="118"/>
      <c r="H16" s="118"/>
      <c r="I16" s="118"/>
      <c r="J16" s="118"/>
      <c r="L16" s="218" t="s">
        <v>470</v>
      </c>
      <c r="M16" s="4"/>
      <c r="N16" s="4">
        <v>15.0</v>
      </c>
      <c r="O16" s="119"/>
      <c r="P16" s="119"/>
      <c r="Q16" s="4">
        <v>90.0</v>
      </c>
      <c r="R16" s="233">
        <v>95.3</v>
      </c>
      <c r="S16" s="24">
        <v>96.0</v>
      </c>
      <c r="T16" s="226">
        <f>AVERAGE(P11:S11)</f>
        <v>97.5</v>
      </c>
      <c r="U16" s="210"/>
      <c r="V16" s="212"/>
    </row>
    <row r="17">
      <c r="E17" s="118"/>
      <c r="F17" s="118"/>
      <c r="G17" s="118"/>
      <c r="H17" s="118"/>
      <c r="I17" s="118"/>
      <c r="J17" s="118"/>
      <c r="L17" s="218" t="s">
        <v>471</v>
      </c>
      <c r="M17" s="4"/>
      <c r="N17" s="4">
        <v>15.0</v>
      </c>
      <c r="O17" s="119"/>
      <c r="P17" s="119"/>
      <c r="X17" s="41">
        <v>0.1</v>
      </c>
      <c r="Y17" s="41">
        <v>0.3</v>
      </c>
    </row>
    <row r="18">
      <c r="E18" s="118"/>
      <c r="F18" s="118"/>
      <c r="G18" s="118"/>
      <c r="H18" s="118"/>
      <c r="I18" s="118"/>
      <c r="J18" s="118"/>
      <c r="N18" s="237">
        <f>AVERAGE(N14:N17)</f>
        <v>15</v>
      </c>
      <c r="O18" s="99"/>
      <c r="P18" s="119"/>
      <c r="Q18" s="4" t="s">
        <v>350</v>
      </c>
      <c r="R18" s="4" t="s">
        <v>353</v>
      </c>
      <c r="S18" s="4" t="s">
        <v>355</v>
      </c>
      <c r="T18" s="4" t="s">
        <v>62</v>
      </c>
      <c r="V18" s="3" t="s">
        <v>536</v>
      </c>
      <c r="X18" s="3" t="s">
        <v>537</v>
      </c>
    </row>
    <row r="19">
      <c r="E19" s="118"/>
      <c r="F19" s="118"/>
      <c r="G19" s="118"/>
      <c r="H19" s="118"/>
      <c r="I19" s="118"/>
      <c r="J19" s="118"/>
      <c r="K19" s="119"/>
      <c r="M19" s="218" t="s">
        <v>571</v>
      </c>
      <c r="N19" s="4">
        <v>7.5</v>
      </c>
      <c r="O19" s="119"/>
      <c r="P19" s="119"/>
      <c r="Q19" s="24">
        <v>97.0</v>
      </c>
      <c r="R19" s="236">
        <v>98.0</v>
      </c>
      <c r="S19" s="24">
        <v>99.0</v>
      </c>
      <c r="T19" s="226" t="str">
        <f>AVERAGE(P14)</f>
        <v>#DIV/0!</v>
      </c>
      <c r="V19" s="3" t="s">
        <v>538</v>
      </c>
      <c r="W19" s="4">
        <v>0.24</v>
      </c>
      <c r="X19" s="212">
        <f t="shared" ref="X19:X24" si="7">W19*$X$17</f>
        <v>0.024</v>
      </c>
      <c r="Y19" s="212">
        <f t="shared" ref="Y19:Y24" si="8">W19*$Y$17</f>
        <v>0.072</v>
      </c>
    </row>
    <row r="20">
      <c r="A20" s="3"/>
      <c r="B20" s="12"/>
      <c r="C20" s="12"/>
      <c r="D20" s="13"/>
      <c r="E20" s="13"/>
      <c r="F20" s="13"/>
      <c r="G20" s="13"/>
      <c r="H20" s="13"/>
      <c r="I20" s="13"/>
      <c r="J20" s="13"/>
      <c r="K20" s="13"/>
      <c r="M20" s="218" t="s">
        <v>469</v>
      </c>
      <c r="N20" s="4">
        <v>7.7</v>
      </c>
      <c r="O20" s="13"/>
      <c r="P20" s="13"/>
      <c r="V20" s="99" t="s">
        <v>540</v>
      </c>
      <c r="W20" s="4">
        <v>0.055</v>
      </c>
      <c r="X20" s="212">
        <f t="shared" si="7"/>
        <v>0.0055</v>
      </c>
      <c r="Y20" s="212">
        <f t="shared" si="8"/>
        <v>0.0165</v>
      </c>
      <c r="Z20" s="49" t="s">
        <v>541</v>
      </c>
    </row>
    <row r="21">
      <c r="M21" s="218" t="s">
        <v>470</v>
      </c>
      <c r="N21" s="4">
        <v>7.7</v>
      </c>
      <c r="O21" s="3" t="s">
        <v>557</v>
      </c>
      <c r="Q21" s="230" t="s">
        <v>546</v>
      </c>
      <c r="R21" s="210" t="s">
        <v>547</v>
      </c>
      <c r="S21" s="4" t="s">
        <v>548</v>
      </c>
      <c r="T21" s="3" t="s">
        <v>554</v>
      </c>
      <c r="V21" s="3" t="s">
        <v>542</v>
      </c>
      <c r="W21" s="4">
        <v>0.1</v>
      </c>
      <c r="X21" s="212">
        <f t="shared" si="7"/>
        <v>0.01</v>
      </c>
      <c r="Y21" s="212">
        <f t="shared" si="8"/>
        <v>0.03</v>
      </c>
    </row>
    <row r="22">
      <c r="M22" s="218" t="s">
        <v>471</v>
      </c>
      <c r="N22" s="4">
        <v>7.5</v>
      </c>
      <c r="O22" s="3" t="s">
        <v>572</v>
      </c>
      <c r="Q22" s="3" t="s">
        <v>549</v>
      </c>
      <c r="R22" s="4">
        <v>110.0</v>
      </c>
      <c r="S22" s="157"/>
      <c r="V22" s="3" t="s">
        <v>543</v>
      </c>
      <c r="W22" s="4">
        <f>(0.05+0.1)/2</f>
        <v>0.075</v>
      </c>
      <c r="X22" s="212">
        <f t="shared" si="7"/>
        <v>0.0075</v>
      </c>
      <c r="Y22" s="212">
        <f t="shared" si="8"/>
        <v>0.0225</v>
      </c>
    </row>
    <row r="23">
      <c r="L23" s="228"/>
      <c r="M23" s="229"/>
      <c r="N23" s="234">
        <f>AVERAGE(N19:N22)</f>
        <v>7.6</v>
      </c>
      <c r="Q23" s="3" t="s">
        <v>81</v>
      </c>
      <c r="R23" s="4" t="s">
        <v>550</v>
      </c>
      <c r="S23" s="225">
        <v>10.5</v>
      </c>
      <c r="T23" s="4">
        <v>7.5</v>
      </c>
      <c r="V23" s="3" t="s">
        <v>545</v>
      </c>
      <c r="W23" s="4">
        <v>0.05</v>
      </c>
      <c r="X23" s="212">
        <f t="shared" si="7"/>
        <v>0.005</v>
      </c>
      <c r="Y23" s="212">
        <f t="shared" si="8"/>
        <v>0.015</v>
      </c>
    </row>
    <row r="24">
      <c r="Q24" s="3" t="s">
        <v>286</v>
      </c>
      <c r="R24" s="225">
        <v>17.0</v>
      </c>
      <c r="S24" s="157"/>
      <c r="T24" s="4">
        <v>10.5</v>
      </c>
      <c r="V24" s="3" t="s">
        <v>558</v>
      </c>
      <c r="W24" s="4">
        <v>0.2</v>
      </c>
      <c r="X24" s="212">
        <f t="shared" si="7"/>
        <v>0.02</v>
      </c>
      <c r="Y24" s="212">
        <f t="shared" si="8"/>
        <v>0.06</v>
      </c>
    </row>
  </sheetData>
  <hyperlinks>
    <hyperlink r:id="rId1" ref="Z20"/>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9" width="12.5"/>
    <col customWidth="1" min="10" max="10" width="11.75"/>
    <col customWidth="1" min="11" max="15" width="14.5"/>
    <col customWidth="1" hidden="1" min="16" max="16" width="19.13"/>
  </cols>
  <sheetData>
    <row r="1">
      <c r="A1" s="92">
        <v>45231.0</v>
      </c>
      <c r="B1" s="2"/>
      <c r="C1" s="61" t="s">
        <v>0</v>
      </c>
      <c r="D1" s="61" t="s">
        <v>1</v>
      </c>
      <c r="E1" s="61" t="s">
        <v>2</v>
      </c>
      <c r="F1" s="61" t="s">
        <v>3</v>
      </c>
      <c r="G1" s="61" t="s">
        <v>4</v>
      </c>
      <c r="H1" s="61" t="s">
        <v>5</v>
      </c>
      <c r="I1" s="61" t="s">
        <v>6</v>
      </c>
      <c r="J1" s="61" t="s">
        <v>7</v>
      </c>
      <c r="K1" s="61" t="s">
        <v>395</v>
      </c>
      <c r="L1" s="61" t="s">
        <v>423</v>
      </c>
      <c r="M1" s="61" t="s">
        <v>424</v>
      </c>
      <c r="N1" s="61" t="s">
        <v>425</v>
      </c>
      <c r="O1" s="61">
        <v>2023.0</v>
      </c>
      <c r="P1" s="2" t="s">
        <v>8</v>
      </c>
      <c r="Q1" s="61" t="s">
        <v>521</v>
      </c>
      <c r="R1" s="61" t="s">
        <v>522</v>
      </c>
      <c r="S1" s="61" t="s">
        <v>523</v>
      </c>
      <c r="T1" s="61" t="s">
        <v>524</v>
      </c>
      <c r="U1" s="61">
        <v>2024.0</v>
      </c>
      <c r="V1" s="2"/>
    </row>
    <row r="2">
      <c r="A2" s="191"/>
      <c r="B2" s="54"/>
      <c r="C2" s="4"/>
      <c r="D2" s="4"/>
      <c r="E2" s="54"/>
      <c r="F2" s="54"/>
      <c r="G2" s="54"/>
      <c r="H2" s="54"/>
      <c r="J2" s="5"/>
      <c r="K2" s="4" t="s">
        <v>525</v>
      </c>
      <c r="L2" s="4" t="s">
        <v>525</v>
      </c>
      <c r="M2" s="4" t="s">
        <v>525</v>
      </c>
      <c r="N2" s="4" t="s">
        <v>526</v>
      </c>
      <c r="O2" s="3" t="s">
        <v>527</v>
      </c>
      <c r="Q2" s="3"/>
      <c r="S2" s="7"/>
      <c r="T2" s="52"/>
      <c r="U2" s="3" t="s">
        <v>527</v>
      </c>
      <c r="V2" s="52"/>
    </row>
    <row r="3">
      <c r="A3" s="3" t="s">
        <v>528</v>
      </c>
      <c r="B3" s="4"/>
      <c r="C3" s="4" t="s">
        <v>16</v>
      </c>
      <c r="D3" s="4" t="s">
        <v>16</v>
      </c>
      <c r="E3" s="54" t="s">
        <v>152</v>
      </c>
      <c r="F3" s="54" t="s">
        <v>293</v>
      </c>
      <c r="G3" s="54" t="s">
        <v>18</v>
      </c>
      <c r="H3" s="54" t="s">
        <v>18</v>
      </c>
      <c r="I3" s="112" t="s">
        <v>416</v>
      </c>
      <c r="J3" s="112" t="s">
        <v>397</v>
      </c>
      <c r="K3" s="112">
        <v>73.0</v>
      </c>
      <c r="L3" s="112">
        <v>81.0</v>
      </c>
      <c r="M3" s="239">
        <v>94.2</v>
      </c>
      <c r="N3" s="8">
        <v>95.0</v>
      </c>
      <c r="O3" s="223">
        <f t="shared" ref="O3:O5" si="1">AVERAGE(K3:N3)</f>
        <v>85.8</v>
      </c>
      <c r="Q3" s="8">
        <v>95.0</v>
      </c>
      <c r="R3" s="8">
        <v>100.0</v>
      </c>
      <c r="S3" s="231">
        <v>101.0</v>
      </c>
      <c r="T3" s="232">
        <v>103.0</v>
      </c>
      <c r="U3" s="223">
        <f t="shared" ref="U3:U8" si="2">AVERAGE(Q3:T3)</f>
        <v>99.75</v>
      </c>
      <c r="V3" s="52"/>
    </row>
    <row r="4">
      <c r="A4" s="3" t="s">
        <v>529</v>
      </c>
      <c r="B4" s="4"/>
      <c r="C4" s="4" t="s">
        <v>29</v>
      </c>
      <c r="D4" s="4" t="s">
        <v>139</v>
      </c>
      <c r="E4" s="54" t="s">
        <v>199</v>
      </c>
      <c r="F4" s="54" t="s">
        <v>298</v>
      </c>
      <c r="G4" s="54" t="s">
        <v>391</v>
      </c>
      <c r="H4" s="54" t="s">
        <v>392</v>
      </c>
      <c r="I4" s="112" t="s">
        <v>410</v>
      </c>
      <c r="J4" s="112" t="s">
        <v>411</v>
      </c>
      <c r="K4" s="112">
        <v>82.0</v>
      </c>
      <c r="L4" s="112">
        <v>78.0</v>
      </c>
      <c r="M4" s="239">
        <v>85.8</v>
      </c>
      <c r="N4" s="8">
        <v>87.0</v>
      </c>
      <c r="O4" s="223">
        <f t="shared" si="1"/>
        <v>83.2</v>
      </c>
      <c r="Q4" s="8">
        <v>90.0</v>
      </c>
      <c r="R4" s="8">
        <v>87.0</v>
      </c>
      <c r="S4" s="8">
        <v>84.0</v>
      </c>
      <c r="T4" s="8">
        <v>80.0</v>
      </c>
      <c r="U4" s="223">
        <f t="shared" si="2"/>
        <v>85.25</v>
      </c>
    </row>
    <row r="5" ht="42.0" customHeight="1">
      <c r="A5" s="136" t="s">
        <v>530</v>
      </c>
      <c r="B5" s="4"/>
      <c r="C5" s="4"/>
      <c r="D5" s="54"/>
      <c r="E5" s="54"/>
      <c r="F5" s="54"/>
      <c r="G5" s="54"/>
      <c r="H5" s="54"/>
      <c r="I5" s="112"/>
      <c r="J5" s="112"/>
      <c r="K5" s="112">
        <v>53.0</v>
      </c>
      <c r="L5" s="112">
        <v>54.0</v>
      </c>
      <c r="M5" s="239">
        <v>64.5</v>
      </c>
      <c r="N5" s="8">
        <v>73.0</v>
      </c>
      <c r="O5" s="223">
        <f t="shared" si="1"/>
        <v>61.125</v>
      </c>
      <c r="P5" s="3"/>
      <c r="Q5" s="8">
        <v>75.0</v>
      </c>
      <c r="R5" s="8">
        <v>72.0</v>
      </c>
      <c r="S5" s="8">
        <v>69.0</v>
      </c>
      <c r="T5" s="8">
        <v>65.0</v>
      </c>
      <c r="U5" s="223">
        <f t="shared" si="2"/>
        <v>70.25</v>
      </c>
    </row>
    <row r="6" ht="26.25" customHeight="1">
      <c r="A6" s="3" t="s">
        <v>531</v>
      </c>
      <c r="B6" s="4"/>
      <c r="C6" s="4"/>
      <c r="D6" s="54"/>
      <c r="E6" s="54"/>
      <c r="F6" s="54"/>
      <c r="G6" s="54"/>
      <c r="H6" s="54"/>
      <c r="I6" s="112"/>
      <c r="J6" s="112"/>
      <c r="K6" s="112">
        <f t="shared" ref="K6:O6" si="3">K4-K5</f>
        <v>29</v>
      </c>
      <c r="L6" s="112">
        <f t="shared" si="3"/>
        <v>24</v>
      </c>
      <c r="M6" s="240">
        <f t="shared" si="3"/>
        <v>21.3</v>
      </c>
      <c r="N6" s="175">
        <f t="shared" si="3"/>
        <v>14</v>
      </c>
      <c r="O6" s="223">
        <f t="shared" si="3"/>
        <v>22.075</v>
      </c>
      <c r="P6" s="3"/>
      <c r="Q6" s="175">
        <f t="shared" ref="Q6:T6" si="4">Q4-Q5</f>
        <v>15</v>
      </c>
      <c r="R6" s="175">
        <f t="shared" si="4"/>
        <v>15</v>
      </c>
      <c r="S6" s="175">
        <f t="shared" si="4"/>
        <v>15</v>
      </c>
      <c r="T6" s="175">
        <f t="shared" si="4"/>
        <v>15</v>
      </c>
      <c r="U6" s="223">
        <f t="shared" si="2"/>
        <v>15</v>
      </c>
    </row>
    <row r="7" ht="26.25" customHeight="1">
      <c r="A7" s="136" t="s">
        <v>559</v>
      </c>
      <c r="B7" s="4"/>
      <c r="C7" s="4">
        <v>5.7</v>
      </c>
      <c r="D7" s="54" t="s">
        <v>144</v>
      </c>
      <c r="E7" s="54" t="s">
        <v>201</v>
      </c>
      <c r="F7" s="54" t="s">
        <v>299</v>
      </c>
      <c r="G7" s="54">
        <v>16.7</v>
      </c>
      <c r="H7" s="54">
        <v>15.9</v>
      </c>
      <c r="I7" s="112">
        <v>13.7</v>
      </c>
      <c r="J7" s="112">
        <v>11.9</v>
      </c>
      <c r="K7" s="112">
        <v>3.5</v>
      </c>
      <c r="L7" s="112">
        <v>3.3</v>
      </c>
      <c r="M7" s="117">
        <v>6.0</v>
      </c>
      <c r="N7" s="209">
        <v>7.7</v>
      </c>
      <c r="O7" s="226">
        <f t="shared" ref="O7:O8" si="5">AVERAGE(K7:N7)</f>
        <v>5.125</v>
      </c>
      <c r="P7" s="3" t="s">
        <v>533</v>
      </c>
      <c r="Q7" s="209">
        <v>8.0</v>
      </c>
      <c r="R7" s="209">
        <v>8.3</v>
      </c>
      <c r="S7" s="238">
        <v>7.6</v>
      </c>
      <c r="T7" s="209">
        <v>6.2</v>
      </c>
      <c r="U7" s="226">
        <f t="shared" si="2"/>
        <v>7.525</v>
      </c>
      <c r="V7" s="3" t="s">
        <v>560</v>
      </c>
    </row>
    <row r="8">
      <c r="A8" s="136" t="s">
        <v>534</v>
      </c>
      <c r="B8" s="4"/>
      <c r="C8" s="4">
        <v>4.5</v>
      </c>
      <c r="D8" s="54">
        <v>5.5</v>
      </c>
      <c r="E8" s="54" t="s">
        <v>194</v>
      </c>
      <c r="F8" s="54">
        <v>8.5</v>
      </c>
      <c r="G8" s="54" t="s">
        <v>387</v>
      </c>
      <c r="H8" s="54" t="s">
        <v>387</v>
      </c>
      <c r="I8" s="207">
        <v>44780.0</v>
      </c>
      <c r="J8" s="112">
        <v>7.5</v>
      </c>
      <c r="K8" s="227">
        <v>7.5</v>
      </c>
      <c r="L8" s="227">
        <v>7.5</v>
      </c>
      <c r="M8" s="227">
        <v>13.0</v>
      </c>
      <c r="N8" s="211">
        <v>16.0</v>
      </c>
      <c r="O8" s="226">
        <f t="shared" si="5"/>
        <v>11</v>
      </c>
      <c r="Q8" s="211">
        <v>16.0</v>
      </c>
      <c r="R8" s="211">
        <v>16.0</v>
      </c>
      <c r="S8" s="241">
        <v>14.0</v>
      </c>
      <c r="T8" s="211">
        <v>12.0</v>
      </c>
      <c r="U8" s="226">
        <f t="shared" si="2"/>
        <v>14.5</v>
      </c>
      <c r="V8" s="4" t="s">
        <v>561</v>
      </c>
    </row>
    <row r="9">
      <c r="E9" s="114"/>
      <c r="F9" s="115"/>
      <c r="G9" s="115"/>
      <c r="H9" s="115"/>
      <c r="I9" s="112" t="s">
        <v>406</v>
      </c>
      <c r="J9" s="112" t="s">
        <v>406</v>
      </c>
      <c r="M9" s="218" t="s">
        <v>573</v>
      </c>
      <c r="N9" s="242">
        <v>95.0</v>
      </c>
      <c r="O9" s="218" t="s">
        <v>574</v>
      </c>
      <c r="P9" s="4">
        <v>98.0</v>
      </c>
      <c r="Q9" s="242">
        <v>95.0</v>
      </c>
      <c r="S9" s="218" t="s">
        <v>575</v>
      </c>
      <c r="T9" s="243">
        <v>6.3</v>
      </c>
      <c r="W9" s="3" t="s">
        <v>565</v>
      </c>
    </row>
    <row r="10">
      <c r="E10" s="114" t="s">
        <v>241</v>
      </c>
      <c r="F10" s="115" t="s">
        <v>242</v>
      </c>
      <c r="G10" s="115" t="s">
        <v>242</v>
      </c>
      <c r="H10" s="115" t="s">
        <v>194</v>
      </c>
      <c r="I10" s="115" t="s">
        <v>148</v>
      </c>
      <c r="M10" s="218" t="s">
        <v>469</v>
      </c>
      <c r="N10" s="242">
        <v>95.0</v>
      </c>
      <c r="O10" s="218" t="s">
        <v>469</v>
      </c>
      <c r="P10" s="4">
        <v>98.0</v>
      </c>
      <c r="Q10" s="242">
        <v>94.0</v>
      </c>
      <c r="S10" s="218" t="s">
        <v>469</v>
      </c>
      <c r="T10" s="243">
        <v>6.0</v>
      </c>
      <c r="W10" s="218" t="s">
        <v>566</v>
      </c>
      <c r="X10" s="4" t="s">
        <v>567</v>
      </c>
    </row>
    <row r="11">
      <c r="A11" s="3" t="s">
        <v>47</v>
      </c>
      <c r="C11" s="4">
        <v>5.7</v>
      </c>
      <c r="D11" s="4">
        <v>6.5</v>
      </c>
      <c r="E11" s="62">
        <v>7.4</v>
      </c>
      <c r="F11" s="54">
        <v>8.1</v>
      </c>
      <c r="G11" s="54"/>
      <c r="H11" s="62"/>
      <c r="I11" s="62"/>
      <c r="J11" s="62"/>
      <c r="M11" s="218" t="s">
        <v>470</v>
      </c>
      <c r="N11" s="242">
        <v>94.0</v>
      </c>
      <c r="O11" s="218" t="s">
        <v>470</v>
      </c>
      <c r="P11" s="4">
        <v>98.0</v>
      </c>
      <c r="Q11" s="242">
        <v>94.0</v>
      </c>
      <c r="S11" s="218" t="s">
        <v>470</v>
      </c>
      <c r="T11" s="243">
        <v>6.3</v>
      </c>
      <c r="W11" s="218" t="s">
        <v>469</v>
      </c>
      <c r="X11" s="4" t="s">
        <v>567</v>
      </c>
    </row>
    <row r="12">
      <c r="A12" s="3" t="s">
        <v>162</v>
      </c>
      <c r="D12" s="111" t="s">
        <v>241</v>
      </c>
      <c r="E12" s="117">
        <v>7.0</v>
      </c>
      <c r="F12" s="112">
        <v>7.3</v>
      </c>
      <c r="G12" s="112"/>
      <c r="H12" s="112"/>
      <c r="I12" s="117"/>
      <c r="J12" s="112"/>
      <c r="M12" s="218" t="s">
        <v>471</v>
      </c>
      <c r="N12" s="242">
        <v>95.0</v>
      </c>
      <c r="O12" s="218" t="s">
        <v>471</v>
      </c>
      <c r="P12" s="4">
        <v>99.0</v>
      </c>
      <c r="Q12" s="242">
        <v>96.0</v>
      </c>
      <c r="S12" s="218" t="s">
        <v>471</v>
      </c>
      <c r="T12" s="243">
        <v>6.0</v>
      </c>
      <c r="U12" s="3" t="s">
        <v>576</v>
      </c>
      <c r="W12" s="218" t="s">
        <v>470</v>
      </c>
      <c r="X12" s="4" t="s">
        <v>567</v>
      </c>
    </row>
    <row r="13">
      <c r="C13" s="10"/>
      <c r="D13" s="10"/>
      <c r="E13" s="10"/>
      <c r="F13" s="10"/>
      <c r="G13" s="10"/>
      <c r="H13" s="10"/>
      <c r="I13" s="10"/>
      <c r="J13" s="10"/>
      <c r="L13" s="228"/>
      <c r="M13" s="234"/>
      <c r="N13" s="235">
        <f>AVERAGE(N9:N12)</f>
        <v>94.75</v>
      </c>
      <c r="O13" s="234"/>
      <c r="P13" s="235">
        <f t="shared" ref="P13:Q13" si="6">AVERAGE(P9:P12)</f>
        <v>98.25</v>
      </c>
      <c r="Q13" s="234">
        <f t="shared" si="6"/>
        <v>94.75</v>
      </c>
      <c r="S13" s="229"/>
      <c r="T13" s="234">
        <f>AVERAGE(T9:T12)</f>
        <v>6.15</v>
      </c>
      <c r="W13" s="218" t="s">
        <v>471</v>
      </c>
      <c r="X13" s="4" t="s">
        <v>569</v>
      </c>
    </row>
    <row r="14">
      <c r="E14" s="118"/>
      <c r="F14" s="118"/>
      <c r="G14" s="118"/>
      <c r="H14" s="118"/>
      <c r="I14" s="118"/>
      <c r="J14" s="118"/>
      <c r="O14" s="119"/>
      <c r="P14" s="119"/>
      <c r="T14" s="55"/>
    </row>
    <row r="15">
      <c r="E15" s="118"/>
      <c r="F15" s="118"/>
      <c r="G15" s="118"/>
      <c r="H15" s="118"/>
      <c r="I15" s="118"/>
      <c r="J15" s="118"/>
      <c r="M15" s="218" t="s">
        <v>577</v>
      </c>
      <c r="N15" s="242">
        <v>7.7</v>
      </c>
      <c r="O15" s="119"/>
      <c r="P15" s="119"/>
      <c r="S15" s="218" t="s">
        <v>578</v>
      </c>
      <c r="T15" s="242">
        <v>12.0</v>
      </c>
      <c r="U15" s="210"/>
      <c r="V15" s="157"/>
    </row>
    <row r="16">
      <c r="E16" s="118"/>
      <c r="F16" s="118"/>
      <c r="G16" s="118"/>
      <c r="H16" s="118"/>
      <c r="I16" s="118"/>
      <c r="J16" s="118"/>
      <c r="M16" s="218" t="s">
        <v>469</v>
      </c>
      <c r="N16" s="242">
        <v>7.7</v>
      </c>
      <c r="O16" s="119"/>
      <c r="P16" s="119"/>
      <c r="S16" s="218" t="s">
        <v>469</v>
      </c>
      <c r="T16" s="242">
        <v>12.0</v>
      </c>
      <c r="V16" s="212"/>
    </row>
    <row r="17">
      <c r="E17" s="118"/>
      <c r="F17" s="118"/>
      <c r="G17" s="118"/>
      <c r="H17" s="118"/>
      <c r="I17" s="118"/>
      <c r="J17" s="118"/>
      <c r="M17" s="218" t="s">
        <v>470</v>
      </c>
      <c r="N17" s="242">
        <v>7.7</v>
      </c>
      <c r="O17" s="119"/>
      <c r="P17" s="119"/>
      <c r="S17" s="218" t="s">
        <v>470</v>
      </c>
      <c r="T17" s="242">
        <v>12.0</v>
      </c>
      <c r="Y17" s="41">
        <v>0.1</v>
      </c>
      <c r="Z17" s="41">
        <v>0.3</v>
      </c>
    </row>
    <row r="18">
      <c r="E18" s="118"/>
      <c r="F18" s="118"/>
      <c r="G18" s="118"/>
      <c r="H18" s="118"/>
      <c r="I18" s="118"/>
      <c r="J18" s="118"/>
      <c r="M18" s="218" t="s">
        <v>471</v>
      </c>
      <c r="N18" s="242">
        <v>7.5</v>
      </c>
      <c r="O18" s="99" t="s">
        <v>579</v>
      </c>
      <c r="P18" s="119"/>
      <c r="S18" s="218" t="s">
        <v>471</v>
      </c>
      <c r="T18" s="242">
        <v>12.0</v>
      </c>
      <c r="W18" s="3" t="s">
        <v>536</v>
      </c>
      <c r="Y18" s="3" t="s">
        <v>537</v>
      </c>
    </row>
    <row r="19">
      <c r="E19" s="118"/>
      <c r="F19" s="118"/>
      <c r="G19" s="118"/>
      <c r="H19" s="118"/>
      <c r="I19" s="118"/>
      <c r="J19" s="118"/>
      <c r="K19" s="119"/>
      <c r="L19" s="228"/>
      <c r="M19" s="229"/>
      <c r="N19" s="234">
        <f>AVERAGE(N15:N18)</f>
        <v>7.65</v>
      </c>
      <c r="O19" s="119"/>
      <c r="P19" s="119"/>
      <c r="T19" s="237">
        <f>AVERAGE(T15:T18)</f>
        <v>12</v>
      </c>
      <c r="W19" s="3" t="s">
        <v>538</v>
      </c>
      <c r="X19" s="4">
        <v>0.24</v>
      </c>
      <c r="Y19" s="212">
        <f t="shared" ref="Y19:Y24" si="7">X19*$Y$17</f>
        <v>0.024</v>
      </c>
      <c r="Z19" s="212">
        <f t="shared" ref="Z19:Z24" si="8">X19*$Z$17</f>
        <v>0.072</v>
      </c>
    </row>
    <row r="20">
      <c r="A20" s="3"/>
      <c r="B20" s="12"/>
      <c r="C20" s="12"/>
      <c r="D20" s="13"/>
      <c r="E20" s="13"/>
      <c r="F20" s="13"/>
      <c r="G20" s="13"/>
      <c r="H20" s="13"/>
      <c r="I20" s="13"/>
      <c r="J20" s="13"/>
      <c r="K20" s="13"/>
      <c r="O20" s="13"/>
      <c r="P20" s="13"/>
      <c r="W20" s="99" t="s">
        <v>540</v>
      </c>
      <c r="X20" s="4">
        <v>0.055</v>
      </c>
      <c r="Y20" s="212">
        <f t="shared" si="7"/>
        <v>0.0055</v>
      </c>
      <c r="Z20" s="212">
        <f t="shared" si="8"/>
        <v>0.0165</v>
      </c>
      <c r="AA20" s="49" t="s">
        <v>541</v>
      </c>
    </row>
    <row r="21">
      <c r="M21" s="218" t="s">
        <v>580</v>
      </c>
      <c r="N21" s="242">
        <v>16.0</v>
      </c>
      <c r="O21" s="3" t="s">
        <v>557</v>
      </c>
      <c r="R21" s="4" t="s">
        <v>350</v>
      </c>
      <c r="S21" s="4" t="s">
        <v>353</v>
      </c>
      <c r="T21" s="4" t="s">
        <v>355</v>
      </c>
      <c r="U21" s="4" t="s">
        <v>581</v>
      </c>
      <c r="W21" s="3" t="s">
        <v>542</v>
      </c>
      <c r="X21" s="4">
        <v>0.1</v>
      </c>
      <c r="Y21" s="212">
        <f t="shared" si="7"/>
        <v>0.01</v>
      </c>
      <c r="Z21" s="212">
        <f t="shared" si="8"/>
        <v>0.03</v>
      </c>
    </row>
    <row r="22">
      <c r="M22" s="218" t="s">
        <v>469</v>
      </c>
      <c r="N22" s="242">
        <v>16.0</v>
      </c>
      <c r="O22" s="3" t="s">
        <v>572</v>
      </c>
      <c r="Q22" s="4" t="s">
        <v>62</v>
      </c>
      <c r="R22" s="239">
        <v>97.1</v>
      </c>
      <c r="S22" s="236">
        <v>93.0</v>
      </c>
      <c r="T22" s="24">
        <v>95.0</v>
      </c>
      <c r="U22" s="226">
        <f t="shared" ref="U22:U24" si="9">AVERAGE(R22:T22)</f>
        <v>95.03333333</v>
      </c>
      <c r="W22" s="3" t="s">
        <v>543</v>
      </c>
      <c r="X22" s="4">
        <f>(0.05+0.1)/2</f>
        <v>0.075</v>
      </c>
      <c r="Y22" s="212">
        <f t="shared" si="7"/>
        <v>0.0075</v>
      </c>
      <c r="Z22" s="212">
        <f t="shared" si="8"/>
        <v>0.0225</v>
      </c>
    </row>
    <row r="23">
      <c r="M23" s="218" t="s">
        <v>470</v>
      </c>
      <c r="N23" s="242">
        <v>15.0</v>
      </c>
      <c r="Q23" s="4" t="s">
        <v>28</v>
      </c>
      <c r="R23" s="239">
        <v>91.3</v>
      </c>
      <c r="S23" s="236">
        <v>85.0</v>
      </c>
      <c r="T23" s="24">
        <v>85.0</v>
      </c>
      <c r="U23" s="226">
        <f t="shared" si="9"/>
        <v>87.1</v>
      </c>
      <c r="W23" s="3" t="s">
        <v>545</v>
      </c>
      <c r="X23" s="4">
        <v>0.05</v>
      </c>
      <c r="Y23" s="212">
        <f t="shared" si="7"/>
        <v>0.005</v>
      </c>
      <c r="Z23" s="212">
        <f t="shared" si="8"/>
        <v>0.015</v>
      </c>
    </row>
    <row r="24">
      <c r="M24" s="218" t="s">
        <v>471</v>
      </c>
      <c r="N24" s="242">
        <v>16.0</v>
      </c>
      <c r="Q24" s="4" t="s">
        <v>582</v>
      </c>
      <c r="R24" s="239">
        <v>77.2</v>
      </c>
      <c r="S24" s="236">
        <v>71.0</v>
      </c>
      <c r="T24" s="24">
        <v>71.0</v>
      </c>
      <c r="U24" s="226">
        <f t="shared" si="9"/>
        <v>73.06666667</v>
      </c>
      <c r="W24" s="3" t="s">
        <v>558</v>
      </c>
      <c r="X24" s="4">
        <v>0.2</v>
      </c>
      <c r="Y24" s="212">
        <f t="shared" si="7"/>
        <v>0.02</v>
      </c>
      <c r="Z24" s="212">
        <f t="shared" si="8"/>
        <v>0.06</v>
      </c>
    </row>
    <row r="25">
      <c r="N25" s="237">
        <f>AVERAGE(N21:N24)</f>
        <v>15.75</v>
      </c>
      <c r="Q25" s="4" t="s">
        <v>583</v>
      </c>
      <c r="R25" s="244">
        <f t="shared" ref="R25:T25" si="10">R23-R24</f>
        <v>14.1</v>
      </c>
      <c r="S25" s="5">
        <f t="shared" si="10"/>
        <v>14</v>
      </c>
      <c r="T25" s="5">
        <f t="shared" si="10"/>
        <v>14</v>
      </c>
    </row>
    <row r="27">
      <c r="Q27" s="230" t="s">
        <v>546</v>
      </c>
      <c r="R27" s="225">
        <v>2024.0</v>
      </c>
      <c r="S27" s="4"/>
    </row>
    <row r="28">
      <c r="Q28" s="3" t="s">
        <v>549</v>
      </c>
      <c r="R28" s="4">
        <v>110.0</v>
      </c>
      <c r="S28" s="157"/>
    </row>
    <row r="29">
      <c r="Q29" s="3" t="s">
        <v>81</v>
      </c>
      <c r="R29" s="99" t="s">
        <v>584</v>
      </c>
      <c r="S29" s="225"/>
      <c r="T29" s="4"/>
    </row>
    <row r="30">
      <c r="Q30" s="3" t="s">
        <v>286</v>
      </c>
      <c r="R30" s="225" t="s">
        <v>585</v>
      </c>
      <c r="S30" s="157"/>
      <c r="T30" s="4"/>
    </row>
    <row r="32">
      <c r="N32" s="31" t="s">
        <v>586</v>
      </c>
    </row>
    <row r="33">
      <c r="N33" s="3" t="s">
        <v>587</v>
      </c>
      <c r="R33" s="3" t="s">
        <v>588</v>
      </c>
    </row>
    <row r="34">
      <c r="N34" s="3" t="s">
        <v>589</v>
      </c>
      <c r="R34" s="3" t="s">
        <v>590</v>
      </c>
    </row>
    <row r="35">
      <c r="N35" s="3" t="s">
        <v>591</v>
      </c>
      <c r="R35" s="3" t="s">
        <v>592</v>
      </c>
    </row>
    <row r="36">
      <c r="N36" s="3" t="s">
        <v>593</v>
      </c>
      <c r="R36" s="3" t="s">
        <v>594</v>
      </c>
    </row>
    <row r="37">
      <c r="N37" s="3" t="s">
        <v>595</v>
      </c>
      <c r="R37" s="3" t="s">
        <v>596</v>
      </c>
    </row>
    <row r="38">
      <c r="N38" s="3" t="s">
        <v>597</v>
      </c>
      <c r="R38" s="3" t="s">
        <v>598</v>
      </c>
    </row>
    <row r="39">
      <c r="N39" s="3" t="s">
        <v>599</v>
      </c>
      <c r="R39" s="3" t="s">
        <v>600</v>
      </c>
    </row>
    <row r="41">
      <c r="N41" s="3" t="s">
        <v>601</v>
      </c>
      <c r="R41" s="3" t="s">
        <v>602</v>
      </c>
    </row>
    <row r="42">
      <c r="R42" s="3" t="s">
        <v>603</v>
      </c>
    </row>
    <row r="43">
      <c r="N43" s="3" t="s">
        <v>604</v>
      </c>
    </row>
    <row r="44">
      <c r="S44" s="3" t="s">
        <v>605</v>
      </c>
    </row>
    <row r="45">
      <c r="N45" s="3" t="s">
        <v>606</v>
      </c>
      <c r="S45" s="3" t="s">
        <v>607</v>
      </c>
    </row>
    <row r="46">
      <c r="N46" s="65">
        <f>60%*47.5</f>
        <v>28.5</v>
      </c>
      <c r="O46" s="3" t="s">
        <v>608</v>
      </c>
      <c r="S46" s="65">
        <f>60%*55</f>
        <v>33</v>
      </c>
      <c r="T46" s="3" t="s">
        <v>608</v>
      </c>
    </row>
    <row r="47">
      <c r="N47" s="65">
        <f>N46*72%</f>
        <v>20.52</v>
      </c>
      <c r="O47" s="3" t="s">
        <v>609</v>
      </c>
      <c r="S47" s="65">
        <f>S46*83%</f>
        <v>27.39</v>
      </c>
      <c r="T47" s="3" t="s">
        <v>609</v>
      </c>
    </row>
    <row r="48">
      <c r="N48" s="65">
        <f>N46-N47</f>
        <v>7.98</v>
      </c>
      <c r="O48" s="3" t="s">
        <v>610</v>
      </c>
      <c r="S48" s="65">
        <f>S46-S47</f>
        <v>5.61</v>
      </c>
      <c r="T48" s="3" t="s">
        <v>610</v>
      </c>
    </row>
    <row r="49">
      <c r="N49" s="3" t="s">
        <v>611</v>
      </c>
      <c r="R49" s="3" t="s">
        <v>612</v>
      </c>
    </row>
    <row r="50">
      <c r="N50" s="3" t="s">
        <v>613</v>
      </c>
      <c r="R50" s="3" t="s">
        <v>614</v>
      </c>
    </row>
    <row r="51">
      <c r="N51" s="3" t="s">
        <v>615</v>
      </c>
      <c r="R51" s="3" t="s">
        <v>616</v>
      </c>
    </row>
    <row r="52">
      <c r="N52" s="3" t="s">
        <v>617</v>
      </c>
      <c r="R52" s="3" t="s">
        <v>618</v>
      </c>
    </row>
    <row r="54">
      <c r="M54" s="3" t="s">
        <v>619</v>
      </c>
      <c r="N54" s="31" t="s">
        <v>620</v>
      </c>
      <c r="Q54" s="218" t="s">
        <v>619</v>
      </c>
      <c r="R54" s="31" t="s">
        <v>621</v>
      </c>
    </row>
    <row r="57">
      <c r="R57" s="3" t="s">
        <v>622</v>
      </c>
    </row>
    <row r="58">
      <c r="R58" s="3" t="s">
        <v>623</v>
      </c>
    </row>
    <row r="59">
      <c r="R59" s="3" t="s">
        <v>616</v>
      </c>
    </row>
    <row r="60">
      <c r="R60" s="3" t="s">
        <v>618</v>
      </c>
    </row>
    <row r="62">
      <c r="Q62" s="218" t="s">
        <v>619</v>
      </c>
      <c r="R62" s="31" t="s">
        <v>624</v>
      </c>
    </row>
  </sheetData>
  <hyperlinks>
    <hyperlink r:id="rId1" ref="AA20"/>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5"/>
    <col customWidth="1" min="8" max="9" width="12.5"/>
    <col customWidth="1" min="10" max="10" width="11.75"/>
    <col customWidth="1" min="11" max="15" width="14.5"/>
    <col customWidth="1" hidden="1" min="16" max="16" width="19.13"/>
  </cols>
  <sheetData>
    <row r="1">
      <c r="A1" s="92">
        <v>45252.0</v>
      </c>
      <c r="B1" s="2"/>
      <c r="C1" s="61" t="s">
        <v>0</v>
      </c>
      <c r="D1" s="61" t="s">
        <v>1</v>
      </c>
      <c r="E1" s="61" t="s">
        <v>2</v>
      </c>
      <c r="F1" s="61" t="s">
        <v>3</v>
      </c>
      <c r="G1" s="61" t="s">
        <v>4</v>
      </c>
      <c r="H1" s="61" t="s">
        <v>5</v>
      </c>
      <c r="I1" s="61" t="s">
        <v>6</v>
      </c>
      <c r="J1" s="61" t="s">
        <v>7</v>
      </c>
      <c r="K1" s="61" t="s">
        <v>625</v>
      </c>
      <c r="L1" s="61" t="s">
        <v>626</v>
      </c>
      <c r="M1" s="61" t="s">
        <v>627</v>
      </c>
      <c r="N1" s="61" t="s">
        <v>628</v>
      </c>
      <c r="O1" s="61">
        <v>2023.0</v>
      </c>
      <c r="P1" s="2" t="s">
        <v>8</v>
      </c>
      <c r="Q1" s="61" t="s">
        <v>629</v>
      </c>
      <c r="R1" s="61" t="s">
        <v>630</v>
      </c>
      <c r="S1" s="61" t="s">
        <v>631</v>
      </c>
      <c r="T1" s="61" t="s">
        <v>632</v>
      </c>
      <c r="U1" s="61">
        <v>2024.0</v>
      </c>
      <c r="V1" s="2"/>
    </row>
    <row r="2">
      <c r="A2" s="191"/>
      <c r="B2" s="54"/>
      <c r="C2" s="4"/>
      <c r="D2" s="4"/>
      <c r="E2" s="54"/>
      <c r="F2" s="54"/>
      <c r="G2" s="54"/>
      <c r="H2" s="54"/>
      <c r="J2" s="5"/>
      <c r="K2" s="4" t="s">
        <v>525</v>
      </c>
      <c r="L2" s="4" t="s">
        <v>525</v>
      </c>
      <c r="M2" s="4" t="s">
        <v>525</v>
      </c>
      <c r="N2" s="4" t="s">
        <v>526</v>
      </c>
      <c r="O2" s="3" t="s">
        <v>527</v>
      </c>
      <c r="Q2" s="3"/>
      <c r="S2" s="7"/>
      <c r="T2" s="52"/>
      <c r="U2" s="3" t="s">
        <v>527</v>
      </c>
      <c r="V2" s="52"/>
    </row>
    <row r="3">
      <c r="A3" s="245" t="s">
        <v>528</v>
      </c>
      <c r="B3" s="4"/>
      <c r="C3" s="4" t="s">
        <v>16</v>
      </c>
      <c r="D3" s="4" t="s">
        <v>16</v>
      </c>
      <c r="E3" s="54" t="s">
        <v>152</v>
      </c>
      <c r="F3" s="54" t="s">
        <v>293</v>
      </c>
      <c r="G3" s="54" t="s">
        <v>18</v>
      </c>
      <c r="H3" s="54" t="s">
        <v>18</v>
      </c>
      <c r="I3" s="112" t="s">
        <v>416</v>
      </c>
      <c r="J3" s="112" t="s">
        <v>397</v>
      </c>
      <c r="K3" s="112">
        <v>73.0</v>
      </c>
      <c r="L3" s="112">
        <v>81.0</v>
      </c>
      <c r="M3" s="246">
        <v>94.2</v>
      </c>
      <c r="N3" s="247">
        <v>91.0</v>
      </c>
      <c r="O3" s="248">
        <f t="shared" ref="O3:O5" si="1">AVERAGE(K3:N3)</f>
        <v>84.8</v>
      </c>
      <c r="P3" s="249"/>
      <c r="Q3" s="247">
        <v>85.0</v>
      </c>
      <c r="R3" s="247">
        <v>95.0</v>
      </c>
      <c r="S3" s="250">
        <v>97.0</v>
      </c>
      <c r="T3" s="251">
        <v>100.0</v>
      </c>
      <c r="U3" s="248">
        <f t="shared" ref="U3:U8" si="2">AVERAGE(Q3:T3)</f>
        <v>94.25</v>
      </c>
      <c r="V3" s="52"/>
    </row>
    <row r="4">
      <c r="A4" s="245" t="s">
        <v>529</v>
      </c>
      <c r="B4" s="4"/>
      <c r="C4" s="4" t="s">
        <v>29</v>
      </c>
      <c r="D4" s="4" t="s">
        <v>139</v>
      </c>
      <c r="E4" s="54" t="s">
        <v>199</v>
      </c>
      <c r="F4" s="54" t="s">
        <v>298</v>
      </c>
      <c r="G4" s="54" t="s">
        <v>391</v>
      </c>
      <c r="H4" s="54" t="s">
        <v>392</v>
      </c>
      <c r="I4" s="112" t="s">
        <v>410</v>
      </c>
      <c r="J4" s="112" t="s">
        <v>411</v>
      </c>
      <c r="K4" s="112">
        <v>82.0</v>
      </c>
      <c r="L4" s="112">
        <v>78.0</v>
      </c>
      <c r="M4" s="246">
        <v>85.8</v>
      </c>
      <c r="N4" s="247">
        <v>87.0</v>
      </c>
      <c r="O4" s="248">
        <f t="shared" si="1"/>
        <v>83.2</v>
      </c>
      <c r="P4" s="249"/>
      <c r="Q4" s="247">
        <v>85.0</v>
      </c>
      <c r="R4" s="247">
        <v>82.0</v>
      </c>
      <c r="S4" s="247">
        <v>79.0</v>
      </c>
      <c r="T4" s="247">
        <v>75.0</v>
      </c>
      <c r="U4" s="248">
        <f t="shared" si="2"/>
        <v>80.25</v>
      </c>
    </row>
    <row r="5" ht="42.0" customHeight="1">
      <c r="A5" s="252" t="s">
        <v>530</v>
      </c>
      <c r="B5" s="4"/>
      <c r="C5" s="4"/>
      <c r="D5" s="54"/>
      <c r="E5" s="54"/>
      <c r="F5" s="54"/>
      <c r="G5" s="54"/>
      <c r="H5" s="54"/>
      <c r="I5" s="112"/>
      <c r="J5" s="112"/>
      <c r="K5" s="112">
        <v>53.0</v>
      </c>
      <c r="L5" s="112">
        <v>54.0</v>
      </c>
      <c r="M5" s="246">
        <v>64.5</v>
      </c>
      <c r="N5" s="247">
        <v>73.0</v>
      </c>
      <c r="O5" s="248">
        <f t="shared" si="1"/>
        <v>61.125</v>
      </c>
      <c r="P5" s="253"/>
      <c r="Q5" s="247">
        <v>70.0</v>
      </c>
      <c r="R5" s="247">
        <v>67.0</v>
      </c>
      <c r="S5" s="247">
        <v>64.0</v>
      </c>
      <c r="T5" s="247">
        <v>60.0</v>
      </c>
      <c r="U5" s="248">
        <f t="shared" si="2"/>
        <v>65.25</v>
      </c>
    </row>
    <row r="6" ht="26.25" hidden="1" customHeight="1">
      <c r="A6" s="245" t="s">
        <v>531</v>
      </c>
      <c r="B6" s="4"/>
      <c r="C6" s="4"/>
      <c r="D6" s="54"/>
      <c r="E6" s="54"/>
      <c r="F6" s="54"/>
      <c r="G6" s="54"/>
      <c r="H6" s="54"/>
      <c r="I6" s="112"/>
      <c r="J6" s="112"/>
      <c r="K6" s="112">
        <f t="shared" ref="K6:O6" si="3">K4-K5</f>
        <v>29</v>
      </c>
      <c r="L6" s="112">
        <f t="shared" si="3"/>
        <v>24</v>
      </c>
      <c r="M6" s="254">
        <f t="shared" si="3"/>
        <v>21.3</v>
      </c>
      <c r="N6" s="255">
        <f t="shared" si="3"/>
        <v>14</v>
      </c>
      <c r="O6" s="248">
        <f t="shared" si="3"/>
        <v>22.075</v>
      </c>
      <c r="P6" s="253"/>
      <c r="Q6" s="255">
        <f t="shared" ref="Q6:T6" si="4">Q4-Q5</f>
        <v>15</v>
      </c>
      <c r="R6" s="255">
        <f t="shared" si="4"/>
        <v>15</v>
      </c>
      <c r="S6" s="255">
        <f t="shared" si="4"/>
        <v>15</v>
      </c>
      <c r="T6" s="255">
        <f t="shared" si="4"/>
        <v>15</v>
      </c>
      <c r="U6" s="248">
        <f t="shared" si="2"/>
        <v>15</v>
      </c>
    </row>
    <row r="7" ht="26.25" customHeight="1">
      <c r="A7" s="252" t="s">
        <v>559</v>
      </c>
      <c r="B7" s="4"/>
      <c r="C7" s="4">
        <v>5.7</v>
      </c>
      <c r="D7" s="54" t="s">
        <v>144</v>
      </c>
      <c r="E7" s="54" t="s">
        <v>201</v>
      </c>
      <c r="F7" s="54" t="s">
        <v>299</v>
      </c>
      <c r="G7" s="54">
        <v>16.7</v>
      </c>
      <c r="H7" s="54">
        <v>15.9</v>
      </c>
      <c r="I7" s="112">
        <v>13.7</v>
      </c>
      <c r="J7" s="112">
        <v>11.9</v>
      </c>
      <c r="K7" s="112">
        <v>3.5</v>
      </c>
      <c r="L7" s="112">
        <v>3.3</v>
      </c>
      <c r="M7" s="256">
        <v>6.0</v>
      </c>
      <c r="N7" s="257">
        <v>7.8</v>
      </c>
      <c r="O7" s="258">
        <f t="shared" ref="O7:O8" si="5">AVERAGE(K7:N7)</f>
        <v>5.15</v>
      </c>
      <c r="P7" s="253" t="s">
        <v>533</v>
      </c>
      <c r="Q7" s="257">
        <v>7.9</v>
      </c>
      <c r="R7" s="257">
        <v>8.2</v>
      </c>
      <c r="S7" s="259">
        <v>7.5</v>
      </c>
      <c r="T7" s="257">
        <v>6.0</v>
      </c>
      <c r="U7" s="258">
        <f t="shared" si="2"/>
        <v>7.4</v>
      </c>
    </row>
    <row r="8">
      <c r="A8" s="252" t="s">
        <v>534</v>
      </c>
      <c r="B8" s="4"/>
      <c r="C8" s="4">
        <v>4.5</v>
      </c>
      <c r="D8" s="54">
        <v>5.5</v>
      </c>
      <c r="E8" s="54" t="s">
        <v>194</v>
      </c>
      <c r="F8" s="54">
        <v>8.5</v>
      </c>
      <c r="G8" s="54" t="s">
        <v>387</v>
      </c>
      <c r="H8" s="54" t="s">
        <v>387</v>
      </c>
      <c r="I8" s="207">
        <v>44780.0</v>
      </c>
      <c r="J8" s="112">
        <v>7.5</v>
      </c>
      <c r="K8" s="227">
        <v>7.5</v>
      </c>
      <c r="L8" s="227">
        <v>7.5</v>
      </c>
      <c r="M8" s="260">
        <v>13.0</v>
      </c>
      <c r="N8" s="261">
        <v>16.0</v>
      </c>
      <c r="O8" s="258">
        <f t="shared" si="5"/>
        <v>11</v>
      </c>
      <c r="P8" s="249"/>
      <c r="Q8" s="261">
        <v>16.0</v>
      </c>
      <c r="R8" s="261">
        <v>16.0</v>
      </c>
      <c r="S8" s="262">
        <v>14.0</v>
      </c>
      <c r="T8" s="261">
        <v>12.0</v>
      </c>
      <c r="U8" s="258">
        <f t="shared" si="2"/>
        <v>14.5</v>
      </c>
      <c r="V8" s="4" t="s">
        <v>561</v>
      </c>
    </row>
    <row r="9">
      <c r="E9" s="114"/>
      <c r="F9" s="115"/>
      <c r="G9" s="115"/>
      <c r="H9" s="115"/>
      <c r="I9" s="112" t="s">
        <v>406</v>
      </c>
      <c r="J9" s="112" t="s">
        <v>406</v>
      </c>
      <c r="M9" s="218" t="s">
        <v>633</v>
      </c>
      <c r="N9" s="242"/>
      <c r="O9" s="218" t="s">
        <v>634</v>
      </c>
      <c r="P9" s="4">
        <v>98.0</v>
      </c>
      <c r="Q9" s="242"/>
      <c r="S9" s="218" t="s">
        <v>635</v>
      </c>
      <c r="T9" s="243"/>
      <c r="W9" s="3" t="s">
        <v>565</v>
      </c>
    </row>
    <row r="10">
      <c r="E10" s="114" t="s">
        <v>241</v>
      </c>
      <c r="F10" s="115" t="s">
        <v>242</v>
      </c>
      <c r="G10" s="115" t="s">
        <v>242</v>
      </c>
      <c r="H10" s="115" t="s">
        <v>194</v>
      </c>
      <c r="I10" s="115" t="s">
        <v>148</v>
      </c>
      <c r="M10" s="218" t="s">
        <v>469</v>
      </c>
      <c r="N10" s="242"/>
      <c r="O10" s="218" t="s">
        <v>469</v>
      </c>
      <c r="P10" s="4">
        <v>98.0</v>
      </c>
      <c r="Q10" s="242"/>
      <c r="S10" s="218" t="s">
        <v>469</v>
      </c>
      <c r="T10" s="243"/>
      <c r="W10" s="218" t="s">
        <v>566</v>
      </c>
      <c r="X10" s="4" t="s">
        <v>567</v>
      </c>
    </row>
    <row r="11">
      <c r="A11" s="3" t="s">
        <v>47</v>
      </c>
      <c r="C11" s="4">
        <v>5.7</v>
      </c>
      <c r="D11" s="4">
        <v>6.5</v>
      </c>
      <c r="E11" s="62">
        <v>7.4</v>
      </c>
      <c r="F11" s="54">
        <v>8.1</v>
      </c>
      <c r="G11" s="54"/>
      <c r="H11" s="62"/>
      <c r="I11" s="62"/>
      <c r="J11" s="62"/>
      <c r="M11" s="218" t="s">
        <v>470</v>
      </c>
      <c r="N11" s="242"/>
      <c r="O11" s="218" t="s">
        <v>470</v>
      </c>
      <c r="P11" s="4">
        <v>98.0</v>
      </c>
      <c r="Q11" s="242"/>
      <c r="S11" s="218" t="s">
        <v>470</v>
      </c>
      <c r="T11" s="243"/>
      <c r="W11" s="218" t="s">
        <v>469</v>
      </c>
      <c r="X11" s="4" t="s">
        <v>567</v>
      </c>
    </row>
    <row r="12">
      <c r="A12" s="3" t="s">
        <v>162</v>
      </c>
      <c r="D12" s="111" t="s">
        <v>241</v>
      </c>
      <c r="E12" s="117">
        <v>7.0</v>
      </c>
      <c r="F12" s="112">
        <v>7.3</v>
      </c>
      <c r="G12" s="112"/>
      <c r="H12" s="112"/>
      <c r="I12" s="117"/>
      <c r="J12" s="112"/>
      <c r="M12" s="218"/>
      <c r="N12" s="242"/>
      <c r="O12" s="218"/>
      <c r="P12" s="4"/>
      <c r="Q12" s="242"/>
      <c r="S12" s="218"/>
      <c r="T12" s="243"/>
      <c r="U12" s="3" t="s">
        <v>576</v>
      </c>
      <c r="W12" s="218" t="s">
        <v>470</v>
      </c>
      <c r="X12" s="4" t="s">
        <v>567</v>
      </c>
    </row>
    <row r="13">
      <c r="C13" s="10"/>
      <c r="D13" s="10"/>
      <c r="E13" s="10"/>
      <c r="F13" s="10"/>
      <c r="G13" s="10"/>
      <c r="H13" s="10"/>
      <c r="I13" s="10"/>
      <c r="J13" s="10"/>
      <c r="L13" s="228"/>
      <c r="M13" s="234"/>
      <c r="N13" s="235" t="str">
        <f>AVERAGE(N9:N12)</f>
        <v>#DIV/0!</v>
      </c>
      <c r="O13" s="234"/>
      <c r="P13" s="235">
        <f t="shared" ref="P13:Q13" si="6">AVERAGE(P9:P12)</f>
        <v>98</v>
      </c>
      <c r="Q13" s="234" t="str">
        <f t="shared" si="6"/>
        <v>#DIV/0!</v>
      </c>
      <c r="S13" s="229"/>
      <c r="T13" s="234" t="str">
        <f>AVERAGE(T9:T12)</f>
        <v>#DIV/0!</v>
      </c>
      <c r="W13" s="218" t="s">
        <v>471</v>
      </c>
      <c r="X13" s="4" t="s">
        <v>569</v>
      </c>
    </row>
    <row r="14">
      <c r="E14" s="118"/>
      <c r="F14" s="118"/>
      <c r="G14" s="118"/>
      <c r="H14" s="118"/>
      <c r="I14" s="118"/>
      <c r="J14" s="118"/>
      <c r="O14" s="119"/>
      <c r="P14" s="119"/>
      <c r="T14" s="55"/>
    </row>
    <row r="15">
      <c r="E15" s="118"/>
      <c r="F15" s="118"/>
      <c r="G15" s="118"/>
      <c r="H15" s="118"/>
      <c r="I15" s="118"/>
      <c r="J15" s="118"/>
      <c r="M15" s="218" t="s">
        <v>636</v>
      </c>
      <c r="N15" s="242"/>
      <c r="O15" s="119"/>
      <c r="P15" s="119"/>
      <c r="S15" s="218" t="s">
        <v>637</v>
      </c>
      <c r="T15" s="242"/>
      <c r="U15" s="210"/>
      <c r="V15" s="157"/>
    </row>
    <row r="16">
      <c r="E16" s="118"/>
      <c r="F16" s="118"/>
      <c r="G16" s="118"/>
      <c r="H16" s="118"/>
      <c r="I16" s="118"/>
      <c r="J16" s="118"/>
      <c r="M16" s="218" t="s">
        <v>469</v>
      </c>
      <c r="N16" s="242"/>
      <c r="O16" s="119"/>
      <c r="P16" s="119"/>
      <c r="S16" s="218" t="s">
        <v>469</v>
      </c>
      <c r="T16" s="242"/>
      <c r="V16" s="212"/>
    </row>
    <row r="17">
      <c r="E17" s="118"/>
      <c r="F17" s="118"/>
      <c r="G17" s="118"/>
      <c r="H17" s="118"/>
      <c r="I17" s="118"/>
      <c r="J17" s="118"/>
      <c r="M17" s="218" t="s">
        <v>470</v>
      </c>
      <c r="N17" s="242"/>
      <c r="O17" s="119"/>
      <c r="P17" s="119"/>
      <c r="S17" s="218" t="s">
        <v>470</v>
      </c>
      <c r="T17" s="242"/>
      <c r="Y17" s="41">
        <v>0.1</v>
      </c>
      <c r="Z17" s="41">
        <v>0.3</v>
      </c>
    </row>
    <row r="18">
      <c r="E18" s="118"/>
      <c r="F18" s="118"/>
      <c r="G18" s="118"/>
      <c r="H18" s="118"/>
      <c r="I18" s="118"/>
      <c r="J18" s="118"/>
      <c r="M18" s="218"/>
      <c r="N18" s="242"/>
      <c r="O18" s="99" t="s">
        <v>579</v>
      </c>
      <c r="P18" s="119"/>
      <c r="S18" s="218"/>
      <c r="T18" s="242"/>
      <c r="W18" s="3" t="s">
        <v>536</v>
      </c>
      <c r="Y18" s="3" t="s">
        <v>537</v>
      </c>
    </row>
    <row r="19">
      <c r="E19" s="118"/>
      <c r="F19" s="118"/>
      <c r="G19" s="118"/>
      <c r="H19" s="118"/>
      <c r="I19" s="118"/>
      <c r="J19" s="118"/>
      <c r="K19" s="119"/>
      <c r="L19" s="228"/>
      <c r="M19" s="229"/>
      <c r="N19" s="234" t="str">
        <f>AVERAGE(N15:N18)</f>
        <v>#DIV/0!</v>
      </c>
      <c r="O19" s="119"/>
      <c r="P19" s="119"/>
      <c r="T19" s="237" t="str">
        <f>AVERAGE(T15:T18)</f>
        <v>#DIV/0!</v>
      </c>
      <c r="W19" s="3" t="s">
        <v>538</v>
      </c>
      <c r="X19" s="4">
        <v>0.24</v>
      </c>
      <c r="Y19" s="212">
        <f t="shared" ref="Y19:Y24" si="7">X19*$Y$17</f>
        <v>0.024</v>
      </c>
      <c r="Z19" s="212">
        <f t="shared" ref="Z19:Z24" si="8">X19*$Z$17</f>
        <v>0.072</v>
      </c>
    </row>
    <row r="20">
      <c r="A20" s="3"/>
      <c r="B20" s="12"/>
      <c r="C20" s="12"/>
      <c r="D20" s="13"/>
      <c r="E20" s="13"/>
      <c r="F20" s="13"/>
      <c r="G20" s="13"/>
      <c r="H20" s="13"/>
      <c r="I20" s="13"/>
      <c r="J20" s="13"/>
      <c r="K20" s="13"/>
      <c r="O20" s="13"/>
      <c r="P20" s="13"/>
      <c r="W20" s="99" t="s">
        <v>540</v>
      </c>
      <c r="X20" s="4">
        <v>0.055</v>
      </c>
      <c r="Y20" s="212">
        <f t="shared" si="7"/>
        <v>0.0055</v>
      </c>
      <c r="Z20" s="212">
        <f t="shared" si="8"/>
        <v>0.0165</v>
      </c>
      <c r="AA20" s="49" t="s">
        <v>541</v>
      </c>
    </row>
    <row r="21">
      <c r="M21" s="218" t="s">
        <v>638</v>
      </c>
      <c r="N21" s="242"/>
      <c r="O21" s="3" t="s">
        <v>557</v>
      </c>
      <c r="R21" s="4" t="s">
        <v>350</v>
      </c>
      <c r="S21" s="4" t="s">
        <v>353</v>
      </c>
      <c r="T21" s="4" t="s">
        <v>355</v>
      </c>
      <c r="U21" s="4" t="s">
        <v>581</v>
      </c>
      <c r="W21" s="3" t="s">
        <v>542</v>
      </c>
      <c r="X21" s="4">
        <v>0.1</v>
      </c>
      <c r="Y21" s="212">
        <f t="shared" si="7"/>
        <v>0.01</v>
      </c>
      <c r="Z21" s="212">
        <f t="shared" si="8"/>
        <v>0.03</v>
      </c>
    </row>
    <row r="22">
      <c r="M22" s="218" t="s">
        <v>469</v>
      </c>
      <c r="N22" s="242"/>
      <c r="O22" s="3" t="s">
        <v>572</v>
      </c>
      <c r="Q22" s="4" t="s">
        <v>62</v>
      </c>
      <c r="R22" s="239">
        <v>97.1</v>
      </c>
      <c r="S22" s="236">
        <v>90.0</v>
      </c>
      <c r="T22" s="24">
        <v>85.0</v>
      </c>
      <c r="U22" s="226">
        <f t="shared" ref="U22:U24" si="9">AVERAGE(R22:T22)</f>
        <v>90.7</v>
      </c>
      <c r="W22" s="3" t="s">
        <v>543</v>
      </c>
      <c r="X22" s="4">
        <f>(0.05+0.1)/2</f>
        <v>0.075</v>
      </c>
      <c r="Y22" s="212">
        <f t="shared" si="7"/>
        <v>0.0075</v>
      </c>
      <c r="Z22" s="212">
        <f t="shared" si="8"/>
        <v>0.0225</v>
      </c>
    </row>
    <row r="23">
      <c r="M23" s="218" t="s">
        <v>470</v>
      </c>
      <c r="N23" s="242"/>
      <c r="Q23" s="4" t="s">
        <v>28</v>
      </c>
      <c r="R23" s="239">
        <v>91.3</v>
      </c>
      <c r="S23" s="236">
        <v>85.0</v>
      </c>
      <c r="T23" s="24">
        <v>85.0</v>
      </c>
      <c r="U23" s="226">
        <f t="shared" si="9"/>
        <v>87.1</v>
      </c>
      <c r="W23" s="3" t="s">
        <v>545</v>
      </c>
      <c r="X23" s="4">
        <v>0.05</v>
      </c>
      <c r="Y23" s="212">
        <f t="shared" si="7"/>
        <v>0.005</v>
      </c>
      <c r="Z23" s="212">
        <f t="shared" si="8"/>
        <v>0.015</v>
      </c>
    </row>
    <row r="24">
      <c r="M24" s="218"/>
      <c r="N24" s="242"/>
      <c r="Q24" s="4" t="s">
        <v>582</v>
      </c>
      <c r="R24" s="239">
        <v>77.2</v>
      </c>
      <c r="S24" s="236">
        <v>71.0</v>
      </c>
      <c r="T24" s="24">
        <v>71.0</v>
      </c>
      <c r="U24" s="226">
        <f t="shared" si="9"/>
        <v>73.06666667</v>
      </c>
      <c r="W24" s="3" t="s">
        <v>558</v>
      </c>
      <c r="X24" s="4">
        <v>0.2</v>
      </c>
      <c r="Y24" s="212">
        <f t="shared" si="7"/>
        <v>0.02</v>
      </c>
      <c r="Z24" s="212">
        <f t="shared" si="8"/>
        <v>0.06</v>
      </c>
    </row>
    <row r="25">
      <c r="N25" s="237" t="str">
        <f>AVERAGE(N21:N24)</f>
        <v>#DIV/0!</v>
      </c>
      <c r="Q25" s="4" t="s">
        <v>583</v>
      </c>
      <c r="R25" s="244">
        <f t="shared" ref="R25:T25" si="10">R23-R24</f>
        <v>14.1</v>
      </c>
      <c r="S25" s="5">
        <f t="shared" si="10"/>
        <v>14</v>
      </c>
      <c r="T25" s="5">
        <f t="shared" si="10"/>
        <v>14</v>
      </c>
    </row>
    <row r="27">
      <c r="Q27" s="230" t="s">
        <v>546</v>
      </c>
      <c r="R27" s="225">
        <v>2024.0</v>
      </c>
      <c r="S27" s="4"/>
    </row>
    <row r="28">
      <c r="Q28" s="3" t="s">
        <v>549</v>
      </c>
      <c r="R28" s="4">
        <v>110.0</v>
      </c>
      <c r="S28" s="157"/>
    </row>
    <row r="29">
      <c r="Q29" s="3" t="s">
        <v>81</v>
      </c>
      <c r="R29" s="99" t="s">
        <v>584</v>
      </c>
      <c r="S29" s="225"/>
      <c r="T29" s="4"/>
    </row>
    <row r="30">
      <c r="Q30" s="3" t="s">
        <v>286</v>
      </c>
      <c r="R30" s="225" t="s">
        <v>585</v>
      </c>
      <c r="S30" s="157"/>
      <c r="T30" s="4"/>
    </row>
    <row r="32">
      <c r="N32" s="31" t="s">
        <v>586</v>
      </c>
    </row>
    <row r="33">
      <c r="N33" s="3" t="s">
        <v>587</v>
      </c>
      <c r="R33" s="3" t="s">
        <v>588</v>
      </c>
    </row>
    <row r="34">
      <c r="N34" s="3" t="s">
        <v>589</v>
      </c>
      <c r="R34" s="3" t="s">
        <v>590</v>
      </c>
    </row>
    <row r="35">
      <c r="N35" s="3" t="s">
        <v>591</v>
      </c>
      <c r="R35" s="3" t="s">
        <v>592</v>
      </c>
    </row>
    <row r="36">
      <c r="N36" s="3" t="s">
        <v>593</v>
      </c>
      <c r="R36" s="3" t="s">
        <v>594</v>
      </c>
    </row>
    <row r="37">
      <c r="N37" s="3" t="s">
        <v>595</v>
      </c>
      <c r="R37" s="3" t="s">
        <v>596</v>
      </c>
    </row>
    <row r="38">
      <c r="N38" s="3" t="s">
        <v>597</v>
      </c>
      <c r="R38" s="3" t="s">
        <v>598</v>
      </c>
    </row>
    <row r="39">
      <c r="N39" s="3" t="s">
        <v>599</v>
      </c>
      <c r="R39" s="3" t="s">
        <v>600</v>
      </c>
    </row>
    <row r="41">
      <c r="N41" s="3" t="s">
        <v>601</v>
      </c>
      <c r="R41" s="3" t="s">
        <v>602</v>
      </c>
    </row>
    <row r="42">
      <c r="R42" s="3" t="s">
        <v>603</v>
      </c>
    </row>
    <row r="43">
      <c r="N43" s="3" t="s">
        <v>604</v>
      </c>
    </row>
    <row r="44">
      <c r="S44" s="3" t="s">
        <v>605</v>
      </c>
    </row>
    <row r="45">
      <c r="N45" s="3" t="s">
        <v>606</v>
      </c>
      <c r="S45" s="3" t="s">
        <v>607</v>
      </c>
    </row>
    <row r="46">
      <c r="N46" s="65">
        <f>60%*47.5</f>
        <v>28.5</v>
      </c>
      <c r="O46" s="3" t="s">
        <v>608</v>
      </c>
      <c r="S46" s="65">
        <f>60%*55</f>
        <v>33</v>
      </c>
      <c r="T46" s="3" t="s">
        <v>608</v>
      </c>
    </row>
    <row r="47">
      <c r="N47" s="65">
        <f>N46*72%</f>
        <v>20.52</v>
      </c>
      <c r="O47" s="3" t="s">
        <v>609</v>
      </c>
      <c r="S47" s="65">
        <f>S46*83%</f>
        <v>27.39</v>
      </c>
      <c r="T47" s="3" t="s">
        <v>609</v>
      </c>
    </row>
    <row r="48">
      <c r="N48" s="65">
        <f>N46-N47</f>
        <v>7.98</v>
      </c>
      <c r="O48" s="3" t="s">
        <v>610</v>
      </c>
      <c r="S48" s="65">
        <f>S46-S47</f>
        <v>5.61</v>
      </c>
      <c r="T48" s="3" t="s">
        <v>610</v>
      </c>
    </row>
    <row r="49">
      <c r="N49" s="3" t="s">
        <v>639</v>
      </c>
      <c r="R49" s="3" t="s">
        <v>640</v>
      </c>
    </row>
    <row r="50">
      <c r="N50" s="3" t="s">
        <v>613</v>
      </c>
      <c r="R50" s="3" t="s">
        <v>614</v>
      </c>
    </row>
    <row r="51">
      <c r="N51" s="3" t="s">
        <v>615</v>
      </c>
      <c r="R51" s="3" t="s">
        <v>616</v>
      </c>
    </row>
    <row r="52">
      <c r="N52" s="3" t="s">
        <v>617</v>
      </c>
      <c r="R52" s="3" t="s">
        <v>618</v>
      </c>
    </row>
    <row r="54">
      <c r="M54" s="3" t="s">
        <v>619</v>
      </c>
      <c r="N54" s="31" t="s">
        <v>620</v>
      </c>
      <c r="Q54" s="218" t="s">
        <v>619</v>
      </c>
      <c r="R54" s="31" t="s">
        <v>621</v>
      </c>
    </row>
    <row r="57">
      <c r="R57" s="3" t="s">
        <v>641</v>
      </c>
    </row>
    <row r="58">
      <c r="R58" s="3" t="s">
        <v>623</v>
      </c>
    </row>
    <row r="59">
      <c r="R59" s="3" t="s">
        <v>616</v>
      </c>
    </row>
    <row r="60">
      <c r="R60" s="3" t="s">
        <v>618</v>
      </c>
    </row>
    <row r="62">
      <c r="Q62" s="218" t="s">
        <v>619</v>
      </c>
      <c r="R62" s="31" t="s">
        <v>624</v>
      </c>
    </row>
  </sheetData>
  <hyperlinks>
    <hyperlink r:id="rId1" ref="AA20"/>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customWidth="1" min="8" max="9" width="12.5"/>
    <col customWidth="1" min="10" max="10" width="11.75"/>
    <col customWidth="1" min="11" max="15" width="14.5"/>
    <col customWidth="1" hidden="1" min="16" max="16" width="19.13"/>
  </cols>
  <sheetData>
    <row r="1">
      <c r="A1" s="92">
        <v>45282.0</v>
      </c>
      <c r="B1" s="2"/>
      <c r="C1" s="61" t="s">
        <v>0</v>
      </c>
      <c r="D1" s="61" t="s">
        <v>1</v>
      </c>
      <c r="E1" s="61" t="s">
        <v>2</v>
      </c>
      <c r="F1" s="61" t="s">
        <v>3</v>
      </c>
      <c r="G1" s="61" t="s">
        <v>4</v>
      </c>
      <c r="H1" s="61" t="s">
        <v>5</v>
      </c>
      <c r="I1" s="61" t="s">
        <v>6</v>
      </c>
      <c r="J1" s="61" t="s">
        <v>7</v>
      </c>
      <c r="K1" s="61" t="s">
        <v>625</v>
      </c>
      <c r="L1" s="61" t="s">
        <v>626</v>
      </c>
      <c r="M1" s="61" t="s">
        <v>627</v>
      </c>
      <c r="N1" s="61" t="s">
        <v>628</v>
      </c>
      <c r="O1" s="61">
        <v>2023.0</v>
      </c>
      <c r="P1" s="2" t="s">
        <v>8</v>
      </c>
      <c r="Q1" s="61" t="s">
        <v>629</v>
      </c>
      <c r="R1" s="61" t="s">
        <v>630</v>
      </c>
      <c r="S1" s="61" t="s">
        <v>631</v>
      </c>
      <c r="T1" s="61" t="s">
        <v>632</v>
      </c>
      <c r="U1" s="61">
        <v>2024.0</v>
      </c>
      <c r="V1" s="2"/>
    </row>
    <row r="2">
      <c r="A2" s="191"/>
      <c r="B2" s="54"/>
      <c r="C2" s="4"/>
      <c r="D2" s="4"/>
      <c r="E2" s="54"/>
      <c r="F2" s="54"/>
      <c r="G2" s="54"/>
      <c r="H2" s="54"/>
      <c r="J2" s="5"/>
      <c r="K2" s="4" t="s">
        <v>525</v>
      </c>
      <c r="L2" s="4" t="s">
        <v>525</v>
      </c>
      <c r="M2" s="4" t="s">
        <v>525</v>
      </c>
      <c r="N2" s="4" t="s">
        <v>526</v>
      </c>
      <c r="O2" s="3" t="s">
        <v>527</v>
      </c>
      <c r="Q2" s="3"/>
      <c r="S2" s="7"/>
      <c r="T2" s="52"/>
      <c r="U2" s="3" t="s">
        <v>527</v>
      </c>
      <c r="V2" s="52"/>
    </row>
    <row r="3">
      <c r="A3" s="245" t="s">
        <v>528</v>
      </c>
      <c r="B3" s="4"/>
      <c r="C3" s="4" t="s">
        <v>16</v>
      </c>
      <c r="D3" s="4" t="s">
        <v>16</v>
      </c>
      <c r="E3" s="54" t="s">
        <v>152</v>
      </c>
      <c r="F3" s="54" t="s">
        <v>293</v>
      </c>
      <c r="G3" s="54" t="s">
        <v>18</v>
      </c>
      <c r="H3" s="54" t="s">
        <v>18</v>
      </c>
      <c r="I3" s="112" t="s">
        <v>416</v>
      </c>
      <c r="J3" s="112" t="s">
        <v>397</v>
      </c>
      <c r="K3" s="263">
        <v>73.0</v>
      </c>
      <c r="L3" s="263">
        <v>81.0</v>
      </c>
      <c r="M3" s="246">
        <v>94.2</v>
      </c>
      <c r="N3" s="263">
        <v>92.9</v>
      </c>
      <c r="O3" s="248">
        <f t="shared" ref="O3:O5" si="1">AVERAGE(K3:N3)</f>
        <v>85.275</v>
      </c>
      <c r="P3" s="249"/>
      <c r="Q3" s="264">
        <v>87.0</v>
      </c>
      <c r="R3" s="264">
        <v>95.0</v>
      </c>
      <c r="S3" s="265">
        <v>98.0</v>
      </c>
      <c r="T3" s="266">
        <v>100.0</v>
      </c>
      <c r="U3" s="248">
        <f t="shared" ref="U3:U8" si="2">AVERAGE(Q3:T3)</f>
        <v>95</v>
      </c>
      <c r="V3" s="52"/>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49"/>
      <c r="Q4" s="264">
        <v>82.0</v>
      </c>
      <c r="R4" s="264">
        <v>80.0</v>
      </c>
      <c r="S4" s="264">
        <v>79.0</v>
      </c>
      <c r="T4" s="264">
        <v>75.0</v>
      </c>
      <c r="U4" s="248">
        <f t="shared" si="2"/>
        <v>79</v>
      </c>
    </row>
    <row r="5" ht="42.0" customHeight="1">
      <c r="A5" s="252" t="s">
        <v>642</v>
      </c>
      <c r="B5" s="4"/>
      <c r="C5" s="4"/>
      <c r="D5" s="54"/>
      <c r="E5" s="54"/>
      <c r="F5" s="54"/>
      <c r="G5" s="54"/>
      <c r="H5" s="54"/>
      <c r="I5" s="112"/>
      <c r="J5" s="112"/>
      <c r="K5" s="263">
        <v>53.0</v>
      </c>
      <c r="L5" s="263">
        <v>54.0</v>
      </c>
      <c r="M5" s="246">
        <v>64.5</v>
      </c>
      <c r="N5" s="263">
        <v>68.9</v>
      </c>
      <c r="O5" s="248">
        <f t="shared" si="1"/>
        <v>60.1</v>
      </c>
      <c r="P5" s="253"/>
      <c r="Q5" s="264">
        <f t="shared" ref="Q5:T5" si="3">Q4-Q6</f>
        <v>65</v>
      </c>
      <c r="R5" s="264">
        <f t="shared" si="3"/>
        <v>65</v>
      </c>
      <c r="S5" s="264">
        <f t="shared" si="3"/>
        <v>65</v>
      </c>
      <c r="T5" s="264">
        <f t="shared" si="3"/>
        <v>62</v>
      </c>
      <c r="U5" s="248">
        <f t="shared" si="2"/>
        <v>64.25</v>
      </c>
    </row>
    <row r="6" ht="26.25"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3"/>
      <c r="Q6" s="255">
        <v>17.0</v>
      </c>
      <c r="R6" s="255">
        <v>15.0</v>
      </c>
      <c r="S6" s="255">
        <v>14.0</v>
      </c>
      <c r="T6" s="255">
        <v>13.0</v>
      </c>
      <c r="U6" s="248">
        <f t="shared" si="2"/>
        <v>14.75</v>
      </c>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53" t="s">
        <v>533</v>
      </c>
      <c r="Q7" s="267">
        <v>7.6</v>
      </c>
      <c r="R7" s="267">
        <v>7.9</v>
      </c>
      <c r="S7" s="268">
        <v>7.1</v>
      </c>
      <c r="T7" s="267">
        <v>6.0</v>
      </c>
      <c r="U7" s="258">
        <f t="shared" si="2"/>
        <v>7.15</v>
      </c>
      <c r="V7" s="3" t="s">
        <v>644</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49"/>
      <c r="Q8" s="269">
        <v>16.0</v>
      </c>
      <c r="R8" s="269">
        <v>16.0</v>
      </c>
      <c r="S8" s="270">
        <v>14.0</v>
      </c>
      <c r="T8" s="269">
        <v>12.0</v>
      </c>
      <c r="U8" s="258">
        <f t="shared" si="2"/>
        <v>14.5</v>
      </c>
      <c r="V8" s="4" t="s">
        <v>645</v>
      </c>
    </row>
    <row r="9">
      <c r="E9" s="114"/>
      <c r="F9" s="115"/>
      <c r="G9" s="115"/>
      <c r="H9" s="115"/>
      <c r="I9" s="112" t="s">
        <v>406</v>
      </c>
      <c r="J9" s="112" t="s">
        <v>406</v>
      </c>
      <c r="M9" s="218" t="s">
        <v>646</v>
      </c>
      <c r="N9" s="242"/>
      <c r="O9" s="218" t="s">
        <v>647</v>
      </c>
      <c r="P9" s="4">
        <v>98.0</v>
      </c>
      <c r="Q9" s="242"/>
      <c r="S9" s="218" t="s">
        <v>648</v>
      </c>
      <c r="T9" s="243"/>
      <c r="W9" s="3" t="s">
        <v>565</v>
      </c>
    </row>
    <row r="10">
      <c r="E10" s="114" t="s">
        <v>241</v>
      </c>
      <c r="F10" s="115" t="s">
        <v>242</v>
      </c>
      <c r="G10" s="115" t="s">
        <v>242</v>
      </c>
      <c r="H10" s="115" t="s">
        <v>194</v>
      </c>
      <c r="I10" s="115" t="s">
        <v>148</v>
      </c>
      <c r="M10" s="218" t="s">
        <v>469</v>
      </c>
      <c r="N10" s="242"/>
      <c r="O10" s="218" t="s">
        <v>469</v>
      </c>
      <c r="P10" s="4">
        <v>98.0</v>
      </c>
      <c r="Q10" s="242"/>
      <c r="S10" s="218" t="s">
        <v>469</v>
      </c>
      <c r="T10" s="243"/>
      <c r="W10" s="218" t="s">
        <v>566</v>
      </c>
      <c r="X10" s="4" t="s">
        <v>567</v>
      </c>
    </row>
    <row r="11">
      <c r="A11" s="3" t="s">
        <v>47</v>
      </c>
      <c r="C11" s="4">
        <v>5.7</v>
      </c>
      <c r="D11" s="4">
        <v>6.5</v>
      </c>
      <c r="E11" s="62">
        <v>7.4</v>
      </c>
      <c r="F11" s="54">
        <v>8.1</v>
      </c>
      <c r="G11" s="54"/>
      <c r="H11" s="62"/>
      <c r="I11" s="62"/>
      <c r="J11" s="62"/>
      <c r="M11" s="218" t="s">
        <v>470</v>
      </c>
      <c r="N11" s="242"/>
      <c r="O11" s="218" t="s">
        <v>470</v>
      </c>
      <c r="P11" s="4">
        <v>98.0</v>
      </c>
      <c r="Q11" s="242"/>
      <c r="S11" s="218" t="s">
        <v>470</v>
      </c>
      <c r="T11" s="243"/>
      <c r="W11" s="218" t="s">
        <v>469</v>
      </c>
      <c r="X11" s="4" t="s">
        <v>567</v>
      </c>
    </row>
    <row r="12">
      <c r="A12" s="3" t="s">
        <v>162</v>
      </c>
      <c r="D12" s="111" t="s">
        <v>241</v>
      </c>
      <c r="E12" s="117">
        <v>7.0</v>
      </c>
      <c r="F12" s="112">
        <v>7.3</v>
      </c>
      <c r="G12" s="112"/>
      <c r="H12" s="112"/>
      <c r="I12" s="117"/>
      <c r="J12" s="112"/>
      <c r="M12" s="218"/>
      <c r="N12" s="242"/>
      <c r="O12" s="218"/>
      <c r="P12" s="4"/>
      <c r="Q12" s="242"/>
      <c r="S12" s="218"/>
      <c r="T12" s="243"/>
      <c r="U12" s="3" t="s">
        <v>576</v>
      </c>
      <c r="W12" s="218" t="s">
        <v>470</v>
      </c>
      <c r="X12" s="4" t="s">
        <v>567</v>
      </c>
    </row>
    <row r="13">
      <c r="C13" s="10"/>
      <c r="D13" s="10"/>
      <c r="E13" s="10"/>
      <c r="F13" s="10"/>
      <c r="G13" s="10"/>
      <c r="H13" s="10"/>
      <c r="I13" s="10"/>
      <c r="J13" s="10"/>
      <c r="L13" s="228"/>
      <c r="M13" s="234"/>
      <c r="N13" s="235" t="str">
        <f>AVERAGE(N9:N12)</f>
        <v>#DIV/0!</v>
      </c>
      <c r="O13" s="234"/>
      <c r="P13" s="235">
        <f t="shared" ref="P13:Q13" si="6">AVERAGE(P9:P12)</f>
        <v>98</v>
      </c>
      <c r="Q13" s="234" t="str">
        <f t="shared" si="6"/>
        <v>#DIV/0!</v>
      </c>
      <c r="S13" s="229"/>
      <c r="T13" s="234" t="str">
        <f>AVERAGE(T9:T12)</f>
        <v>#DIV/0!</v>
      </c>
      <c r="W13" s="218" t="s">
        <v>471</v>
      </c>
      <c r="X13" s="4" t="s">
        <v>569</v>
      </c>
    </row>
    <row r="14">
      <c r="E14" s="118"/>
      <c r="F14" s="118"/>
      <c r="G14" s="118"/>
      <c r="H14" s="118"/>
      <c r="I14" s="118"/>
      <c r="J14" s="118"/>
      <c r="O14" s="119"/>
      <c r="P14" s="119"/>
      <c r="T14" s="55"/>
    </row>
    <row r="15">
      <c r="E15" s="118"/>
      <c r="F15" s="118"/>
      <c r="G15" s="118"/>
      <c r="H15" s="118"/>
      <c r="I15" s="118"/>
      <c r="J15" s="118"/>
      <c r="M15" s="218" t="s">
        <v>649</v>
      </c>
      <c r="N15" s="242">
        <v>7.6</v>
      </c>
      <c r="O15" s="119"/>
      <c r="P15" s="119"/>
      <c r="S15" s="218" t="s">
        <v>650</v>
      </c>
      <c r="T15" s="242"/>
      <c r="U15" s="210"/>
      <c r="V15" s="157"/>
    </row>
    <row r="16">
      <c r="E16" s="118"/>
      <c r="F16" s="118"/>
      <c r="G16" s="118"/>
      <c r="H16" s="118"/>
      <c r="I16" s="118"/>
      <c r="J16" s="118"/>
      <c r="M16" s="218" t="s">
        <v>469</v>
      </c>
      <c r="N16" s="242">
        <v>7.6</v>
      </c>
      <c r="O16" s="119"/>
      <c r="P16" s="119"/>
      <c r="S16" s="218" t="s">
        <v>469</v>
      </c>
      <c r="T16" s="242"/>
      <c r="V16" s="212"/>
    </row>
    <row r="17">
      <c r="E17" s="118"/>
      <c r="F17" s="118"/>
      <c r="G17" s="118"/>
      <c r="H17" s="118"/>
      <c r="I17" s="118"/>
      <c r="J17" s="118"/>
      <c r="M17" s="218" t="s">
        <v>470</v>
      </c>
      <c r="N17" s="242">
        <v>7.8</v>
      </c>
      <c r="O17" s="119"/>
      <c r="P17" s="119"/>
      <c r="S17" s="218" t="s">
        <v>470</v>
      </c>
      <c r="T17" s="242"/>
      <c r="Y17" s="41">
        <v>0.1</v>
      </c>
      <c r="Z17" s="41">
        <v>0.3</v>
      </c>
    </row>
    <row r="18">
      <c r="E18" s="118"/>
      <c r="F18" s="118"/>
      <c r="G18" s="118"/>
      <c r="H18" s="118"/>
      <c r="I18" s="118"/>
      <c r="J18" s="118"/>
      <c r="M18" s="218"/>
      <c r="N18" s="242"/>
      <c r="O18" s="99" t="s">
        <v>579</v>
      </c>
      <c r="P18" s="119"/>
      <c r="S18" s="218"/>
      <c r="T18" s="242"/>
      <c r="W18" s="3" t="s">
        <v>536</v>
      </c>
      <c r="Y18" s="3" t="s">
        <v>537</v>
      </c>
    </row>
    <row r="19">
      <c r="E19" s="118"/>
      <c r="F19" s="118"/>
      <c r="G19" s="118"/>
      <c r="H19" s="118"/>
      <c r="I19" s="118"/>
      <c r="J19" s="118"/>
      <c r="K19" s="119"/>
      <c r="L19" s="228"/>
      <c r="M19" s="229"/>
      <c r="N19" s="234">
        <f>AVERAGE(N15:N18)</f>
        <v>7.666666667</v>
      </c>
      <c r="O19" s="119"/>
      <c r="P19" s="119"/>
      <c r="T19" s="237" t="str">
        <f>AVERAGE(T15:T18)</f>
        <v>#DIV/0!</v>
      </c>
      <c r="W19" s="3" t="s">
        <v>538</v>
      </c>
      <c r="X19" s="4">
        <v>0.24</v>
      </c>
      <c r="Y19" s="212">
        <f t="shared" ref="Y19:Y24" si="7">X19*$Y$17</f>
        <v>0.024</v>
      </c>
      <c r="Z19" s="212">
        <f t="shared" ref="Z19:Z24" si="8">X19*$Z$17</f>
        <v>0.072</v>
      </c>
    </row>
    <row r="20">
      <c r="A20" s="3"/>
      <c r="B20" s="12"/>
      <c r="C20" s="12"/>
      <c r="D20" s="13"/>
      <c r="E20" s="13"/>
      <c r="F20" s="13"/>
      <c r="G20" s="13"/>
      <c r="H20" s="13"/>
      <c r="I20" s="13"/>
      <c r="J20" s="13"/>
      <c r="K20" s="13"/>
      <c r="O20" s="13"/>
      <c r="P20" s="13"/>
      <c r="W20" s="99" t="s">
        <v>540</v>
      </c>
      <c r="X20" s="4">
        <v>0.055</v>
      </c>
      <c r="Y20" s="212">
        <f t="shared" si="7"/>
        <v>0.0055</v>
      </c>
      <c r="Z20" s="212">
        <f t="shared" si="8"/>
        <v>0.0165</v>
      </c>
      <c r="AA20" s="49" t="s">
        <v>541</v>
      </c>
    </row>
    <row r="21">
      <c r="M21" s="218" t="s">
        <v>651</v>
      </c>
      <c r="N21" s="242"/>
      <c r="O21" s="3" t="s">
        <v>557</v>
      </c>
      <c r="R21" s="4" t="s">
        <v>652</v>
      </c>
      <c r="S21" s="4" t="s">
        <v>335</v>
      </c>
      <c r="T21" s="4" t="s">
        <v>338</v>
      </c>
      <c r="U21" s="4" t="s">
        <v>581</v>
      </c>
      <c r="W21" s="3" t="s">
        <v>542</v>
      </c>
      <c r="X21" s="4">
        <v>0.1</v>
      </c>
      <c r="Y21" s="212">
        <f t="shared" si="7"/>
        <v>0.01</v>
      </c>
      <c r="Z21" s="212">
        <f t="shared" si="8"/>
        <v>0.03</v>
      </c>
    </row>
    <row r="22">
      <c r="M22" s="218" t="s">
        <v>469</v>
      </c>
      <c r="N22" s="242"/>
      <c r="O22" s="3" t="s">
        <v>572</v>
      </c>
      <c r="Q22" s="4" t="s">
        <v>62</v>
      </c>
      <c r="R22" s="232">
        <v>89.5</v>
      </c>
      <c r="S22" s="236">
        <v>90.0</v>
      </c>
      <c r="T22" s="24">
        <v>89.0</v>
      </c>
      <c r="U22" s="226">
        <f t="shared" ref="U22:U24" si="9">AVERAGE(R22:T22)</f>
        <v>89.5</v>
      </c>
      <c r="W22" s="3" t="s">
        <v>543</v>
      </c>
      <c r="X22" s="4">
        <f>(0.05+0.1)/2</f>
        <v>0.075</v>
      </c>
      <c r="Y22" s="212">
        <f t="shared" si="7"/>
        <v>0.0075</v>
      </c>
      <c r="Z22" s="212">
        <f t="shared" si="8"/>
        <v>0.0225</v>
      </c>
    </row>
    <row r="23">
      <c r="M23" s="218" t="s">
        <v>470</v>
      </c>
      <c r="N23" s="242"/>
      <c r="Q23" s="4" t="s">
        <v>28</v>
      </c>
      <c r="R23" s="232">
        <v>80.1</v>
      </c>
      <c r="S23" s="236">
        <v>80.0</v>
      </c>
      <c r="T23" s="24">
        <v>80.0</v>
      </c>
      <c r="U23" s="226">
        <f t="shared" si="9"/>
        <v>80.03333333</v>
      </c>
      <c r="W23" s="3" t="s">
        <v>545</v>
      </c>
      <c r="X23" s="4">
        <v>0.05</v>
      </c>
      <c r="Y23" s="212">
        <f t="shared" si="7"/>
        <v>0.005</v>
      </c>
      <c r="Z23" s="212">
        <f t="shared" si="8"/>
        <v>0.015</v>
      </c>
    </row>
    <row r="24">
      <c r="M24" s="218"/>
      <c r="N24" s="242"/>
      <c r="Q24" s="4" t="s">
        <v>582</v>
      </c>
      <c r="R24" s="232">
        <v>63.9</v>
      </c>
      <c r="S24" s="236">
        <v>65.0</v>
      </c>
      <c r="T24" s="24">
        <v>65.0</v>
      </c>
      <c r="U24" s="226">
        <f t="shared" si="9"/>
        <v>64.63333333</v>
      </c>
      <c r="W24" s="3" t="s">
        <v>558</v>
      </c>
      <c r="X24" s="4">
        <v>0.2</v>
      </c>
      <c r="Y24" s="212">
        <f t="shared" si="7"/>
        <v>0.02</v>
      </c>
      <c r="Z24" s="212">
        <f t="shared" si="8"/>
        <v>0.06</v>
      </c>
    </row>
    <row r="25">
      <c r="N25" s="237" t="str">
        <f>AVERAGE(N21:N24)</f>
        <v>#DIV/0!</v>
      </c>
      <c r="Q25" s="4" t="s">
        <v>583</v>
      </c>
      <c r="R25" s="5">
        <f t="shared" ref="R25:T25" si="10">R23-R24</f>
        <v>16.2</v>
      </c>
      <c r="S25" s="5">
        <f t="shared" si="10"/>
        <v>15</v>
      </c>
      <c r="T25" s="5">
        <f t="shared" si="10"/>
        <v>15</v>
      </c>
    </row>
    <row r="27">
      <c r="Q27" s="230" t="s">
        <v>546</v>
      </c>
      <c r="R27" s="225">
        <v>2024.0</v>
      </c>
      <c r="S27" s="4"/>
    </row>
    <row r="28">
      <c r="Q28" s="3" t="s">
        <v>549</v>
      </c>
      <c r="R28" s="4">
        <v>110.0</v>
      </c>
      <c r="S28" s="157"/>
    </row>
    <row r="29">
      <c r="Q29" s="3" t="s">
        <v>81</v>
      </c>
      <c r="R29" s="99" t="s">
        <v>584</v>
      </c>
      <c r="S29" s="225"/>
      <c r="T29" s="4"/>
    </row>
    <row r="30">
      <c r="Q30" s="3" t="s">
        <v>286</v>
      </c>
      <c r="R30" s="225" t="s">
        <v>585</v>
      </c>
      <c r="S30" s="157"/>
      <c r="T30" s="4"/>
    </row>
    <row r="32">
      <c r="N32" s="31" t="s">
        <v>586</v>
      </c>
    </row>
    <row r="33">
      <c r="N33" s="3" t="s">
        <v>587</v>
      </c>
      <c r="R33" s="3" t="s">
        <v>588</v>
      </c>
    </row>
    <row r="34">
      <c r="N34" s="3" t="s">
        <v>589</v>
      </c>
      <c r="R34" s="3" t="s">
        <v>590</v>
      </c>
    </row>
    <row r="35">
      <c r="N35" s="3" t="s">
        <v>591</v>
      </c>
      <c r="R35" s="3" t="s">
        <v>592</v>
      </c>
    </row>
    <row r="36">
      <c r="N36" s="3" t="s">
        <v>593</v>
      </c>
      <c r="R36" s="3" t="s">
        <v>594</v>
      </c>
    </row>
    <row r="37">
      <c r="N37" s="3" t="s">
        <v>595</v>
      </c>
      <c r="R37" s="3" t="s">
        <v>596</v>
      </c>
    </row>
    <row r="38">
      <c r="N38" s="3" t="s">
        <v>597</v>
      </c>
      <c r="R38" s="3" t="s">
        <v>598</v>
      </c>
    </row>
    <row r="39">
      <c r="N39" s="3" t="s">
        <v>599</v>
      </c>
      <c r="R39" s="3" t="s">
        <v>600</v>
      </c>
    </row>
    <row r="41">
      <c r="N41" s="3" t="s">
        <v>601</v>
      </c>
      <c r="R41" s="3" t="s">
        <v>602</v>
      </c>
    </row>
    <row r="42">
      <c r="R42" s="3" t="s">
        <v>603</v>
      </c>
    </row>
    <row r="43">
      <c r="N43" s="3" t="s">
        <v>604</v>
      </c>
    </row>
    <row r="44">
      <c r="S44" s="3" t="s">
        <v>605</v>
      </c>
    </row>
    <row r="45">
      <c r="N45" s="3" t="s">
        <v>606</v>
      </c>
      <c r="S45" s="3" t="s">
        <v>607</v>
      </c>
    </row>
    <row r="46">
      <c r="N46" s="65">
        <f>60%*47.5</f>
        <v>28.5</v>
      </c>
      <c r="O46" s="3" t="s">
        <v>608</v>
      </c>
      <c r="S46" s="65">
        <f>60%*55</f>
        <v>33</v>
      </c>
      <c r="T46" s="3" t="s">
        <v>608</v>
      </c>
    </row>
    <row r="47">
      <c r="N47" s="65">
        <f>N46*72%</f>
        <v>20.52</v>
      </c>
      <c r="O47" s="3" t="s">
        <v>609</v>
      </c>
      <c r="S47" s="65">
        <f>S46*83%</f>
        <v>27.39</v>
      </c>
      <c r="T47" s="3" t="s">
        <v>609</v>
      </c>
    </row>
    <row r="48">
      <c r="N48" s="65">
        <f>N46-N47</f>
        <v>7.98</v>
      </c>
      <c r="O48" s="3" t="s">
        <v>610</v>
      </c>
      <c r="S48" s="65">
        <f>S46-S47</f>
        <v>5.61</v>
      </c>
      <c r="T48" s="3" t="s">
        <v>610</v>
      </c>
    </row>
    <row r="49">
      <c r="N49" s="3" t="s">
        <v>653</v>
      </c>
      <c r="R49" s="3" t="s">
        <v>654</v>
      </c>
    </row>
    <row r="50">
      <c r="N50" s="3" t="s">
        <v>613</v>
      </c>
      <c r="R50" s="3" t="s">
        <v>614</v>
      </c>
    </row>
    <row r="51">
      <c r="N51" s="3" t="s">
        <v>615</v>
      </c>
      <c r="R51" s="3" t="s">
        <v>616</v>
      </c>
    </row>
    <row r="52">
      <c r="N52" s="3" t="s">
        <v>617</v>
      </c>
      <c r="R52" s="3" t="s">
        <v>618</v>
      </c>
    </row>
    <row r="54">
      <c r="M54" s="3" t="s">
        <v>619</v>
      </c>
      <c r="N54" s="31" t="s">
        <v>620</v>
      </c>
      <c r="Q54" s="218" t="s">
        <v>619</v>
      </c>
      <c r="R54" s="31" t="s">
        <v>621</v>
      </c>
    </row>
    <row r="57">
      <c r="R57" s="3" t="s">
        <v>655</v>
      </c>
    </row>
    <row r="58">
      <c r="R58" s="3" t="s">
        <v>623</v>
      </c>
    </row>
    <row r="59">
      <c r="R59" s="3" t="s">
        <v>616</v>
      </c>
    </row>
    <row r="60">
      <c r="R60" s="3" t="s">
        <v>618</v>
      </c>
    </row>
    <row r="62">
      <c r="Q62" s="218" t="s">
        <v>619</v>
      </c>
      <c r="R62" s="31" t="s">
        <v>624</v>
      </c>
    </row>
  </sheetData>
  <hyperlinks>
    <hyperlink r:id="rId1" ref="AA20"/>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customWidth="1" min="8" max="9" width="12.5"/>
    <col customWidth="1" min="10" max="10" width="11.75"/>
    <col customWidth="1" min="11" max="15" width="14.5"/>
    <col customWidth="1" hidden="1" min="16" max="16" width="19.13"/>
  </cols>
  <sheetData>
    <row r="1">
      <c r="A1" s="92">
        <v>45331.0</v>
      </c>
      <c r="B1" s="2"/>
      <c r="C1" s="61" t="s">
        <v>0</v>
      </c>
      <c r="D1" s="61" t="s">
        <v>1</v>
      </c>
      <c r="E1" s="61" t="s">
        <v>2</v>
      </c>
      <c r="F1" s="61" t="s">
        <v>3</v>
      </c>
      <c r="G1" s="61" t="s">
        <v>4</v>
      </c>
      <c r="H1" s="61" t="s">
        <v>5</v>
      </c>
      <c r="I1" s="61" t="s">
        <v>6</v>
      </c>
      <c r="J1" s="61" t="s">
        <v>7</v>
      </c>
      <c r="K1" s="61" t="s">
        <v>625</v>
      </c>
      <c r="L1" s="61" t="s">
        <v>626</v>
      </c>
      <c r="M1" s="61" t="s">
        <v>627</v>
      </c>
      <c r="N1" s="61" t="s">
        <v>628</v>
      </c>
      <c r="O1" s="61">
        <v>2023.0</v>
      </c>
      <c r="P1" s="2" t="s">
        <v>8</v>
      </c>
      <c r="Q1" s="61" t="s">
        <v>629</v>
      </c>
      <c r="R1" s="61" t="s">
        <v>630</v>
      </c>
      <c r="S1" s="61" t="s">
        <v>631</v>
      </c>
      <c r="T1" s="61" t="s">
        <v>632</v>
      </c>
      <c r="U1" s="61">
        <v>2024.0</v>
      </c>
      <c r="V1" s="2"/>
    </row>
    <row r="2">
      <c r="A2" s="191"/>
      <c r="B2" s="54"/>
      <c r="C2" s="4"/>
      <c r="D2" s="4"/>
      <c r="E2" s="54"/>
      <c r="F2" s="54"/>
      <c r="G2" s="54"/>
      <c r="H2" s="54"/>
      <c r="J2" s="5"/>
      <c r="K2" s="4" t="s">
        <v>525</v>
      </c>
      <c r="L2" s="4" t="s">
        <v>525</v>
      </c>
      <c r="M2" s="4" t="s">
        <v>525</v>
      </c>
      <c r="N2" s="4" t="s">
        <v>526</v>
      </c>
      <c r="O2" s="3" t="s">
        <v>527</v>
      </c>
      <c r="Q2" s="3"/>
      <c r="S2" s="7"/>
      <c r="T2" s="52"/>
      <c r="U2" s="3" t="s">
        <v>527</v>
      </c>
      <c r="V2" s="52"/>
    </row>
    <row r="3">
      <c r="A3" s="245" t="s">
        <v>528</v>
      </c>
      <c r="B3" s="4"/>
      <c r="C3" s="4" t="s">
        <v>16</v>
      </c>
      <c r="D3" s="4" t="s">
        <v>16</v>
      </c>
      <c r="E3" s="54" t="s">
        <v>152</v>
      </c>
      <c r="F3" s="54" t="s">
        <v>293</v>
      </c>
      <c r="G3" s="54" t="s">
        <v>18</v>
      </c>
      <c r="H3" s="54" t="s">
        <v>18</v>
      </c>
      <c r="I3" s="112" t="s">
        <v>416</v>
      </c>
      <c r="J3" s="112" t="s">
        <v>397</v>
      </c>
      <c r="K3" s="263">
        <v>73.0</v>
      </c>
      <c r="L3" s="263">
        <v>81.0</v>
      </c>
      <c r="M3" s="246">
        <v>94.2</v>
      </c>
      <c r="N3" s="263">
        <v>92.9</v>
      </c>
      <c r="O3" s="248">
        <f t="shared" ref="O3:O5" si="1">AVERAGE(K3:N3)</f>
        <v>85.275</v>
      </c>
      <c r="P3" s="249"/>
      <c r="Q3" s="264">
        <v>90.0</v>
      </c>
      <c r="R3" s="264">
        <v>95.0</v>
      </c>
      <c r="S3" s="265">
        <v>100.0</v>
      </c>
      <c r="T3" s="266">
        <v>101.0</v>
      </c>
      <c r="U3" s="248">
        <f t="shared" ref="U3:U7" si="2">AVERAGE(Q3:T3)</f>
        <v>96.5</v>
      </c>
      <c r="V3" s="52"/>
      <c r="X3" s="218" t="s">
        <v>656</v>
      </c>
      <c r="Y3" s="243"/>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49"/>
      <c r="Q4" s="264">
        <v>80.0</v>
      </c>
      <c r="R4" s="264">
        <v>80.0</v>
      </c>
      <c r="S4" s="264">
        <v>79.0</v>
      </c>
      <c r="T4" s="264">
        <v>75.0</v>
      </c>
      <c r="U4" s="248">
        <f t="shared" si="2"/>
        <v>78.5</v>
      </c>
      <c r="X4" s="218" t="s">
        <v>469</v>
      </c>
      <c r="Y4" s="243"/>
    </row>
    <row r="5" ht="42.0" customHeight="1">
      <c r="A5" s="252" t="s">
        <v>642</v>
      </c>
      <c r="B5" s="4"/>
      <c r="C5" s="4"/>
      <c r="D5" s="54"/>
      <c r="E5" s="54"/>
      <c r="F5" s="54"/>
      <c r="G5" s="54"/>
      <c r="H5" s="54"/>
      <c r="I5" s="112"/>
      <c r="J5" s="112"/>
      <c r="K5" s="263">
        <v>53.0</v>
      </c>
      <c r="L5" s="263">
        <v>54.0</v>
      </c>
      <c r="M5" s="246">
        <v>64.5</v>
      </c>
      <c r="N5" s="263">
        <v>68.9</v>
      </c>
      <c r="O5" s="248">
        <f t="shared" si="1"/>
        <v>60.1</v>
      </c>
      <c r="P5" s="253"/>
      <c r="Q5" s="264">
        <f t="shared" ref="Q5:T5" si="3">Q4-Q6</f>
        <v>65</v>
      </c>
      <c r="R5" s="264">
        <f t="shared" si="3"/>
        <v>65</v>
      </c>
      <c r="S5" s="264">
        <f t="shared" si="3"/>
        <v>65</v>
      </c>
      <c r="T5" s="264">
        <f t="shared" si="3"/>
        <v>62</v>
      </c>
      <c r="U5" s="248">
        <f t="shared" si="2"/>
        <v>64.25</v>
      </c>
      <c r="X5" s="218" t="s">
        <v>470</v>
      </c>
      <c r="Y5" s="243"/>
    </row>
    <row r="6" ht="26.25"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3"/>
      <c r="Q6" s="255">
        <v>15.0</v>
      </c>
      <c r="R6" s="255">
        <v>15.0</v>
      </c>
      <c r="S6" s="255">
        <v>14.0</v>
      </c>
      <c r="T6" s="255">
        <v>13.0</v>
      </c>
      <c r="U6" s="248">
        <f t="shared" si="2"/>
        <v>14.25</v>
      </c>
      <c r="X6" s="218"/>
      <c r="Y6" s="243"/>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53" t="s">
        <v>533</v>
      </c>
      <c r="Q7" s="267">
        <v>7.5</v>
      </c>
      <c r="R7" s="267">
        <v>7.8</v>
      </c>
      <c r="S7" s="268">
        <v>7.0</v>
      </c>
      <c r="T7" s="267">
        <v>6.0</v>
      </c>
      <c r="U7" s="258">
        <f t="shared" si="2"/>
        <v>7.075</v>
      </c>
      <c r="V7" s="3" t="s">
        <v>644</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49"/>
      <c r="Q8" s="269">
        <v>16.0</v>
      </c>
      <c r="R8" s="269">
        <v>16.0</v>
      </c>
      <c r="S8" s="270">
        <v>14.0</v>
      </c>
      <c r="T8" s="269">
        <v>12.0</v>
      </c>
      <c r="U8" s="258">
        <v>15.1</v>
      </c>
      <c r="V8" s="4" t="s">
        <v>645</v>
      </c>
    </row>
    <row r="9">
      <c r="E9" s="114"/>
      <c r="F9" s="115"/>
      <c r="G9" s="115"/>
      <c r="H9" s="115"/>
      <c r="I9" s="112" t="s">
        <v>406</v>
      </c>
      <c r="J9" s="112" t="s">
        <v>406</v>
      </c>
      <c r="M9" s="218" t="s">
        <v>657</v>
      </c>
      <c r="N9" s="242"/>
      <c r="P9" s="4">
        <v>98.0</v>
      </c>
      <c r="Q9" s="218" t="s">
        <v>658</v>
      </c>
      <c r="R9" s="242">
        <v>94.0</v>
      </c>
      <c r="S9" s="242">
        <v>98.0</v>
      </c>
      <c r="T9" s="242">
        <v>100.0</v>
      </c>
    </row>
    <row r="10">
      <c r="E10" s="114" t="s">
        <v>241</v>
      </c>
      <c r="F10" s="115" t="s">
        <v>242</v>
      </c>
      <c r="G10" s="115" t="s">
        <v>242</v>
      </c>
      <c r="H10" s="115" t="s">
        <v>194</v>
      </c>
      <c r="I10" s="115" t="s">
        <v>148</v>
      </c>
      <c r="M10" s="218" t="s">
        <v>469</v>
      </c>
      <c r="N10" s="242"/>
      <c r="P10" s="4">
        <v>98.0</v>
      </c>
      <c r="Q10" s="218" t="s">
        <v>469</v>
      </c>
      <c r="R10" s="242">
        <v>95.0</v>
      </c>
      <c r="S10" s="242">
        <v>100.0</v>
      </c>
      <c r="T10" s="242">
        <v>100.0</v>
      </c>
      <c r="W10" s="218"/>
      <c r="X10" s="4"/>
    </row>
    <row r="11">
      <c r="A11" s="3" t="s">
        <v>47</v>
      </c>
      <c r="C11" s="4">
        <v>5.7</v>
      </c>
      <c r="D11" s="4">
        <v>6.5</v>
      </c>
      <c r="E11" s="62">
        <v>7.4</v>
      </c>
      <c r="F11" s="54">
        <v>8.1</v>
      </c>
      <c r="G11" s="54"/>
      <c r="H11" s="62"/>
      <c r="I11" s="62"/>
      <c r="J11" s="62"/>
      <c r="M11" s="218" t="s">
        <v>470</v>
      </c>
      <c r="N11" s="242"/>
      <c r="P11" s="4">
        <v>98.0</v>
      </c>
      <c r="Q11" s="218" t="s">
        <v>470</v>
      </c>
      <c r="R11" s="242">
        <v>96.0</v>
      </c>
      <c r="S11" s="242">
        <v>102.0</v>
      </c>
      <c r="T11" s="242">
        <v>103.0</v>
      </c>
      <c r="W11" s="218"/>
      <c r="X11" s="4"/>
    </row>
    <row r="12">
      <c r="A12" s="3" t="s">
        <v>162</v>
      </c>
      <c r="D12" s="111" t="s">
        <v>241</v>
      </c>
      <c r="E12" s="117">
        <v>7.0</v>
      </c>
      <c r="F12" s="112">
        <v>7.3</v>
      </c>
      <c r="G12" s="112"/>
      <c r="H12" s="112"/>
      <c r="I12" s="117"/>
      <c r="J12" s="112"/>
      <c r="M12" s="218"/>
      <c r="N12" s="242"/>
      <c r="O12" s="218"/>
      <c r="P12" s="218"/>
      <c r="Q12" s="218"/>
      <c r="R12" s="242"/>
      <c r="S12" s="242"/>
      <c r="T12" s="242"/>
      <c r="W12" s="218"/>
      <c r="X12" s="4"/>
    </row>
    <row r="13">
      <c r="C13" s="10"/>
      <c r="D13" s="10"/>
      <c r="E13" s="10"/>
      <c r="F13" s="10"/>
      <c r="G13" s="10"/>
      <c r="H13" s="10"/>
      <c r="I13" s="10"/>
      <c r="J13" s="10"/>
      <c r="L13" s="228"/>
      <c r="M13" s="234"/>
      <c r="N13" s="235" t="str">
        <f>AVERAGE(N9:N12)</f>
        <v>#DIV/0!</v>
      </c>
      <c r="O13" s="234"/>
      <c r="P13" s="235">
        <f t="shared" ref="P13:T13" si="6">AVERAGE(P9:P12)</f>
        <v>98</v>
      </c>
      <c r="Q13" s="234" t="str">
        <f t="shared" si="6"/>
        <v>#DIV/0!</v>
      </c>
      <c r="R13" s="234">
        <f t="shared" si="6"/>
        <v>95</v>
      </c>
      <c r="S13" s="234">
        <f t="shared" si="6"/>
        <v>100</v>
      </c>
      <c r="T13" s="234">
        <f t="shared" si="6"/>
        <v>101</v>
      </c>
      <c r="W13" s="218"/>
      <c r="X13" s="4"/>
    </row>
    <row r="14">
      <c r="E14" s="118"/>
      <c r="F14" s="118"/>
      <c r="G14" s="118"/>
      <c r="H14" s="118"/>
      <c r="I14" s="118"/>
      <c r="J14" s="118"/>
      <c r="O14" s="119"/>
      <c r="P14" s="119"/>
      <c r="T14" s="55"/>
    </row>
    <row r="15">
      <c r="E15" s="118"/>
      <c r="F15" s="118"/>
      <c r="G15" s="118"/>
      <c r="H15" s="118"/>
      <c r="I15" s="118"/>
      <c r="J15" s="118"/>
      <c r="M15" s="218" t="s">
        <v>659</v>
      </c>
      <c r="N15" s="242">
        <v>7.6</v>
      </c>
      <c r="O15" s="119"/>
      <c r="P15" s="119"/>
      <c r="S15" s="218" t="s">
        <v>660</v>
      </c>
      <c r="T15" s="242"/>
      <c r="U15" s="210"/>
      <c r="V15" s="157"/>
    </row>
    <row r="16">
      <c r="E16" s="118"/>
      <c r="F16" s="118"/>
      <c r="G16" s="118"/>
      <c r="H16" s="118"/>
      <c r="I16" s="118"/>
      <c r="J16" s="118"/>
      <c r="M16" s="218" t="s">
        <v>469</v>
      </c>
      <c r="N16" s="242">
        <v>7.6</v>
      </c>
      <c r="O16" s="119"/>
      <c r="P16" s="119"/>
      <c r="S16" s="218" t="s">
        <v>469</v>
      </c>
      <c r="T16" s="242"/>
      <c r="V16" s="212"/>
    </row>
    <row r="17">
      <c r="E17" s="118"/>
      <c r="F17" s="118"/>
      <c r="G17" s="118"/>
      <c r="H17" s="118"/>
      <c r="I17" s="118"/>
      <c r="J17" s="118"/>
      <c r="M17" s="218" t="s">
        <v>470</v>
      </c>
      <c r="N17" s="242">
        <v>7.8</v>
      </c>
      <c r="O17" s="119"/>
      <c r="P17" s="119"/>
      <c r="S17" s="218" t="s">
        <v>470</v>
      </c>
      <c r="T17" s="242"/>
      <c r="Y17" s="41">
        <v>0.1</v>
      </c>
      <c r="Z17" s="41">
        <v>0.3</v>
      </c>
    </row>
    <row r="18">
      <c r="E18" s="118"/>
      <c r="F18" s="118"/>
      <c r="G18" s="118"/>
      <c r="H18" s="118"/>
      <c r="I18" s="118"/>
      <c r="J18" s="118"/>
      <c r="M18" s="218"/>
      <c r="N18" s="242"/>
      <c r="O18" s="99" t="s">
        <v>579</v>
      </c>
      <c r="P18" s="119"/>
      <c r="S18" s="218"/>
      <c r="T18" s="242"/>
      <c r="W18" s="3" t="s">
        <v>536</v>
      </c>
      <c r="Y18" s="3" t="s">
        <v>537</v>
      </c>
    </row>
    <row r="19">
      <c r="E19" s="118"/>
      <c r="F19" s="118"/>
      <c r="G19" s="118"/>
      <c r="H19" s="118"/>
      <c r="I19" s="118"/>
      <c r="J19" s="118"/>
      <c r="K19" s="119"/>
      <c r="L19" s="228"/>
      <c r="M19" s="229"/>
      <c r="N19" s="234">
        <f>AVERAGE(N15:N18)</f>
        <v>7.666666667</v>
      </c>
      <c r="O19" s="119"/>
      <c r="P19" s="119"/>
      <c r="T19" s="237" t="str">
        <f>AVERAGE(T15:T18)</f>
        <v>#DIV/0!</v>
      </c>
      <c r="W19" s="3" t="s">
        <v>538</v>
      </c>
      <c r="X19" s="4">
        <v>0.24</v>
      </c>
      <c r="Y19" s="212">
        <f t="shared" ref="Y19:Y24" si="7">X19*$Y$17</f>
        <v>0.024</v>
      </c>
      <c r="Z19" s="212">
        <f t="shared" ref="Z19:Z24" si="8">X19*$Z$17</f>
        <v>0.072</v>
      </c>
    </row>
    <row r="20">
      <c r="A20" s="3"/>
      <c r="B20" s="12"/>
      <c r="C20" s="12"/>
      <c r="D20" s="13"/>
      <c r="E20" s="13"/>
      <c r="F20" s="13"/>
      <c r="G20" s="13"/>
      <c r="H20" s="13"/>
      <c r="I20" s="13"/>
      <c r="J20" s="13"/>
      <c r="K20" s="13"/>
      <c r="O20" s="13"/>
      <c r="P20" s="13"/>
      <c r="W20" s="99" t="s">
        <v>540</v>
      </c>
      <c r="X20" s="4">
        <v>0.055</v>
      </c>
      <c r="Y20" s="212">
        <f t="shared" si="7"/>
        <v>0.0055</v>
      </c>
      <c r="Z20" s="212">
        <f t="shared" si="8"/>
        <v>0.0165</v>
      </c>
      <c r="AA20" s="49" t="s">
        <v>541</v>
      </c>
    </row>
    <row r="21">
      <c r="M21" s="218" t="s">
        <v>661</v>
      </c>
      <c r="N21" s="242"/>
      <c r="O21" s="3" t="s">
        <v>557</v>
      </c>
      <c r="R21" s="4" t="s">
        <v>652</v>
      </c>
      <c r="S21" s="4" t="s">
        <v>335</v>
      </c>
      <c r="T21" s="4" t="s">
        <v>338</v>
      </c>
      <c r="U21" s="4" t="s">
        <v>581</v>
      </c>
      <c r="W21" s="3" t="s">
        <v>542</v>
      </c>
      <c r="X21" s="4">
        <v>0.1</v>
      </c>
      <c r="Y21" s="212">
        <f t="shared" si="7"/>
        <v>0.01</v>
      </c>
      <c r="Z21" s="212">
        <f t="shared" si="8"/>
        <v>0.03</v>
      </c>
    </row>
    <row r="22">
      <c r="M22" s="218" t="s">
        <v>469</v>
      </c>
      <c r="N22" s="242"/>
      <c r="O22" s="3" t="s">
        <v>572</v>
      </c>
      <c r="Q22" s="4" t="s">
        <v>62</v>
      </c>
      <c r="R22" s="232">
        <v>89.5</v>
      </c>
      <c r="S22" s="236">
        <v>91.3</v>
      </c>
      <c r="T22" s="24">
        <v>92.0</v>
      </c>
      <c r="U22" s="226">
        <f t="shared" ref="U22:U24" si="9">AVERAGE(R22:T22)</f>
        <v>90.93333333</v>
      </c>
      <c r="W22" s="3" t="s">
        <v>543</v>
      </c>
      <c r="X22" s="4">
        <f>(0.05+0.1)/2</f>
        <v>0.075</v>
      </c>
      <c r="Y22" s="212">
        <f t="shared" si="7"/>
        <v>0.0075</v>
      </c>
      <c r="Z22" s="212">
        <f t="shared" si="8"/>
        <v>0.0225</v>
      </c>
    </row>
    <row r="23">
      <c r="M23" s="218" t="s">
        <v>470</v>
      </c>
      <c r="N23" s="242"/>
      <c r="Q23" s="4" t="s">
        <v>28</v>
      </c>
      <c r="R23" s="232">
        <v>80.1</v>
      </c>
      <c r="S23" s="236">
        <v>80.0</v>
      </c>
      <c r="T23" s="24">
        <v>80.0</v>
      </c>
      <c r="U23" s="226">
        <f t="shared" si="9"/>
        <v>80.03333333</v>
      </c>
      <c r="W23" s="3" t="s">
        <v>545</v>
      </c>
      <c r="X23" s="4">
        <v>0.05</v>
      </c>
      <c r="Y23" s="212">
        <f t="shared" si="7"/>
        <v>0.005</v>
      </c>
      <c r="Z23" s="212">
        <f t="shared" si="8"/>
        <v>0.015</v>
      </c>
    </row>
    <row r="24">
      <c r="M24" s="218"/>
      <c r="N24" s="242"/>
      <c r="Q24" s="4" t="s">
        <v>582</v>
      </c>
      <c r="R24" s="232">
        <v>63.9</v>
      </c>
      <c r="S24" s="236">
        <v>66.0</v>
      </c>
      <c r="T24" s="24">
        <v>66.0</v>
      </c>
      <c r="U24" s="226">
        <f t="shared" si="9"/>
        <v>65.3</v>
      </c>
      <c r="W24" s="3" t="s">
        <v>558</v>
      </c>
      <c r="X24" s="4">
        <v>0.2</v>
      </c>
      <c r="Y24" s="212">
        <f t="shared" si="7"/>
        <v>0.02</v>
      </c>
      <c r="Z24" s="212">
        <f t="shared" si="8"/>
        <v>0.06</v>
      </c>
    </row>
    <row r="25">
      <c r="N25" s="237" t="str">
        <f>AVERAGE(N21:N24)</f>
        <v>#DIV/0!</v>
      </c>
      <c r="Q25" s="4" t="s">
        <v>583</v>
      </c>
      <c r="R25" s="5">
        <f t="shared" ref="R25:T25" si="10">R23-R24</f>
        <v>16.2</v>
      </c>
      <c r="S25" s="5">
        <f t="shared" si="10"/>
        <v>14</v>
      </c>
      <c r="T25" s="5">
        <f t="shared" si="10"/>
        <v>14</v>
      </c>
    </row>
    <row r="27">
      <c r="Q27" s="230" t="s">
        <v>546</v>
      </c>
      <c r="R27" s="225">
        <v>2024.0</v>
      </c>
      <c r="S27" s="4"/>
    </row>
    <row r="28">
      <c r="Q28" s="3" t="s">
        <v>549</v>
      </c>
      <c r="R28" s="4">
        <v>110.0</v>
      </c>
      <c r="S28" s="157"/>
    </row>
    <row r="29">
      <c r="Q29" s="3" t="s">
        <v>81</v>
      </c>
      <c r="R29" s="99" t="s">
        <v>584</v>
      </c>
      <c r="S29" s="225"/>
      <c r="T29" s="4"/>
    </row>
    <row r="30">
      <c r="Q30" s="3" t="s">
        <v>286</v>
      </c>
      <c r="R30" s="225" t="s">
        <v>585</v>
      </c>
      <c r="S30" s="157"/>
      <c r="T30" s="4"/>
    </row>
    <row r="32">
      <c r="N32" s="31" t="s">
        <v>586</v>
      </c>
    </row>
    <row r="33">
      <c r="N33" s="3" t="s">
        <v>587</v>
      </c>
      <c r="R33" s="3" t="s">
        <v>588</v>
      </c>
    </row>
    <row r="34">
      <c r="N34" s="3" t="s">
        <v>589</v>
      </c>
      <c r="R34" s="3" t="s">
        <v>590</v>
      </c>
    </row>
    <row r="35">
      <c r="N35" s="3" t="s">
        <v>591</v>
      </c>
      <c r="R35" s="3" t="s">
        <v>592</v>
      </c>
    </row>
    <row r="36">
      <c r="N36" s="3" t="s">
        <v>593</v>
      </c>
      <c r="R36" s="3" t="s">
        <v>594</v>
      </c>
    </row>
    <row r="37">
      <c r="N37" s="3" t="s">
        <v>595</v>
      </c>
      <c r="R37" s="3" t="s">
        <v>596</v>
      </c>
    </row>
    <row r="38">
      <c r="N38" s="3" t="s">
        <v>597</v>
      </c>
      <c r="R38" s="3" t="s">
        <v>598</v>
      </c>
    </row>
    <row r="39">
      <c r="N39" s="3" t="s">
        <v>599</v>
      </c>
      <c r="R39" s="3" t="s">
        <v>600</v>
      </c>
    </row>
    <row r="41">
      <c r="N41" s="3" t="s">
        <v>601</v>
      </c>
      <c r="R41" s="3" t="s">
        <v>602</v>
      </c>
    </row>
    <row r="42">
      <c r="R42" s="3" t="s">
        <v>603</v>
      </c>
    </row>
    <row r="43">
      <c r="N43" s="3" t="s">
        <v>604</v>
      </c>
    </row>
    <row r="44">
      <c r="S44" s="3" t="s">
        <v>605</v>
      </c>
    </row>
    <row r="45">
      <c r="N45" s="3" t="s">
        <v>606</v>
      </c>
      <c r="S45" s="3" t="s">
        <v>607</v>
      </c>
    </row>
    <row r="46">
      <c r="N46" s="65">
        <f>60%*47.5</f>
        <v>28.5</v>
      </c>
      <c r="O46" s="3" t="s">
        <v>608</v>
      </c>
      <c r="S46" s="65">
        <f>60%*55</f>
        <v>33</v>
      </c>
      <c r="T46" s="3" t="s">
        <v>608</v>
      </c>
    </row>
    <row r="47">
      <c r="N47" s="65">
        <f>N46*72%</f>
        <v>20.52</v>
      </c>
      <c r="O47" s="3" t="s">
        <v>609</v>
      </c>
      <c r="S47" s="65">
        <f>S46*83%</f>
        <v>27.39</v>
      </c>
      <c r="T47" s="3" t="s">
        <v>609</v>
      </c>
    </row>
    <row r="48">
      <c r="N48" s="65">
        <f>N46-N47</f>
        <v>7.98</v>
      </c>
      <c r="O48" s="3" t="s">
        <v>610</v>
      </c>
      <c r="S48" s="65">
        <f>S46-S47</f>
        <v>5.61</v>
      </c>
      <c r="T48" s="3" t="s">
        <v>610</v>
      </c>
    </row>
    <row r="49">
      <c r="N49" s="3" t="s">
        <v>662</v>
      </c>
      <c r="R49" s="3" t="s">
        <v>663</v>
      </c>
    </row>
    <row r="50">
      <c r="N50" s="3" t="s">
        <v>613</v>
      </c>
      <c r="R50" s="3" t="s">
        <v>614</v>
      </c>
    </row>
    <row r="51">
      <c r="N51" s="3" t="s">
        <v>615</v>
      </c>
      <c r="R51" s="3" t="s">
        <v>616</v>
      </c>
    </row>
    <row r="52">
      <c r="N52" s="3" t="s">
        <v>617</v>
      </c>
      <c r="R52" s="3" t="s">
        <v>618</v>
      </c>
    </row>
    <row r="54">
      <c r="M54" s="3" t="s">
        <v>619</v>
      </c>
      <c r="N54" s="31" t="s">
        <v>620</v>
      </c>
      <c r="Q54" s="218" t="s">
        <v>619</v>
      </c>
      <c r="R54" s="31" t="s">
        <v>621</v>
      </c>
    </row>
    <row r="57">
      <c r="R57" s="3" t="s">
        <v>664</v>
      </c>
    </row>
    <row r="58">
      <c r="R58" s="3" t="s">
        <v>623</v>
      </c>
    </row>
    <row r="59">
      <c r="R59" s="3" t="s">
        <v>616</v>
      </c>
    </row>
    <row r="60">
      <c r="R60" s="3" t="s">
        <v>618</v>
      </c>
    </row>
    <row r="62">
      <c r="Q62" s="218" t="s">
        <v>619</v>
      </c>
      <c r="R62" s="31" t="s">
        <v>624</v>
      </c>
    </row>
  </sheetData>
  <hyperlinks>
    <hyperlink r:id="rId1" ref="AA20"/>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45378.0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2"/>
      <c r="W1" s="3" t="s">
        <v>665</v>
      </c>
    </row>
    <row r="2">
      <c r="A2" s="191"/>
      <c r="B2" s="54"/>
      <c r="C2" s="4"/>
      <c r="D2" s="4"/>
      <c r="E2" s="54"/>
      <c r="F2" s="54"/>
      <c r="G2" s="54"/>
      <c r="H2" s="54"/>
      <c r="J2" s="5"/>
      <c r="K2" s="4" t="s">
        <v>525</v>
      </c>
      <c r="L2" s="4" t="s">
        <v>525</v>
      </c>
      <c r="M2" s="4" t="s">
        <v>525</v>
      </c>
      <c r="N2" s="4" t="s">
        <v>525</v>
      </c>
      <c r="O2" s="3" t="s">
        <v>527</v>
      </c>
      <c r="P2" s="3"/>
      <c r="R2" s="7"/>
      <c r="S2" s="52"/>
      <c r="T2" s="3" t="s">
        <v>527</v>
      </c>
      <c r="U2" s="52"/>
      <c r="W2" s="3" t="s">
        <v>666</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5">
        <v>91.0</v>
      </c>
      <c r="Q3" s="264">
        <v>96.0</v>
      </c>
      <c r="R3" s="265">
        <v>101.0</v>
      </c>
      <c r="S3" s="266">
        <v>102.0</v>
      </c>
      <c r="T3" s="248">
        <f t="shared" ref="T3:T7" si="2">AVERAGE(P3:S3)</f>
        <v>97.5</v>
      </c>
      <c r="U3" s="52"/>
      <c r="W3" s="3" t="s">
        <v>667</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64">
        <v>83.0</v>
      </c>
      <c r="R4" s="264">
        <v>80.0</v>
      </c>
      <c r="S4" s="264">
        <v>75.0</v>
      </c>
      <c r="T4" s="248">
        <f t="shared" si="2"/>
        <v>80.25</v>
      </c>
      <c r="W4" s="3" t="s">
        <v>668</v>
      </c>
    </row>
    <row r="5" ht="42.0" customHeight="1">
      <c r="A5" s="252" t="s">
        <v>642</v>
      </c>
      <c r="B5" s="4"/>
      <c r="C5" s="4"/>
      <c r="D5" s="54"/>
      <c r="E5" s="54"/>
      <c r="F5" s="54"/>
      <c r="G5" s="54"/>
      <c r="H5" s="54"/>
      <c r="I5" s="112"/>
      <c r="J5" s="112"/>
      <c r="K5" s="263">
        <v>53.0</v>
      </c>
      <c r="L5" s="263">
        <v>54.0</v>
      </c>
      <c r="M5" s="246">
        <v>64.5</v>
      </c>
      <c r="N5" s="263">
        <v>68.9</v>
      </c>
      <c r="O5" s="248">
        <f t="shared" si="1"/>
        <v>60.1</v>
      </c>
      <c r="P5" s="255">
        <f t="shared" ref="P5:S5" si="3">P4-P6</f>
        <v>68</v>
      </c>
      <c r="Q5" s="264">
        <f t="shared" si="3"/>
        <v>68</v>
      </c>
      <c r="R5" s="264">
        <f t="shared" si="3"/>
        <v>65</v>
      </c>
      <c r="S5" s="264">
        <f t="shared" si="3"/>
        <v>60</v>
      </c>
      <c r="T5" s="248">
        <f t="shared" si="2"/>
        <v>65.25</v>
      </c>
      <c r="W5" s="3" t="s">
        <v>669</v>
      </c>
    </row>
    <row r="6" ht="26.25"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5">
        <v>15.0</v>
      </c>
      <c r="Q6" s="255">
        <v>15.0</v>
      </c>
      <c r="R6" s="255">
        <v>15.0</v>
      </c>
      <c r="S6" s="255">
        <v>15.0</v>
      </c>
      <c r="T6" s="248">
        <f t="shared" si="2"/>
        <v>15</v>
      </c>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67">
        <v>7.7</v>
      </c>
      <c r="Q7" s="267">
        <v>8.0</v>
      </c>
      <c r="R7" s="268">
        <v>7.2</v>
      </c>
      <c r="S7" s="267">
        <v>6.0</v>
      </c>
      <c r="T7" s="258">
        <f t="shared" si="2"/>
        <v>7.225</v>
      </c>
      <c r="U7" s="3" t="s">
        <v>670</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71">
        <v>16.0</v>
      </c>
      <c r="Q8" s="269">
        <v>16.0</v>
      </c>
      <c r="R8" s="270">
        <v>14.0</v>
      </c>
      <c r="S8" s="269">
        <v>13.0</v>
      </c>
      <c r="T8" s="258">
        <v>15.3</v>
      </c>
      <c r="U8" s="4" t="s">
        <v>671</v>
      </c>
    </row>
    <row r="9">
      <c r="E9" s="114"/>
      <c r="F9" s="115"/>
      <c r="G9" s="115"/>
      <c r="H9" s="115"/>
      <c r="I9" s="112" t="s">
        <v>406</v>
      </c>
      <c r="J9" s="112" t="s">
        <v>406</v>
      </c>
      <c r="P9" s="218" t="s">
        <v>672</v>
      </c>
      <c r="Q9" s="242">
        <v>96.0</v>
      </c>
      <c r="R9" s="242">
        <v>101.0</v>
      </c>
      <c r="S9" s="242">
        <v>101.0</v>
      </c>
    </row>
    <row r="10">
      <c r="E10" s="114" t="s">
        <v>241</v>
      </c>
      <c r="F10" s="115" t="s">
        <v>242</v>
      </c>
      <c r="G10" s="115" t="s">
        <v>242</v>
      </c>
      <c r="H10" s="115" t="s">
        <v>194</v>
      </c>
      <c r="I10" s="115" t="s">
        <v>148</v>
      </c>
      <c r="P10" s="218" t="s">
        <v>469</v>
      </c>
      <c r="Q10" s="242">
        <v>96.0</v>
      </c>
      <c r="R10" s="242">
        <v>100.0</v>
      </c>
      <c r="S10" s="242">
        <v>102.0</v>
      </c>
      <c r="V10" s="218"/>
      <c r="W10" s="4"/>
    </row>
    <row r="11">
      <c r="A11" s="3" t="s">
        <v>47</v>
      </c>
      <c r="C11" s="4">
        <v>5.7</v>
      </c>
      <c r="D11" s="4">
        <v>6.5</v>
      </c>
      <c r="E11" s="62">
        <v>7.4</v>
      </c>
      <c r="F11" s="54">
        <v>8.1</v>
      </c>
      <c r="G11" s="54"/>
      <c r="H11" s="62"/>
      <c r="I11" s="62"/>
      <c r="J11" s="62"/>
      <c r="P11" s="218" t="s">
        <v>470</v>
      </c>
      <c r="Q11" s="242">
        <v>97.0</v>
      </c>
      <c r="R11" s="242">
        <v>103.0</v>
      </c>
      <c r="S11" s="242">
        <v>103.0</v>
      </c>
      <c r="U11" s="272" t="s">
        <v>673</v>
      </c>
      <c r="V11" s="273" t="s">
        <v>674</v>
      </c>
      <c r="W11" s="274" t="s">
        <v>675</v>
      </c>
      <c r="X11" s="273" t="s">
        <v>676</v>
      </c>
      <c r="Y11" s="274" t="s">
        <v>677</v>
      </c>
      <c r="Z11" s="273" t="s">
        <v>678</v>
      </c>
      <c r="AA11" s="275" t="s">
        <v>679</v>
      </c>
    </row>
    <row r="12">
      <c r="A12" s="3" t="s">
        <v>162</v>
      </c>
      <c r="D12" s="111" t="s">
        <v>241</v>
      </c>
      <c r="E12" s="117">
        <v>7.0</v>
      </c>
      <c r="F12" s="112">
        <v>7.3</v>
      </c>
      <c r="G12" s="112"/>
      <c r="H12" s="112"/>
      <c r="I12" s="117"/>
      <c r="J12" s="112"/>
      <c r="P12" s="218"/>
      <c r="Q12" s="242"/>
      <c r="R12" s="242"/>
      <c r="S12" s="242"/>
      <c r="T12" s="3" t="s">
        <v>470</v>
      </c>
      <c r="U12" s="276">
        <v>16.0</v>
      </c>
      <c r="V12" s="277">
        <v>16.0</v>
      </c>
      <c r="W12" s="277">
        <v>15.0</v>
      </c>
      <c r="X12" s="277">
        <v>14.0</v>
      </c>
      <c r="Y12" s="277">
        <v>14.0</v>
      </c>
      <c r="Z12" s="277">
        <v>13.0</v>
      </c>
      <c r="AA12" s="278">
        <v>15.3</v>
      </c>
    </row>
    <row r="13">
      <c r="C13" s="10"/>
      <c r="D13" s="10"/>
      <c r="E13" s="10"/>
      <c r="F13" s="10"/>
      <c r="G13" s="10"/>
      <c r="H13" s="10"/>
      <c r="I13" s="10"/>
      <c r="J13" s="10"/>
      <c r="P13" s="234" t="str">
        <f t="shared" ref="P13:S13" si="6">AVERAGE(P9:P12)</f>
        <v>#DIV/0!</v>
      </c>
      <c r="Q13" s="234">
        <f t="shared" si="6"/>
        <v>96.33333333</v>
      </c>
      <c r="R13" s="234">
        <f t="shared" si="6"/>
        <v>101.3333333</v>
      </c>
      <c r="S13" s="234">
        <f t="shared" si="6"/>
        <v>102</v>
      </c>
      <c r="T13" s="3" t="s">
        <v>468</v>
      </c>
      <c r="U13" s="279">
        <v>16.0</v>
      </c>
      <c r="V13" s="280">
        <v>16.0</v>
      </c>
      <c r="W13" s="280">
        <v>15.0</v>
      </c>
      <c r="X13" s="280">
        <v>14.0</v>
      </c>
      <c r="Y13" s="280">
        <v>13.0</v>
      </c>
      <c r="Z13" s="280">
        <v>12.0</v>
      </c>
      <c r="AA13" s="281">
        <v>15.1</v>
      </c>
    </row>
    <row r="14">
      <c r="E14" s="118"/>
      <c r="F14" s="118"/>
      <c r="G14" s="118"/>
      <c r="H14" s="118"/>
      <c r="I14" s="118"/>
      <c r="J14" s="118"/>
      <c r="S14" s="55"/>
      <c r="T14" s="3" t="s">
        <v>469</v>
      </c>
      <c r="U14" s="276">
        <v>16.0</v>
      </c>
      <c r="V14" s="277">
        <v>16.0</v>
      </c>
      <c r="W14" s="277">
        <v>15.0</v>
      </c>
      <c r="X14" s="277">
        <v>14.0</v>
      </c>
      <c r="Y14" s="277">
        <v>14.0</v>
      </c>
      <c r="Z14" s="277">
        <v>13.0</v>
      </c>
      <c r="AA14" s="278">
        <v>15.3</v>
      </c>
    </row>
    <row r="15">
      <c r="E15" s="118"/>
      <c r="F15" s="118"/>
      <c r="G15" s="118"/>
      <c r="H15" s="118"/>
      <c r="I15" s="118"/>
      <c r="J15" s="118"/>
      <c r="O15" s="218" t="s">
        <v>680</v>
      </c>
      <c r="P15" s="243">
        <v>6.0</v>
      </c>
      <c r="R15" s="218" t="s">
        <v>681</v>
      </c>
      <c r="S15" s="242"/>
      <c r="T15" s="210"/>
    </row>
    <row r="16">
      <c r="E16" s="118"/>
      <c r="F16" s="118"/>
      <c r="G16" s="118"/>
      <c r="H16" s="118"/>
      <c r="I16" s="118"/>
      <c r="J16" s="118"/>
      <c r="O16" s="218" t="s">
        <v>469</v>
      </c>
      <c r="P16" s="243">
        <v>6.0</v>
      </c>
      <c r="R16" s="218" t="s">
        <v>469</v>
      </c>
      <c r="S16" s="242"/>
      <c r="U16" s="212"/>
    </row>
    <row r="17">
      <c r="E17" s="118"/>
      <c r="F17" s="118"/>
      <c r="G17" s="118"/>
      <c r="H17" s="118"/>
      <c r="I17" s="118"/>
      <c r="J17" s="118"/>
      <c r="N17" s="218" t="s">
        <v>682</v>
      </c>
      <c r="O17" s="218" t="s">
        <v>470</v>
      </c>
      <c r="P17" s="243">
        <v>6.0</v>
      </c>
      <c r="Q17" s="172" t="s">
        <v>683</v>
      </c>
      <c r="R17" s="218" t="s">
        <v>470</v>
      </c>
      <c r="S17" s="242"/>
      <c r="X17" s="41">
        <v>0.1</v>
      </c>
      <c r="Y17" s="41">
        <v>0.3</v>
      </c>
    </row>
    <row r="18">
      <c r="E18" s="118"/>
      <c r="F18" s="118"/>
      <c r="G18" s="118"/>
      <c r="H18" s="118"/>
      <c r="I18" s="118"/>
      <c r="J18" s="118"/>
      <c r="O18" s="218"/>
      <c r="P18" s="242"/>
      <c r="R18" s="218"/>
      <c r="S18" s="242"/>
      <c r="V18" s="3" t="s">
        <v>536</v>
      </c>
      <c r="X18" s="3" t="s">
        <v>537</v>
      </c>
    </row>
    <row r="19">
      <c r="E19" s="118"/>
      <c r="F19" s="118"/>
      <c r="G19" s="118"/>
      <c r="H19" s="118"/>
      <c r="I19" s="118"/>
      <c r="J19" s="118"/>
      <c r="K19" s="119"/>
      <c r="P19" s="234">
        <f>AVERAGE(P15:P18)</f>
        <v>6</v>
      </c>
      <c r="S19" s="237" t="str">
        <f>AVERAGE(S15:S18)</f>
        <v>#DIV/0!</v>
      </c>
      <c r="V19" s="3" t="s">
        <v>538</v>
      </c>
      <c r="W19" s="4">
        <v>0.24</v>
      </c>
      <c r="X19" s="212">
        <f t="shared" ref="X19:X24" si="7">W19*$X$17</f>
        <v>0.024</v>
      </c>
      <c r="Y19" s="212">
        <f t="shared" ref="Y19:Y24" si="8">W19*$Y$17</f>
        <v>0.072</v>
      </c>
    </row>
    <row r="20">
      <c r="A20" s="3"/>
      <c r="B20" s="12"/>
      <c r="C20" s="12"/>
      <c r="D20" s="13"/>
      <c r="E20" s="13"/>
      <c r="F20" s="13"/>
      <c r="G20" s="13"/>
      <c r="H20" s="13"/>
      <c r="I20" s="13"/>
      <c r="J20" s="13"/>
      <c r="K20" s="13"/>
      <c r="V20" s="99" t="s">
        <v>540</v>
      </c>
      <c r="W20" s="4">
        <v>0.055</v>
      </c>
      <c r="X20" s="212">
        <f t="shared" si="7"/>
        <v>0.0055</v>
      </c>
      <c r="Y20" s="212">
        <f t="shared" si="8"/>
        <v>0.0165</v>
      </c>
      <c r="Z20" s="49" t="s">
        <v>541</v>
      </c>
    </row>
    <row r="21">
      <c r="Q21" s="4" t="s">
        <v>652</v>
      </c>
      <c r="R21" s="4" t="s">
        <v>335</v>
      </c>
      <c r="S21" s="4" t="s">
        <v>338</v>
      </c>
      <c r="T21" s="4" t="s">
        <v>581</v>
      </c>
      <c r="V21" s="3" t="s">
        <v>542</v>
      </c>
      <c r="W21" s="4">
        <v>0.1</v>
      </c>
      <c r="X21" s="212">
        <f t="shared" si="7"/>
        <v>0.01</v>
      </c>
      <c r="Y21" s="212">
        <f t="shared" si="8"/>
        <v>0.03</v>
      </c>
    </row>
    <row r="22">
      <c r="P22" s="4" t="s">
        <v>62</v>
      </c>
      <c r="Q22" s="232">
        <v>89.5</v>
      </c>
      <c r="R22" s="232">
        <v>91.7</v>
      </c>
      <c r="S22" s="8">
        <v>91.9</v>
      </c>
      <c r="T22" s="226">
        <f t="shared" ref="T22:T24" si="9">AVERAGE(Q22:S22)</f>
        <v>91.03333333</v>
      </c>
      <c r="V22" s="3" t="s">
        <v>543</v>
      </c>
      <c r="W22" s="4">
        <f>(0.05+0.1)/2</f>
        <v>0.075</v>
      </c>
      <c r="X22" s="212">
        <f t="shared" si="7"/>
        <v>0.0075</v>
      </c>
      <c r="Y22" s="212">
        <f t="shared" si="8"/>
        <v>0.0225</v>
      </c>
    </row>
    <row r="23">
      <c r="P23" s="4" t="s">
        <v>28</v>
      </c>
      <c r="Q23" s="232">
        <v>80.1</v>
      </c>
      <c r="R23" s="232">
        <v>83.5</v>
      </c>
      <c r="S23" s="8">
        <v>85.6</v>
      </c>
      <c r="T23" s="226">
        <f t="shared" si="9"/>
        <v>83.06666667</v>
      </c>
      <c r="V23" s="3" t="s">
        <v>545</v>
      </c>
      <c r="W23" s="4">
        <v>0.05</v>
      </c>
      <c r="X23" s="212">
        <f t="shared" si="7"/>
        <v>0.005</v>
      </c>
      <c r="Y23" s="212">
        <f t="shared" si="8"/>
        <v>0.015</v>
      </c>
    </row>
    <row r="24">
      <c r="P24" s="4" t="s">
        <v>582</v>
      </c>
      <c r="Q24" s="232">
        <v>63.9</v>
      </c>
      <c r="R24" s="232">
        <v>67.6</v>
      </c>
      <c r="S24" s="8">
        <v>71.3</v>
      </c>
      <c r="T24" s="226">
        <f t="shared" si="9"/>
        <v>67.6</v>
      </c>
      <c r="V24" s="3" t="s">
        <v>558</v>
      </c>
      <c r="W24" s="4">
        <v>0.2</v>
      </c>
      <c r="X24" s="212">
        <f t="shared" si="7"/>
        <v>0.02</v>
      </c>
      <c r="Y24" s="212">
        <f t="shared" si="8"/>
        <v>0.06</v>
      </c>
    </row>
    <row r="25">
      <c r="P25" s="4" t="s">
        <v>583</v>
      </c>
      <c r="Q25" s="5">
        <f t="shared" ref="Q25:S25" si="10">Q23-Q24</f>
        <v>16.2</v>
      </c>
      <c r="R25" s="5">
        <f t="shared" si="10"/>
        <v>15.9</v>
      </c>
      <c r="S25" s="5">
        <f t="shared" si="10"/>
        <v>14.3</v>
      </c>
    </row>
    <row r="27">
      <c r="N27" s="230" t="s">
        <v>546</v>
      </c>
      <c r="O27" s="225">
        <v>2024.0</v>
      </c>
      <c r="Q27" s="4" t="s">
        <v>340</v>
      </c>
      <c r="R27" s="4" t="s">
        <v>171</v>
      </c>
      <c r="S27" s="4" t="s">
        <v>343</v>
      </c>
      <c r="T27" s="4" t="s">
        <v>581</v>
      </c>
    </row>
    <row r="28">
      <c r="N28" s="3" t="s">
        <v>549</v>
      </c>
      <c r="O28" s="4">
        <v>110.0</v>
      </c>
      <c r="P28" s="4" t="s">
        <v>62</v>
      </c>
      <c r="Q28" s="236">
        <v>94.0</v>
      </c>
      <c r="R28" s="236">
        <v>96.0</v>
      </c>
      <c r="S28" s="24">
        <v>97.0</v>
      </c>
      <c r="T28" s="226">
        <f t="shared" ref="T28:T30" si="11">AVERAGE(Q28:S28)</f>
        <v>95.66666667</v>
      </c>
    </row>
    <row r="29">
      <c r="N29" s="3" t="s">
        <v>81</v>
      </c>
      <c r="O29" s="99" t="s">
        <v>584</v>
      </c>
      <c r="P29" s="4" t="s">
        <v>28</v>
      </c>
      <c r="Q29" s="236"/>
      <c r="R29" s="236"/>
      <c r="S29" s="24"/>
      <c r="T29" s="226" t="str">
        <f t="shared" si="11"/>
        <v>#DIV/0!</v>
      </c>
    </row>
    <row r="30">
      <c r="N30" s="3" t="s">
        <v>286</v>
      </c>
      <c r="O30" s="225" t="s">
        <v>585</v>
      </c>
      <c r="P30" s="4" t="s">
        <v>582</v>
      </c>
      <c r="Q30" s="236"/>
      <c r="R30" s="236"/>
      <c r="S30" s="24"/>
      <c r="T30" s="226" t="str">
        <f t="shared" si="11"/>
        <v>#DIV/0!</v>
      </c>
    </row>
    <row r="31">
      <c r="P31" s="4" t="s">
        <v>583</v>
      </c>
      <c r="Q31" s="5">
        <f t="shared" ref="Q31:S31" si="12">Q29-Q30</f>
        <v>0</v>
      </c>
      <c r="R31" s="5">
        <f t="shared" si="12"/>
        <v>0</v>
      </c>
      <c r="S31" s="5">
        <f t="shared" si="12"/>
        <v>0</v>
      </c>
    </row>
    <row r="32">
      <c r="N32" s="31" t="s">
        <v>586</v>
      </c>
    </row>
    <row r="33">
      <c r="N33" s="3" t="s">
        <v>587</v>
      </c>
      <c r="Q33" s="3" t="s">
        <v>588</v>
      </c>
    </row>
    <row r="34">
      <c r="N34" s="3" t="s">
        <v>589</v>
      </c>
      <c r="Q34" s="3" t="s">
        <v>590</v>
      </c>
    </row>
    <row r="35">
      <c r="N35" s="3" t="s">
        <v>591</v>
      </c>
      <c r="Q35" s="3" t="s">
        <v>592</v>
      </c>
    </row>
    <row r="36">
      <c r="N36" s="3" t="s">
        <v>593</v>
      </c>
      <c r="Q36" s="3" t="s">
        <v>594</v>
      </c>
    </row>
    <row r="37">
      <c r="N37" s="3" t="s">
        <v>595</v>
      </c>
      <c r="Q37" s="3" t="s">
        <v>596</v>
      </c>
    </row>
    <row r="38">
      <c r="N38" s="3" t="s">
        <v>597</v>
      </c>
      <c r="Q38" s="3" t="s">
        <v>598</v>
      </c>
    </row>
    <row r="39">
      <c r="N39" s="3" t="s">
        <v>599</v>
      </c>
      <c r="Q39" s="3" t="s">
        <v>600</v>
      </c>
    </row>
    <row r="41">
      <c r="N41" s="3" t="s">
        <v>601</v>
      </c>
      <c r="Q41" s="3" t="s">
        <v>602</v>
      </c>
    </row>
    <row r="42">
      <c r="Q42" s="3" t="s">
        <v>603</v>
      </c>
    </row>
    <row r="43">
      <c r="N43" s="3" t="s">
        <v>604</v>
      </c>
    </row>
    <row r="44">
      <c r="R44" s="3" t="s">
        <v>605</v>
      </c>
    </row>
    <row r="45">
      <c r="N45" s="3" t="s">
        <v>606</v>
      </c>
      <c r="R45" s="3" t="s">
        <v>607</v>
      </c>
    </row>
    <row r="46">
      <c r="N46" s="65">
        <f>60%*47.5</f>
        <v>28.5</v>
      </c>
      <c r="O46" s="3" t="s">
        <v>608</v>
      </c>
      <c r="R46" s="65">
        <f>60%*55</f>
        <v>33</v>
      </c>
      <c r="S46" s="3" t="s">
        <v>608</v>
      </c>
    </row>
    <row r="47">
      <c r="N47" s="65">
        <f>N46*72%</f>
        <v>20.52</v>
      </c>
      <c r="O47" s="3" t="s">
        <v>609</v>
      </c>
      <c r="R47" s="65">
        <f>R46*83%</f>
        <v>27.39</v>
      </c>
      <c r="S47" s="3" t="s">
        <v>609</v>
      </c>
    </row>
    <row r="48">
      <c r="N48" s="65">
        <f>N46-N47</f>
        <v>7.98</v>
      </c>
      <c r="O48" s="3" t="s">
        <v>610</v>
      </c>
      <c r="R48" s="65">
        <f>R46-R47</f>
        <v>5.61</v>
      </c>
      <c r="S48" s="3" t="s">
        <v>610</v>
      </c>
    </row>
    <row r="49">
      <c r="N49" s="3" t="s">
        <v>684</v>
      </c>
      <c r="Q49" s="3" t="s">
        <v>685</v>
      </c>
    </row>
    <row r="50">
      <c r="N50" s="3" t="s">
        <v>613</v>
      </c>
      <c r="Q50" s="3" t="s">
        <v>614</v>
      </c>
    </row>
    <row r="51">
      <c r="N51" s="3" t="s">
        <v>615</v>
      </c>
      <c r="Q51" s="3" t="s">
        <v>616</v>
      </c>
    </row>
    <row r="52">
      <c r="N52" s="3" t="s">
        <v>617</v>
      </c>
      <c r="Q52" s="3" t="s">
        <v>618</v>
      </c>
    </row>
    <row r="54">
      <c r="M54" s="3" t="s">
        <v>619</v>
      </c>
      <c r="N54" s="31" t="s">
        <v>620</v>
      </c>
      <c r="P54" s="218" t="s">
        <v>619</v>
      </c>
      <c r="Q54" s="31" t="s">
        <v>621</v>
      </c>
    </row>
    <row r="57">
      <c r="Q57" s="3" t="s">
        <v>686</v>
      </c>
    </row>
    <row r="58">
      <c r="Q58" s="3" t="s">
        <v>623</v>
      </c>
    </row>
    <row r="59">
      <c r="Q59" s="3" t="s">
        <v>616</v>
      </c>
    </row>
    <row r="60">
      <c r="Q60" s="3" t="s">
        <v>618</v>
      </c>
    </row>
    <row r="62">
      <c r="P62" s="218" t="s">
        <v>619</v>
      </c>
      <c r="Q62" s="31" t="s">
        <v>624</v>
      </c>
    </row>
  </sheetData>
  <hyperlinks>
    <hyperlink r:id="rId1" ref="Z20"/>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45404.0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2"/>
      <c r="V1" s="3" t="s">
        <v>687</v>
      </c>
    </row>
    <row r="2">
      <c r="A2" s="191"/>
      <c r="B2" s="54"/>
      <c r="C2" s="4"/>
      <c r="D2" s="4"/>
      <c r="E2" s="54"/>
      <c r="F2" s="54"/>
      <c r="G2" s="54"/>
      <c r="H2" s="54"/>
      <c r="J2" s="5"/>
      <c r="K2" s="4" t="s">
        <v>525</v>
      </c>
      <c r="L2" s="4" t="s">
        <v>525</v>
      </c>
      <c r="M2" s="4" t="s">
        <v>525</v>
      </c>
      <c r="N2" s="4" t="s">
        <v>525</v>
      </c>
      <c r="O2" s="3" t="s">
        <v>527</v>
      </c>
      <c r="P2" s="3"/>
      <c r="R2" s="7"/>
      <c r="S2" s="52"/>
      <c r="T2" s="3" t="s">
        <v>527</v>
      </c>
      <c r="U2" s="52"/>
      <c r="V2" s="3" t="s">
        <v>688</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5">
        <v>91.0</v>
      </c>
      <c r="Q3" s="264">
        <v>96.0</v>
      </c>
      <c r="R3" s="265">
        <v>101.0</v>
      </c>
      <c r="S3" s="266">
        <v>102.0</v>
      </c>
      <c r="T3" s="248">
        <f t="shared" ref="T3:T7" si="2">AVERAGE(P3:S3)</f>
        <v>97.5</v>
      </c>
      <c r="U3" s="52"/>
      <c r="V3" s="3" t="s">
        <v>689</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64">
        <v>83.0</v>
      </c>
      <c r="R4" s="264">
        <v>80.0</v>
      </c>
      <c r="S4" s="264">
        <v>75.0</v>
      </c>
      <c r="T4" s="248">
        <f t="shared" si="2"/>
        <v>80.25</v>
      </c>
      <c r="V4" s="3" t="s">
        <v>690</v>
      </c>
    </row>
    <row r="5" ht="42.0" customHeight="1">
      <c r="A5" s="252" t="s">
        <v>642</v>
      </c>
      <c r="B5" s="4"/>
      <c r="C5" s="4"/>
      <c r="D5" s="54"/>
      <c r="E5" s="54"/>
      <c r="F5" s="54"/>
      <c r="G5" s="54"/>
      <c r="H5" s="54"/>
      <c r="I5" s="112"/>
      <c r="J5" s="112"/>
      <c r="K5" s="263">
        <v>53.0</v>
      </c>
      <c r="L5" s="263">
        <v>54.0</v>
      </c>
      <c r="M5" s="246">
        <v>64.5</v>
      </c>
      <c r="N5" s="263">
        <v>68.9</v>
      </c>
      <c r="O5" s="248">
        <f t="shared" si="1"/>
        <v>60.1</v>
      </c>
      <c r="P5" s="255">
        <f t="shared" ref="P5:S5" si="3">P4-P6</f>
        <v>68</v>
      </c>
      <c r="Q5" s="264">
        <f t="shared" si="3"/>
        <v>68</v>
      </c>
      <c r="R5" s="264">
        <f t="shared" si="3"/>
        <v>65</v>
      </c>
      <c r="S5" s="264">
        <f t="shared" si="3"/>
        <v>60</v>
      </c>
      <c r="T5" s="248">
        <f t="shared" si="2"/>
        <v>65.25</v>
      </c>
    </row>
    <row r="6" ht="26.25"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5">
        <v>15.0</v>
      </c>
      <c r="Q6" s="255">
        <v>15.0</v>
      </c>
      <c r="R6" s="255">
        <v>15.0</v>
      </c>
      <c r="S6" s="255">
        <v>15.0</v>
      </c>
      <c r="T6" s="248">
        <f t="shared" si="2"/>
        <v>15</v>
      </c>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82">
        <v>7.7</v>
      </c>
      <c r="Q7" s="267">
        <v>8.0</v>
      </c>
      <c r="R7" s="268">
        <v>7.2</v>
      </c>
      <c r="S7" s="267">
        <v>6.0</v>
      </c>
      <c r="T7" s="258">
        <f t="shared" si="2"/>
        <v>7.225</v>
      </c>
      <c r="U7" s="3" t="s">
        <v>691</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71">
        <v>16.0</v>
      </c>
      <c r="Q8" s="269">
        <v>16.0</v>
      </c>
      <c r="R8" s="270">
        <v>16.0</v>
      </c>
      <c r="S8" s="269">
        <v>16.0</v>
      </c>
      <c r="T8" s="258">
        <v>16.0</v>
      </c>
      <c r="U8" s="4" t="s">
        <v>671</v>
      </c>
      <c r="V8" s="3" t="s">
        <v>403</v>
      </c>
      <c r="Y8" s="3">
        <v>2.25</v>
      </c>
    </row>
    <row r="9">
      <c r="E9" s="114"/>
      <c r="F9" s="115"/>
      <c r="G9" s="115"/>
      <c r="H9" s="115"/>
      <c r="I9" s="112" t="s">
        <v>406</v>
      </c>
      <c r="J9" s="112" t="s">
        <v>406</v>
      </c>
      <c r="P9" s="218" t="s">
        <v>692</v>
      </c>
      <c r="Q9" s="242">
        <v>96.0</v>
      </c>
      <c r="R9" s="242">
        <v>101.0</v>
      </c>
      <c r="S9" s="242">
        <v>101.0</v>
      </c>
      <c r="V9" s="3" t="s">
        <v>693</v>
      </c>
      <c r="X9" s="3" t="s">
        <v>96</v>
      </c>
      <c r="Y9" s="215">
        <v>0.7</v>
      </c>
    </row>
    <row r="10">
      <c r="E10" s="114" t="s">
        <v>241</v>
      </c>
      <c r="F10" s="115" t="s">
        <v>242</v>
      </c>
      <c r="G10" s="115" t="s">
        <v>242</v>
      </c>
      <c r="H10" s="115" t="s">
        <v>194</v>
      </c>
      <c r="I10" s="115" t="s">
        <v>148</v>
      </c>
      <c r="P10" s="218" t="s">
        <v>469</v>
      </c>
      <c r="Q10" s="242">
        <v>96.0</v>
      </c>
      <c r="R10" s="242">
        <v>100.0</v>
      </c>
      <c r="S10" s="242">
        <v>102.0</v>
      </c>
      <c r="V10" s="218"/>
      <c r="W10" s="4"/>
      <c r="X10" s="3" t="s">
        <v>694</v>
      </c>
      <c r="Y10" s="215">
        <v>0.3</v>
      </c>
    </row>
    <row r="11">
      <c r="A11" s="3" t="s">
        <v>47</v>
      </c>
      <c r="C11" s="4">
        <v>5.7</v>
      </c>
      <c r="D11" s="4">
        <v>6.5</v>
      </c>
      <c r="E11" s="62">
        <v>7.4</v>
      </c>
      <c r="F11" s="54">
        <v>8.1</v>
      </c>
      <c r="G11" s="54"/>
      <c r="H11" s="62"/>
      <c r="I11" s="62"/>
      <c r="J11" s="62"/>
      <c r="P11" s="218" t="s">
        <v>470</v>
      </c>
      <c r="Q11" s="242">
        <v>97.0</v>
      </c>
      <c r="R11" s="242">
        <v>103.0</v>
      </c>
      <c r="S11" s="242">
        <v>103.0</v>
      </c>
      <c r="U11" s="272" t="s">
        <v>673</v>
      </c>
      <c r="V11" s="273" t="s">
        <v>674</v>
      </c>
      <c r="W11" s="274" t="s">
        <v>675</v>
      </c>
      <c r="X11" s="273" t="s">
        <v>676</v>
      </c>
      <c r="Y11" s="274" t="s">
        <v>677</v>
      </c>
      <c r="Z11" s="273" t="s">
        <v>678</v>
      </c>
      <c r="AA11" s="275" t="s">
        <v>679</v>
      </c>
    </row>
    <row r="12">
      <c r="A12" s="3" t="s">
        <v>162</v>
      </c>
      <c r="D12" s="111" t="s">
        <v>241</v>
      </c>
      <c r="E12" s="117">
        <v>7.0</v>
      </c>
      <c r="F12" s="112">
        <v>7.3</v>
      </c>
      <c r="G12" s="112"/>
      <c r="H12" s="112"/>
      <c r="I12" s="117"/>
      <c r="J12" s="112"/>
      <c r="P12" s="218"/>
      <c r="Q12" s="242"/>
      <c r="R12" s="242"/>
      <c r="S12" s="242"/>
      <c r="T12" s="3" t="s">
        <v>470</v>
      </c>
      <c r="U12" s="276">
        <v>16.0</v>
      </c>
      <c r="V12" s="276">
        <v>16.0</v>
      </c>
      <c r="W12" s="276">
        <v>16.0</v>
      </c>
      <c r="X12" s="276">
        <v>16.0</v>
      </c>
      <c r="Y12" s="276">
        <v>16.0</v>
      </c>
      <c r="Z12" s="276">
        <v>16.0</v>
      </c>
      <c r="AA12" s="278"/>
    </row>
    <row r="13">
      <c r="C13" s="10"/>
      <c r="D13" s="10"/>
      <c r="E13" s="10"/>
      <c r="F13" s="10"/>
      <c r="G13" s="10"/>
      <c r="H13" s="10"/>
      <c r="I13" s="10"/>
      <c r="J13" s="10"/>
      <c r="P13" s="234" t="str">
        <f t="shared" ref="P13:S13" si="6">AVERAGE(P9:P12)</f>
        <v>#DIV/0!</v>
      </c>
      <c r="Q13" s="234">
        <f t="shared" si="6"/>
        <v>96.33333333</v>
      </c>
      <c r="R13" s="234">
        <f t="shared" si="6"/>
        <v>101.3333333</v>
      </c>
      <c r="S13" s="234">
        <f t="shared" si="6"/>
        <v>102</v>
      </c>
      <c r="T13" s="3" t="s">
        <v>468</v>
      </c>
      <c r="U13" s="279">
        <v>16.0</v>
      </c>
      <c r="V13" s="280">
        <v>17.0</v>
      </c>
      <c r="W13" s="280">
        <v>17.0</v>
      </c>
      <c r="X13" s="280">
        <v>17.0</v>
      </c>
      <c r="Y13" s="280">
        <v>17.0</v>
      </c>
      <c r="Z13" s="280">
        <v>17.0</v>
      </c>
      <c r="AA13" s="281"/>
    </row>
    <row r="14">
      <c r="E14" s="118"/>
      <c r="F14" s="118"/>
      <c r="G14" s="118"/>
      <c r="H14" s="118"/>
      <c r="I14" s="118"/>
      <c r="J14" s="118"/>
      <c r="S14" s="55"/>
      <c r="T14" s="3" t="s">
        <v>469</v>
      </c>
      <c r="U14" s="276">
        <v>16.0</v>
      </c>
      <c r="V14" s="276">
        <v>16.0</v>
      </c>
      <c r="W14" s="276">
        <v>16.0</v>
      </c>
      <c r="X14" s="276">
        <v>16.0</v>
      </c>
      <c r="Y14" s="276">
        <v>16.0</v>
      </c>
      <c r="Z14" s="276">
        <v>16.0</v>
      </c>
      <c r="AA14" s="278"/>
    </row>
    <row r="15">
      <c r="E15" s="118"/>
      <c r="F15" s="118"/>
      <c r="G15" s="118"/>
      <c r="H15" s="118"/>
      <c r="I15" s="118"/>
      <c r="J15" s="118"/>
      <c r="O15" s="218" t="s">
        <v>695</v>
      </c>
      <c r="P15" s="243"/>
      <c r="R15" s="218" t="s">
        <v>696</v>
      </c>
      <c r="S15" s="242">
        <v>17.0</v>
      </c>
      <c r="T15" s="210"/>
    </row>
    <row r="16">
      <c r="E16" s="118"/>
      <c r="F16" s="118"/>
      <c r="G16" s="118"/>
      <c r="H16" s="118"/>
      <c r="I16" s="118"/>
      <c r="J16" s="118"/>
      <c r="O16" s="218" t="s">
        <v>469</v>
      </c>
      <c r="P16" s="243"/>
      <c r="R16" s="218" t="s">
        <v>469</v>
      </c>
      <c r="S16" s="242">
        <v>16.0</v>
      </c>
      <c r="U16" s="212"/>
    </row>
    <row r="17">
      <c r="E17" s="118"/>
      <c r="F17" s="118"/>
      <c r="G17" s="118"/>
      <c r="H17" s="118"/>
      <c r="I17" s="118"/>
      <c r="J17" s="118"/>
      <c r="N17" s="218" t="s">
        <v>682</v>
      </c>
      <c r="O17" s="218" t="s">
        <v>470</v>
      </c>
      <c r="P17" s="243"/>
      <c r="Q17" s="172" t="s">
        <v>683</v>
      </c>
      <c r="R17" s="218" t="s">
        <v>470</v>
      </c>
      <c r="S17" s="242">
        <v>16.0</v>
      </c>
      <c r="X17" s="41">
        <v>0.1</v>
      </c>
      <c r="Y17" s="41">
        <v>0.3</v>
      </c>
    </row>
    <row r="18">
      <c r="E18" s="118"/>
      <c r="F18" s="118"/>
      <c r="G18" s="118"/>
      <c r="H18" s="118"/>
      <c r="I18" s="118"/>
      <c r="J18" s="118"/>
      <c r="O18" s="218"/>
      <c r="P18" s="242"/>
      <c r="R18" s="218"/>
      <c r="S18" s="242"/>
      <c r="V18" s="3" t="s">
        <v>536</v>
      </c>
      <c r="X18" s="3" t="s">
        <v>537</v>
      </c>
    </row>
    <row r="19">
      <c r="E19" s="118"/>
      <c r="F19" s="118"/>
      <c r="G19" s="118"/>
      <c r="H19" s="118"/>
      <c r="I19" s="118"/>
      <c r="J19" s="118"/>
      <c r="K19" s="119"/>
      <c r="P19" s="234" t="str">
        <f>AVERAGE(P15:P18)</f>
        <v>#DIV/0!</v>
      </c>
      <c r="S19" s="283">
        <f>AVERAGE(S15:S18)</f>
        <v>16.33333333</v>
      </c>
      <c r="V19" s="3" t="s">
        <v>538</v>
      </c>
      <c r="W19" s="4">
        <v>0.24</v>
      </c>
      <c r="X19" s="212">
        <f t="shared" ref="X19:X24" si="7">W19*$X$17</f>
        <v>0.024</v>
      </c>
      <c r="Y19" s="212">
        <f t="shared" ref="Y19:Y24" si="8">W19*$Y$17</f>
        <v>0.072</v>
      </c>
    </row>
    <row r="20">
      <c r="A20" s="3"/>
      <c r="B20" s="12"/>
      <c r="C20" s="12"/>
      <c r="D20" s="13"/>
      <c r="E20" s="13"/>
      <c r="F20" s="13"/>
      <c r="G20" s="13"/>
      <c r="H20" s="13"/>
      <c r="I20" s="13"/>
      <c r="J20" s="13"/>
      <c r="K20" s="13"/>
      <c r="V20" s="99" t="s">
        <v>540</v>
      </c>
      <c r="W20" s="4">
        <v>0.055</v>
      </c>
      <c r="X20" s="212">
        <f t="shared" si="7"/>
        <v>0.0055</v>
      </c>
      <c r="Y20" s="212">
        <f t="shared" si="8"/>
        <v>0.0165</v>
      </c>
      <c r="Z20" s="49" t="s">
        <v>541</v>
      </c>
    </row>
    <row r="21">
      <c r="Q21" s="4" t="s">
        <v>652</v>
      </c>
      <c r="R21" s="4" t="s">
        <v>335</v>
      </c>
      <c r="S21" s="4" t="s">
        <v>338</v>
      </c>
      <c r="T21" s="4" t="s">
        <v>581</v>
      </c>
      <c r="V21" s="3" t="s">
        <v>542</v>
      </c>
      <c r="W21" s="4">
        <v>0.1</v>
      </c>
      <c r="X21" s="212">
        <f t="shared" si="7"/>
        <v>0.01</v>
      </c>
      <c r="Y21" s="212">
        <f t="shared" si="8"/>
        <v>0.03</v>
      </c>
    </row>
    <row r="22">
      <c r="P22" s="4" t="s">
        <v>62</v>
      </c>
      <c r="Q22" s="232">
        <v>89.5</v>
      </c>
      <c r="R22" s="232">
        <v>91.7</v>
      </c>
      <c r="S22" s="8">
        <v>91.9</v>
      </c>
      <c r="T22" s="226">
        <f t="shared" ref="T22:T24" si="9">AVERAGE(Q22:S22)</f>
        <v>91.03333333</v>
      </c>
      <c r="V22" s="3" t="s">
        <v>543</v>
      </c>
      <c r="W22" s="4">
        <f>(0.05+0.1)/2</f>
        <v>0.075</v>
      </c>
      <c r="X22" s="212">
        <f t="shared" si="7"/>
        <v>0.0075</v>
      </c>
      <c r="Y22" s="212">
        <f t="shared" si="8"/>
        <v>0.0225</v>
      </c>
    </row>
    <row r="23">
      <c r="P23" s="4" t="s">
        <v>28</v>
      </c>
      <c r="Q23" s="232">
        <v>80.1</v>
      </c>
      <c r="R23" s="232">
        <v>83.5</v>
      </c>
      <c r="S23" s="8">
        <v>85.6</v>
      </c>
      <c r="T23" s="226">
        <f t="shared" si="9"/>
        <v>83.06666667</v>
      </c>
      <c r="V23" s="3" t="s">
        <v>545</v>
      </c>
      <c r="W23" s="4">
        <v>0.05</v>
      </c>
      <c r="X23" s="212">
        <f t="shared" si="7"/>
        <v>0.005</v>
      </c>
      <c r="Y23" s="212">
        <f t="shared" si="8"/>
        <v>0.015</v>
      </c>
    </row>
    <row r="24">
      <c r="P24" s="4" t="s">
        <v>582</v>
      </c>
      <c r="Q24" s="232">
        <v>63.9</v>
      </c>
      <c r="R24" s="232">
        <v>67.6</v>
      </c>
      <c r="S24" s="8">
        <v>71.3</v>
      </c>
      <c r="T24" s="226">
        <f t="shared" si="9"/>
        <v>67.6</v>
      </c>
      <c r="V24" s="3" t="s">
        <v>558</v>
      </c>
      <c r="W24" s="4">
        <v>0.2</v>
      </c>
      <c r="X24" s="212">
        <f t="shared" si="7"/>
        <v>0.02</v>
      </c>
      <c r="Y24" s="212">
        <f t="shared" si="8"/>
        <v>0.06</v>
      </c>
    </row>
    <row r="25">
      <c r="P25" s="4" t="s">
        <v>583</v>
      </c>
      <c r="Q25" s="5">
        <f t="shared" ref="Q25:S25" si="10">Q23-Q24</f>
        <v>16.2</v>
      </c>
      <c r="R25" s="5">
        <f t="shared" si="10"/>
        <v>15.9</v>
      </c>
      <c r="S25" s="5">
        <f t="shared" si="10"/>
        <v>14.3</v>
      </c>
    </row>
    <row r="27">
      <c r="N27" s="230" t="s">
        <v>546</v>
      </c>
      <c r="O27" s="225">
        <v>2024.0</v>
      </c>
      <c r="Q27" s="4" t="s">
        <v>340</v>
      </c>
      <c r="R27" s="4" t="s">
        <v>171</v>
      </c>
      <c r="S27" s="4" t="s">
        <v>343</v>
      </c>
      <c r="T27" s="4" t="s">
        <v>581</v>
      </c>
    </row>
    <row r="28">
      <c r="N28" s="3" t="s">
        <v>549</v>
      </c>
      <c r="O28" s="4">
        <v>110.0</v>
      </c>
      <c r="P28" s="4" t="s">
        <v>62</v>
      </c>
      <c r="Q28" s="236">
        <v>94.0</v>
      </c>
      <c r="R28" s="236">
        <v>96.0</v>
      </c>
      <c r="S28" s="24">
        <v>97.0</v>
      </c>
      <c r="T28" s="226">
        <f t="shared" ref="T28:T30" si="11">AVERAGE(Q28:S28)</f>
        <v>95.66666667</v>
      </c>
    </row>
    <row r="29">
      <c r="N29" s="3" t="s">
        <v>81</v>
      </c>
      <c r="O29" s="99" t="s">
        <v>584</v>
      </c>
      <c r="P29" s="4" t="s">
        <v>28</v>
      </c>
      <c r="Q29" s="236"/>
      <c r="R29" s="236"/>
      <c r="S29" s="24"/>
      <c r="T29" s="226" t="str">
        <f t="shared" si="11"/>
        <v>#DIV/0!</v>
      </c>
    </row>
    <row r="30">
      <c r="N30" s="3" t="s">
        <v>286</v>
      </c>
      <c r="O30" s="225" t="s">
        <v>585</v>
      </c>
      <c r="P30" s="4" t="s">
        <v>582</v>
      </c>
      <c r="Q30" s="236"/>
      <c r="R30" s="236"/>
      <c r="S30" s="24"/>
      <c r="T30" s="226" t="str">
        <f t="shared" si="11"/>
        <v>#DIV/0!</v>
      </c>
    </row>
    <row r="31">
      <c r="P31" s="4" t="s">
        <v>583</v>
      </c>
      <c r="Q31" s="5">
        <f t="shared" ref="Q31:S31" si="12">Q29-Q30</f>
        <v>0</v>
      </c>
      <c r="R31" s="5">
        <f t="shared" si="12"/>
        <v>0</v>
      </c>
      <c r="S31" s="5">
        <f t="shared" si="12"/>
        <v>0</v>
      </c>
    </row>
    <row r="32">
      <c r="N32" s="31" t="s">
        <v>586</v>
      </c>
    </row>
    <row r="33">
      <c r="N33" s="3" t="s">
        <v>587</v>
      </c>
      <c r="Q33" s="3" t="s">
        <v>588</v>
      </c>
    </row>
    <row r="34">
      <c r="N34" s="3" t="s">
        <v>589</v>
      </c>
      <c r="Q34" s="3" t="s">
        <v>590</v>
      </c>
    </row>
    <row r="35">
      <c r="N35" s="3" t="s">
        <v>591</v>
      </c>
      <c r="Q35" s="3" t="s">
        <v>592</v>
      </c>
    </row>
    <row r="36">
      <c r="N36" s="3" t="s">
        <v>593</v>
      </c>
      <c r="Q36" s="3" t="s">
        <v>594</v>
      </c>
    </row>
    <row r="37">
      <c r="N37" s="3" t="s">
        <v>595</v>
      </c>
      <c r="Q37" s="3" t="s">
        <v>596</v>
      </c>
    </row>
    <row r="38">
      <c r="N38" s="3" t="s">
        <v>597</v>
      </c>
      <c r="Q38" s="3" t="s">
        <v>598</v>
      </c>
    </row>
    <row r="39">
      <c r="N39" s="3" t="s">
        <v>599</v>
      </c>
      <c r="Q39" s="3" t="s">
        <v>600</v>
      </c>
    </row>
    <row r="41">
      <c r="N41" s="3" t="s">
        <v>601</v>
      </c>
      <c r="Q41" s="3" t="s">
        <v>602</v>
      </c>
    </row>
    <row r="42">
      <c r="Q42" s="3" t="s">
        <v>603</v>
      </c>
    </row>
    <row r="43">
      <c r="N43" s="3" t="s">
        <v>604</v>
      </c>
    </row>
    <row r="44">
      <c r="R44" s="3" t="s">
        <v>605</v>
      </c>
    </row>
    <row r="45">
      <c r="N45" s="3" t="s">
        <v>606</v>
      </c>
      <c r="R45" s="3" t="s">
        <v>607</v>
      </c>
    </row>
    <row r="46">
      <c r="N46" s="65">
        <f>60%*47.5</f>
        <v>28.5</v>
      </c>
      <c r="O46" s="3" t="s">
        <v>608</v>
      </c>
      <c r="R46" s="65">
        <f>60%*55</f>
        <v>33</v>
      </c>
      <c r="S46" s="3" t="s">
        <v>608</v>
      </c>
    </row>
    <row r="47">
      <c r="N47" s="65">
        <f>N46*72%</f>
        <v>20.52</v>
      </c>
      <c r="O47" s="3" t="s">
        <v>609</v>
      </c>
      <c r="R47" s="65">
        <f>R46*83%</f>
        <v>27.39</v>
      </c>
      <c r="S47" s="3" t="s">
        <v>609</v>
      </c>
    </row>
    <row r="48">
      <c r="N48" s="65">
        <f>N46-N47</f>
        <v>7.98</v>
      </c>
      <c r="O48" s="3" t="s">
        <v>610</v>
      </c>
      <c r="R48" s="65">
        <f>R46-R47</f>
        <v>5.61</v>
      </c>
      <c r="S48" s="3" t="s">
        <v>610</v>
      </c>
    </row>
    <row r="49">
      <c r="N49" s="3" t="s">
        <v>697</v>
      </c>
      <c r="Q49" s="3" t="s">
        <v>698</v>
      </c>
    </row>
    <row r="50">
      <c r="N50" s="3" t="s">
        <v>613</v>
      </c>
      <c r="Q50" s="3" t="s">
        <v>614</v>
      </c>
    </row>
    <row r="51">
      <c r="N51" s="3" t="s">
        <v>615</v>
      </c>
      <c r="Q51" s="3" t="s">
        <v>616</v>
      </c>
    </row>
    <row r="52">
      <c r="N52" s="3" t="s">
        <v>617</v>
      </c>
      <c r="Q52" s="3" t="s">
        <v>618</v>
      </c>
    </row>
    <row r="54">
      <c r="M54" s="3" t="s">
        <v>619</v>
      </c>
      <c r="N54" s="31" t="s">
        <v>620</v>
      </c>
      <c r="P54" s="218" t="s">
        <v>619</v>
      </c>
      <c r="Q54" s="31" t="s">
        <v>621</v>
      </c>
    </row>
    <row r="57">
      <c r="Q57" s="3" t="s">
        <v>699</v>
      </c>
    </row>
    <row r="58">
      <c r="Q58" s="3" t="s">
        <v>623</v>
      </c>
    </row>
    <row r="59">
      <c r="Q59" s="3" t="s">
        <v>616</v>
      </c>
    </row>
    <row r="60">
      <c r="Q60" s="3" t="s">
        <v>618</v>
      </c>
    </row>
    <row r="62">
      <c r="P62" s="218" t="s">
        <v>619</v>
      </c>
      <c r="Q62" s="31" t="s">
        <v>624</v>
      </c>
    </row>
  </sheetData>
  <hyperlinks>
    <hyperlink r:id="rId1" ref="Z20"/>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45427.0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2"/>
      <c r="V1" s="3" t="s">
        <v>700</v>
      </c>
    </row>
    <row r="2">
      <c r="A2" s="191"/>
      <c r="B2" s="54"/>
      <c r="C2" s="4"/>
      <c r="D2" s="4"/>
      <c r="E2" s="54"/>
      <c r="F2" s="54"/>
      <c r="G2" s="54"/>
      <c r="H2" s="54"/>
      <c r="J2" s="5"/>
      <c r="K2" s="4" t="s">
        <v>525</v>
      </c>
      <c r="L2" s="4" t="s">
        <v>525</v>
      </c>
      <c r="M2" s="4" t="s">
        <v>525</v>
      </c>
      <c r="N2" s="4" t="s">
        <v>525</v>
      </c>
      <c r="O2" s="3" t="s">
        <v>527</v>
      </c>
      <c r="P2" s="3"/>
      <c r="R2" s="7"/>
      <c r="S2" s="52"/>
      <c r="T2" s="3" t="s">
        <v>527</v>
      </c>
      <c r="U2" s="52"/>
      <c r="V2" s="3" t="s">
        <v>701</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64">
        <v>92.0</v>
      </c>
      <c r="R3" s="265">
        <v>95.0</v>
      </c>
      <c r="S3" s="266">
        <v>95.0</v>
      </c>
      <c r="T3" s="248">
        <f t="shared" ref="T3:T7" si="2">AVERAGE(P3:S3)</f>
        <v>93.25</v>
      </c>
      <c r="U3" s="52"/>
      <c r="V3" s="3" t="s">
        <v>702</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64">
        <v>85.0</v>
      </c>
      <c r="R4" s="264">
        <v>82.0</v>
      </c>
      <c r="S4" s="264">
        <v>79.0</v>
      </c>
      <c r="T4" s="248">
        <f t="shared" si="2"/>
        <v>82.25</v>
      </c>
      <c r="V4" s="3" t="s">
        <v>703</v>
      </c>
    </row>
    <row r="5" ht="42.0" customHeight="1">
      <c r="A5" s="252" t="s">
        <v>642</v>
      </c>
      <c r="B5" s="4"/>
      <c r="C5" s="4"/>
      <c r="D5" s="54"/>
      <c r="E5" s="54"/>
      <c r="F5" s="54"/>
      <c r="G5" s="54"/>
      <c r="H5" s="54"/>
      <c r="I5" s="112"/>
      <c r="J5" s="112"/>
      <c r="K5" s="263">
        <v>53.0</v>
      </c>
      <c r="L5" s="263">
        <v>54.0</v>
      </c>
      <c r="M5" s="246">
        <v>64.5</v>
      </c>
      <c r="N5" s="263">
        <v>68.9</v>
      </c>
      <c r="O5" s="248">
        <f t="shared" si="1"/>
        <v>60.1</v>
      </c>
      <c r="P5" s="255">
        <f t="shared" ref="P5:S5" si="3">P4-P6</f>
        <v>68</v>
      </c>
      <c r="Q5" s="264">
        <f t="shared" si="3"/>
        <v>70</v>
      </c>
      <c r="R5" s="264">
        <f t="shared" si="3"/>
        <v>67</v>
      </c>
      <c r="S5" s="264">
        <f t="shared" si="3"/>
        <v>64</v>
      </c>
      <c r="T5" s="248">
        <f t="shared" si="2"/>
        <v>67.25</v>
      </c>
      <c r="Y5" s="3" t="s">
        <v>687</v>
      </c>
    </row>
    <row r="6" ht="26.25"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5">
        <v>15.0</v>
      </c>
      <c r="Q6" s="255">
        <v>15.0</v>
      </c>
      <c r="R6" s="255">
        <v>15.0</v>
      </c>
      <c r="S6" s="255">
        <v>15.0</v>
      </c>
      <c r="T6" s="248">
        <f t="shared" si="2"/>
        <v>15</v>
      </c>
      <c r="Y6" s="3" t="s">
        <v>688</v>
      </c>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82">
        <v>7.7</v>
      </c>
      <c r="Q7" s="267">
        <v>8.0</v>
      </c>
      <c r="R7" s="268">
        <v>7.2</v>
      </c>
      <c r="S7" s="267">
        <v>6.0</v>
      </c>
      <c r="T7" s="258">
        <f t="shared" si="2"/>
        <v>7.225</v>
      </c>
      <c r="U7" s="3" t="s">
        <v>691</v>
      </c>
      <c r="Y7" s="3" t="s">
        <v>689</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71">
        <v>16.0</v>
      </c>
      <c r="Q8" s="269">
        <v>16.0</v>
      </c>
      <c r="R8" s="270">
        <v>16.0</v>
      </c>
      <c r="S8" s="269">
        <v>16.0</v>
      </c>
      <c r="T8" s="258">
        <v>16.0</v>
      </c>
      <c r="U8" s="4" t="s">
        <v>671</v>
      </c>
      <c r="V8" s="3" t="s">
        <v>403</v>
      </c>
      <c r="Y8" s="3" t="s">
        <v>690</v>
      </c>
    </row>
    <row r="9">
      <c r="E9" s="114"/>
      <c r="F9" s="115"/>
      <c r="G9" s="115"/>
      <c r="H9" s="115"/>
      <c r="I9" s="112" t="s">
        <v>406</v>
      </c>
      <c r="J9" s="112" t="s">
        <v>406</v>
      </c>
      <c r="P9" s="218" t="s">
        <v>704</v>
      </c>
      <c r="Q9" s="242">
        <v>92.0</v>
      </c>
      <c r="R9" s="242">
        <v>93.0</v>
      </c>
      <c r="S9" s="242">
        <v>95.0</v>
      </c>
      <c r="V9" s="3" t="s">
        <v>693</v>
      </c>
      <c r="X9" s="3" t="s">
        <v>96</v>
      </c>
      <c r="Y9" s="215">
        <v>0.7</v>
      </c>
    </row>
    <row r="10">
      <c r="E10" s="114" t="s">
        <v>241</v>
      </c>
      <c r="F10" s="115" t="s">
        <v>242</v>
      </c>
      <c r="G10" s="115" t="s">
        <v>242</v>
      </c>
      <c r="H10" s="115" t="s">
        <v>194</v>
      </c>
      <c r="I10" s="115" t="s">
        <v>148</v>
      </c>
      <c r="P10" s="218" t="s">
        <v>469</v>
      </c>
      <c r="Q10" s="242">
        <v>92.0</v>
      </c>
      <c r="R10" s="242">
        <v>95.0</v>
      </c>
      <c r="S10" s="242">
        <v>95.0</v>
      </c>
      <c r="V10" s="218"/>
      <c r="W10" s="4"/>
      <c r="X10" s="3" t="s">
        <v>694</v>
      </c>
      <c r="Y10" s="215">
        <v>0.3</v>
      </c>
    </row>
    <row r="11">
      <c r="A11" s="3" t="s">
        <v>47</v>
      </c>
      <c r="C11" s="4">
        <v>5.7</v>
      </c>
      <c r="D11" s="4">
        <v>6.5</v>
      </c>
      <c r="E11" s="62">
        <v>7.4</v>
      </c>
      <c r="F11" s="54">
        <v>8.1</v>
      </c>
      <c r="G11" s="54"/>
      <c r="H11" s="62"/>
      <c r="I11" s="62"/>
      <c r="J11" s="62"/>
      <c r="P11" s="218" t="s">
        <v>470</v>
      </c>
      <c r="Q11" s="242">
        <v>92.0</v>
      </c>
      <c r="R11" s="242">
        <v>96.0</v>
      </c>
      <c r="S11" s="242">
        <v>94.0</v>
      </c>
      <c r="U11" s="272" t="s">
        <v>673</v>
      </c>
      <c r="V11" s="273" t="s">
        <v>674</v>
      </c>
      <c r="W11" s="274" t="s">
        <v>675</v>
      </c>
      <c r="X11" s="273" t="s">
        <v>676</v>
      </c>
      <c r="Y11" s="274" t="s">
        <v>677</v>
      </c>
      <c r="Z11" s="273" t="s">
        <v>678</v>
      </c>
      <c r="AA11" s="275" t="s">
        <v>679</v>
      </c>
    </row>
    <row r="12">
      <c r="A12" s="3" t="s">
        <v>162</v>
      </c>
      <c r="D12" s="111" t="s">
        <v>241</v>
      </c>
      <c r="E12" s="117">
        <v>7.0</v>
      </c>
      <c r="F12" s="112">
        <v>7.3</v>
      </c>
      <c r="G12" s="112"/>
      <c r="H12" s="112"/>
      <c r="I12" s="117"/>
      <c r="J12" s="112"/>
      <c r="P12" s="218"/>
      <c r="Q12" s="242"/>
      <c r="R12" s="242"/>
      <c r="S12" s="242"/>
      <c r="T12" s="3" t="s">
        <v>470</v>
      </c>
      <c r="U12" s="276">
        <v>16.0</v>
      </c>
      <c r="V12" s="276">
        <v>16.0</v>
      </c>
      <c r="W12" s="276">
        <v>16.0</v>
      </c>
      <c r="X12" s="276">
        <v>16.0</v>
      </c>
      <c r="Y12" s="276">
        <v>16.0</v>
      </c>
      <c r="Z12" s="276">
        <v>16.0</v>
      </c>
      <c r="AA12" s="278"/>
    </row>
    <row r="13">
      <c r="C13" s="10"/>
      <c r="D13" s="10"/>
      <c r="E13" s="10"/>
      <c r="F13" s="10"/>
      <c r="G13" s="10"/>
      <c r="H13" s="10"/>
      <c r="I13" s="10"/>
      <c r="J13" s="10"/>
      <c r="P13" s="234" t="str">
        <f t="shared" ref="P13:S13" si="6">AVERAGE(P9:P12)</f>
        <v>#DIV/0!</v>
      </c>
      <c r="Q13" s="234">
        <f t="shared" si="6"/>
        <v>92</v>
      </c>
      <c r="R13" s="234">
        <f t="shared" si="6"/>
        <v>94.66666667</v>
      </c>
      <c r="S13" s="234">
        <f t="shared" si="6"/>
        <v>94.66666667</v>
      </c>
      <c r="T13" s="3" t="s">
        <v>468</v>
      </c>
      <c r="U13" s="279">
        <v>16.0</v>
      </c>
      <c r="V13" s="280">
        <v>17.0</v>
      </c>
      <c r="W13" s="280">
        <v>17.0</v>
      </c>
      <c r="X13" s="280">
        <v>17.0</v>
      </c>
      <c r="Y13" s="280">
        <v>17.0</v>
      </c>
      <c r="Z13" s="280">
        <v>17.0</v>
      </c>
      <c r="AA13" s="281"/>
    </row>
    <row r="14">
      <c r="E14" s="118"/>
      <c r="F14" s="118"/>
      <c r="G14" s="118"/>
      <c r="H14" s="118"/>
      <c r="I14" s="118"/>
      <c r="J14" s="118"/>
      <c r="S14" s="55"/>
      <c r="T14" s="3" t="s">
        <v>469</v>
      </c>
      <c r="U14" s="276">
        <v>16.0</v>
      </c>
      <c r="V14" s="276">
        <v>16.0</v>
      </c>
      <c r="W14" s="276">
        <v>16.0</v>
      </c>
      <c r="X14" s="276">
        <v>16.0</v>
      </c>
      <c r="Y14" s="276">
        <v>16.0</v>
      </c>
      <c r="Z14" s="276">
        <v>16.0</v>
      </c>
      <c r="AA14" s="278"/>
    </row>
    <row r="15">
      <c r="E15" s="118"/>
      <c r="F15" s="118"/>
      <c r="G15" s="118"/>
      <c r="H15" s="118"/>
      <c r="I15" s="118"/>
      <c r="J15" s="118"/>
      <c r="O15" s="218" t="s">
        <v>705</v>
      </c>
      <c r="P15" s="243"/>
      <c r="R15" s="218" t="s">
        <v>706</v>
      </c>
      <c r="S15" s="242">
        <v>17.0</v>
      </c>
      <c r="T15" s="210"/>
    </row>
    <row r="16">
      <c r="E16" s="118"/>
      <c r="F16" s="118"/>
      <c r="G16" s="118"/>
      <c r="H16" s="118"/>
      <c r="I16" s="118"/>
      <c r="J16" s="118"/>
      <c r="O16" s="218" t="s">
        <v>469</v>
      </c>
      <c r="P16" s="243"/>
      <c r="R16" s="218" t="s">
        <v>469</v>
      </c>
      <c r="S16" s="242">
        <v>16.0</v>
      </c>
      <c r="U16" s="212"/>
    </row>
    <row r="17">
      <c r="E17" s="118"/>
      <c r="F17" s="118"/>
      <c r="G17" s="118"/>
      <c r="H17" s="118"/>
      <c r="I17" s="118"/>
      <c r="J17" s="118"/>
      <c r="N17" s="218" t="s">
        <v>682</v>
      </c>
      <c r="O17" s="218" t="s">
        <v>470</v>
      </c>
      <c r="P17" s="243"/>
      <c r="Q17" s="172" t="s">
        <v>683</v>
      </c>
      <c r="R17" s="218" t="s">
        <v>470</v>
      </c>
      <c r="S17" s="242">
        <v>16.0</v>
      </c>
      <c r="X17" s="41">
        <v>0.1</v>
      </c>
      <c r="Y17" s="41">
        <v>0.3</v>
      </c>
    </row>
    <row r="18">
      <c r="E18" s="118"/>
      <c r="F18" s="118"/>
      <c r="G18" s="118"/>
      <c r="H18" s="118"/>
      <c r="I18" s="118"/>
      <c r="J18" s="118"/>
      <c r="O18" s="218"/>
      <c r="P18" s="242"/>
      <c r="R18" s="218"/>
      <c r="S18" s="242"/>
      <c r="V18" s="3" t="s">
        <v>536</v>
      </c>
      <c r="X18" s="3" t="s">
        <v>537</v>
      </c>
    </row>
    <row r="19">
      <c r="E19" s="118"/>
      <c r="F19" s="118"/>
      <c r="G19" s="118"/>
      <c r="H19" s="118"/>
      <c r="I19" s="118"/>
      <c r="J19" s="118"/>
      <c r="K19" s="119"/>
      <c r="P19" s="234" t="str">
        <f>AVERAGE(P15:P18)</f>
        <v>#DIV/0!</v>
      </c>
      <c r="S19" s="283">
        <f>AVERAGE(S15:S18)</f>
        <v>16.33333333</v>
      </c>
      <c r="V19" s="3" t="s">
        <v>538</v>
      </c>
      <c r="W19" s="4">
        <v>0.24</v>
      </c>
      <c r="X19" s="212">
        <f t="shared" ref="X19:X24" si="7">W19*$X$17</f>
        <v>0.024</v>
      </c>
      <c r="Y19" s="212">
        <f t="shared" ref="Y19:Y24" si="8">W19*$Y$17</f>
        <v>0.072</v>
      </c>
    </row>
    <row r="20">
      <c r="A20" s="3"/>
      <c r="B20" s="12"/>
      <c r="C20" s="12"/>
      <c r="D20" s="13"/>
      <c r="E20" s="13"/>
      <c r="F20" s="13"/>
      <c r="G20" s="13"/>
      <c r="H20" s="13"/>
      <c r="I20" s="13"/>
      <c r="J20" s="13"/>
      <c r="K20" s="13"/>
      <c r="R20" s="4" t="s">
        <v>707</v>
      </c>
      <c r="V20" s="99" t="s">
        <v>540</v>
      </c>
      <c r="W20" s="4">
        <v>0.055</v>
      </c>
      <c r="X20" s="212">
        <f t="shared" si="7"/>
        <v>0.0055</v>
      </c>
      <c r="Y20" s="212">
        <f t="shared" si="8"/>
        <v>0.0165</v>
      </c>
      <c r="Z20" s="49" t="s">
        <v>541</v>
      </c>
    </row>
    <row r="21">
      <c r="Q21" s="4" t="s">
        <v>340</v>
      </c>
      <c r="R21" s="4" t="s">
        <v>171</v>
      </c>
      <c r="S21" s="4" t="s">
        <v>343</v>
      </c>
      <c r="T21" s="4" t="s">
        <v>581</v>
      </c>
      <c r="V21" s="3" t="s">
        <v>542</v>
      </c>
      <c r="W21" s="4">
        <v>0.1</v>
      </c>
      <c r="X21" s="212">
        <f t="shared" si="7"/>
        <v>0.01</v>
      </c>
      <c r="Y21" s="212">
        <f t="shared" si="8"/>
        <v>0.03</v>
      </c>
    </row>
    <row r="22">
      <c r="P22" s="4" t="s">
        <v>62</v>
      </c>
      <c r="Q22" s="236">
        <v>93.1</v>
      </c>
      <c r="R22" s="236">
        <v>92.0</v>
      </c>
      <c r="S22" s="24">
        <v>91.0</v>
      </c>
      <c r="T22" s="226">
        <f t="shared" ref="T22:T24" si="9">AVERAGE(Q22:S22)</f>
        <v>92.03333333</v>
      </c>
      <c r="V22" s="3" t="s">
        <v>543</v>
      </c>
      <c r="W22" s="4">
        <f>(0.05+0.1)/2</f>
        <v>0.075</v>
      </c>
      <c r="X22" s="212">
        <f t="shared" si="7"/>
        <v>0.0075</v>
      </c>
      <c r="Y22" s="212">
        <f t="shared" si="8"/>
        <v>0.0225</v>
      </c>
    </row>
    <row r="23">
      <c r="P23" s="4" t="s">
        <v>28</v>
      </c>
      <c r="Q23" s="236">
        <v>89.8</v>
      </c>
      <c r="R23" s="236">
        <v>83.7</v>
      </c>
      <c r="S23" s="24">
        <v>82.0</v>
      </c>
      <c r="T23" s="226">
        <f t="shared" si="9"/>
        <v>85.16666667</v>
      </c>
      <c r="V23" s="3" t="s">
        <v>545</v>
      </c>
      <c r="W23" s="4">
        <v>0.05</v>
      </c>
      <c r="X23" s="212">
        <f t="shared" si="7"/>
        <v>0.005</v>
      </c>
      <c r="Y23" s="212">
        <f t="shared" si="8"/>
        <v>0.015</v>
      </c>
    </row>
    <row r="24">
      <c r="P24" s="4" t="s">
        <v>582</v>
      </c>
      <c r="Q24" s="236">
        <v>74.9</v>
      </c>
      <c r="R24" s="236">
        <v>74.2</v>
      </c>
      <c r="S24" s="24"/>
      <c r="T24" s="226">
        <f t="shared" si="9"/>
        <v>74.55</v>
      </c>
      <c r="V24" s="3" t="s">
        <v>558</v>
      </c>
      <c r="W24" s="4">
        <v>0.2</v>
      </c>
      <c r="X24" s="212">
        <f t="shared" si="7"/>
        <v>0.02</v>
      </c>
      <c r="Y24" s="212">
        <f t="shared" si="8"/>
        <v>0.06</v>
      </c>
    </row>
    <row r="25">
      <c r="P25" s="4" t="s">
        <v>583</v>
      </c>
      <c r="Q25" s="5">
        <f t="shared" ref="Q25:S25" si="10">Q23-Q24</f>
        <v>14.9</v>
      </c>
      <c r="R25" s="5">
        <f t="shared" si="10"/>
        <v>9.5</v>
      </c>
      <c r="S25" s="5">
        <f t="shared" si="10"/>
        <v>82</v>
      </c>
    </row>
    <row r="27">
      <c r="N27" s="230" t="s">
        <v>546</v>
      </c>
      <c r="O27" s="225">
        <v>2024.0</v>
      </c>
    </row>
    <row r="28">
      <c r="N28" s="3" t="s">
        <v>549</v>
      </c>
      <c r="O28" s="4">
        <v>110.0</v>
      </c>
    </row>
    <row r="29">
      <c r="N29" s="3" t="s">
        <v>81</v>
      </c>
      <c r="O29" s="99" t="s">
        <v>584</v>
      </c>
    </row>
    <row r="30">
      <c r="N30" s="3" t="s">
        <v>286</v>
      </c>
      <c r="O30" s="225" t="s">
        <v>585</v>
      </c>
    </row>
    <row r="32">
      <c r="N32" s="31" t="s">
        <v>586</v>
      </c>
    </row>
    <row r="33">
      <c r="N33" s="3" t="s">
        <v>587</v>
      </c>
      <c r="Q33" s="3" t="s">
        <v>588</v>
      </c>
    </row>
    <row r="34">
      <c r="N34" s="3" t="s">
        <v>589</v>
      </c>
      <c r="Q34" s="3" t="s">
        <v>590</v>
      </c>
    </row>
    <row r="35">
      <c r="N35" s="3" t="s">
        <v>591</v>
      </c>
      <c r="Q35" s="3" t="s">
        <v>592</v>
      </c>
    </row>
    <row r="36">
      <c r="N36" s="3" t="s">
        <v>593</v>
      </c>
      <c r="Q36" s="3" t="s">
        <v>594</v>
      </c>
    </row>
    <row r="37">
      <c r="N37" s="3" t="s">
        <v>595</v>
      </c>
      <c r="Q37" s="3" t="s">
        <v>596</v>
      </c>
    </row>
    <row r="38">
      <c r="N38" s="3" t="s">
        <v>597</v>
      </c>
      <c r="Q38" s="3" t="s">
        <v>598</v>
      </c>
    </row>
    <row r="39">
      <c r="N39" s="3" t="s">
        <v>599</v>
      </c>
      <c r="Q39" s="3" t="s">
        <v>600</v>
      </c>
    </row>
    <row r="41">
      <c r="N41" s="3" t="s">
        <v>601</v>
      </c>
      <c r="Q41" s="3" t="s">
        <v>602</v>
      </c>
    </row>
    <row r="42">
      <c r="Q42" s="3" t="s">
        <v>603</v>
      </c>
    </row>
    <row r="43">
      <c r="N43" s="3" t="s">
        <v>604</v>
      </c>
    </row>
    <row r="44">
      <c r="R44" s="3" t="s">
        <v>605</v>
      </c>
    </row>
    <row r="45">
      <c r="N45" s="3" t="s">
        <v>606</v>
      </c>
      <c r="R45" s="3" t="s">
        <v>607</v>
      </c>
    </row>
    <row r="46">
      <c r="N46" s="65">
        <f>60%*47.5</f>
        <v>28.5</v>
      </c>
      <c r="O46" s="3" t="s">
        <v>608</v>
      </c>
      <c r="R46" s="65">
        <f>60%*55</f>
        <v>33</v>
      </c>
      <c r="S46" s="3" t="s">
        <v>608</v>
      </c>
    </row>
    <row r="47">
      <c r="N47" s="65">
        <f>N46*72%</f>
        <v>20.52</v>
      </c>
      <c r="O47" s="3" t="s">
        <v>609</v>
      </c>
      <c r="R47" s="65">
        <f>R46*83%</f>
        <v>27.39</v>
      </c>
      <c r="S47" s="3" t="s">
        <v>609</v>
      </c>
    </row>
    <row r="48">
      <c r="N48" s="65">
        <f>N46-N47</f>
        <v>7.98</v>
      </c>
      <c r="O48" s="3" t="s">
        <v>610</v>
      </c>
      <c r="R48" s="65">
        <f>R46-R47</f>
        <v>5.61</v>
      </c>
      <c r="S48" s="3" t="s">
        <v>610</v>
      </c>
    </row>
    <row r="49">
      <c r="N49" s="3" t="s">
        <v>708</v>
      </c>
      <c r="Q49" s="3" t="s">
        <v>709</v>
      </c>
    </row>
    <row r="50">
      <c r="N50" s="3" t="s">
        <v>613</v>
      </c>
      <c r="Q50" s="3" t="s">
        <v>614</v>
      </c>
    </row>
    <row r="51">
      <c r="N51" s="3" t="s">
        <v>615</v>
      </c>
      <c r="Q51" s="3" t="s">
        <v>616</v>
      </c>
    </row>
    <row r="52">
      <c r="N52" s="3" t="s">
        <v>617</v>
      </c>
      <c r="Q52" s="3" t="s">
        <v>618</v>
      </c>
    </row>
    <row r="54">
      <c r="M54" s="3" t="s">
        <v>619</v>
      </c>
      <c r="N54" s="31" t="s">
        <v>620</v>
      </c>
      <c r="P54" s="218" t="s">
        <v>619</v>
      </c>
      <c r="Q54" s="31" t="s">
        <v>621</v>
      </c>
    </row>
    <row r="57">
      <c r="Q57" s="3" t="s">
        <v>710</v>
      </c>
    </row>
    <row r="58">
      <c r="Q58" s="3" t="s">
        <v>623</v>
      </c>
    </row>
    <row r="59">
      <c r="Q59" s="3" t="s">
        <v>616</v>
      </c>
    </row>
    <row r="60">
      <c r="Q60" s="3" t="s">
        <v>618</v>
      </c>
    </row>
    <row r="62">
      <c r="P62" s="218" t="s">
        <v>619</v>
      </c>
      <c r="Q62" s="31" t="s">
        <v>624</v>
      </c>
    </row>
  </sheetData>
  <hyperlinks>
    <hyperlink r:id="rId1" ref="Z20"/>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45436.0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2"/>
      <c r="V1" s="3" t="s">
        <v>711</v>
      </c>
      <c r="AA1" s="3" t="s">
        <v>712</v>
      </c>
    </row>
    <row r="2">
      <c r="A2" s="191"/>
      <c r="B2" s="54"/>
      <c r="C2" s="4"/>
      <c r="D2" s="4"/>
      <c r="E2" s="54"/>
      <c r="F2" s="54"/>
      <c r="G2" s="54"/>
      <c r="H2" s="54"/>
      <c r="J2" s="5"/>
      <c r="K2" s="4" t="s">
        <v>525</v>
      </c>
      <c r="L2" s="4" t="s">
        <v>525</v>
      </c>
      <c r="M2" s="4" t="s">
        <v>525</v>
      </c>
      <c r="N2" s="4" t="s">
        <v>525</v>
      </c>
      <c r="O2" s="3" t="s">
        <v>527</v>
      </c>
      <c r="P2" s="3"/>
      <c r="R2" s="7"/>
      <c r="S2" s="52"/>
      <c r="T2" s="3" t="s">
        <v>527</v>
      </c>
      <c r="U2" s="52"/>
      <c r="V2" s="3" t="s">
        <v>713</v>
      </c>
      <c r="AA2" s="3" t="s">
        <v>714</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64">
        <v>92.0</v>
      </c>
      <c r="R3" s="265">
        <v>95.0</v>
      </c>
      <c r="S3" s="266">
        <v>95.0</v>
      </c>
      <c r="T3" s="248">
        <f t="shared" ref="T3:T7" si="2">AVERAGE(P3:S3)</f>
        <v>93.25</v>
      </c>
      <c r="U3" s="52"/>
      <c r="V3" s="3" t="s">
        <v>715</v>
      </c>
      <c r="AA3" s="3" t="s">
        <v>716</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64">
        <v>85.0</v>
      </c>
      <c r="R4" s="264">
        <v>82.0</v>
      </c>
      <c r="S4" s="264">
        <v>79.0</v>
      </c>
      <c r="T4" s="248">
        <f t="shared" si="2"/>
        <v>82.25</v>
      </c>
      <c r="V4" s="3" t="s">
        <v>717</v>
      </c>
      <c r="AA4" s="3" t="s">
        <v>718</v>
      </c>
    </row>
    <row r="5" ht="42.0" customHeight="1">
      <c r="A5" s="252" t="s">
        <v>642</v>
      </c>
      <c r="B5" s="4"/>
      <c r="C5" s="4"/>
      <c r="D5" s="54"/>
      <c r="E5" s="54"/>
      <c r="F5" s="54"/>
      <c r="G5" s="54"/>
      <c r="H5" s="54"/>
      <c r="I5" s="112"/>
      <c r="J5" s="112"/>
      <c r="K5" s="263">
        <v>53.0</v>
      </c>
      <c r="L5" s="263">
        <v>54.0</v>
      </c>
      <c r="M5" s="246">
        <v>64.5</v>
      </c>
      <c r="N5" s="263">
        <v>68.9</v>
      </c>
      <c r="O5" s="248">
        <f t="shared" si="1"/>
        <v>60.1</v>
      </c>
      <c r="P5" s="255">
        <f t="shared" ref="P5:S5" si="3">P4-P6</f>
        <v>68</v>
      </c>
      <c r="Q5" s="264">
        <f t="shared" si="3"/>
        <v>70</v>
      </c>
      <c r="R5" s="264">
        <f t="shared" si="3"/>
        <v>67</v>
      </c>
      <c r="S5" s="264">
        <f t="shared" si="3"/>
        <v>64</v>
      </c>
      <c r="T5" s="248">
        <f t="shared" si="2"/>
        <v>67.25</v>
      </c>
      <c r="V5" s="3" t="s">
        <v>719</v>
      </c>
      <c r="Y5" s="3" t="s">
        <v>687</v>
      </c>
      <c r="AA5" s="3" t="s">
        <v>720</v>
      </c>
    </row>
    <row r="6" ht="26.25" hidden="1"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5">
        <v>15.0</v>
      </c>
      <c r="Q6" s="255">
        <v>15.0</v>
      </c>
      <c r="R6" s="255">
        <v>15.0</v>
      </c>
      <c r="S6" s="255">
        <v>15.0</v>
      </c>
      <c r="T6" s="248">
        <f t="shared" si="2"/>
        <v>15</v>
      </c>
      <c r="V6" s="3" t="s">
        <v>721</v>
      </c>
      <c r="AA6" s="3" t="s">
        <v>722</v>
      </c>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82">
        <v>7.7</v>
      </c>
      <c r="Q7" s="267">
        <v>8.3</v>
      </c>
      <c r="R7" s="268">
        <v>7.5</v>
      </c>
      <c r="S7" s="267">
        <v>6.5</v>
      </c>
      <c r="T7" s="258">
        <f t="shared" si="2"/>
        <v>7.5</v>
      </c>
      <c r="V7" s="3" t="s">
        <v>723</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71">
        <v>16.0</v>
      </c>
      <c r="Q8" s="269">
        <v>17.0</v>
      </c>
      <c r="R8" s="270">
        <v>17.0</v>
      </c>
      <c r="S8" s="269">
        <v>17.0</v>
      </c>
      <c r="T8" s="258">
        <v>16.6</v>
      </c>
      <c r="U8" s="4"/>
      <c r="V8" s="3" t="s">
        <v>724</v>
      </c>
    </row>
    <row r="9">
      <c r="E9" s="114"/>
      <c r="F9" s="115"/>
      <c r="G9" s="115"/>
      <c r="H9" s="115"/>
      <c r="I9" s="112" t="s">
        <v>406</v>
      </c>
      <c r="J9" s="112" t="s">
        <v>406</v>
      </c>
      <c r="P9" s="218" t="s">
        <v>725</v>
      </c>
      <c r="Q9" s="242">
        <v>92.0</v>
      </c>
      <c r="R9" s="242">
        <v>93.0</v>
      </c>
      <c r="S9" s="242">
        <v>95.0</v>
      </c>
      <c r="V9" s="3" t="s">
        <v>726</v>
      </c>
      <c r="Y9" s="215"/>
    </row>
    <row r="10">
      <c r="E10" s="114" t="s">
        <v>241</v>
      </c>
      <c r="F10" s="115" t="s">
        <v>242</v>
      </c>
      <c r="G10" s="115" t="s">
        <v>242</v>
      </c>
      <c r="H10" s="115" t="s">
        <v>194</v>
      </c>
      <c r="I10" s="115" t="s">
        <v>148</v>
      </c>
      <c r="P10" s="218" t="s">
        <v>469</v>
      </c>
      <c r="Q10" s="242">
        <v>92.0</v>
      </c>
      <c r="R10" s="242">
        <v>95.0</v>
      </c>
      <c r="S10" s="242">
        <v>95.0</v>
      </c>
      <c r="V10" s="218"/>
      <c r="W10" s="4"/>
      <c r="Y10" s="215"/>
    </row>
    <row r="11">
      <c r="A11" s="3" t="s">
        <v>47</v>
      </c>
      <c r="C11" s="4">
        <v>5.7</v>
      </c>
      <c r="D11" s="4">
        <v>6.5</v>
      </c>
      <c r="E11" s="62">
        <v>7.4</v>
      </c>
      <c r="F11" s="54">
        <v>8.1</v>
      </c>
      <c r="G11" s="54"/>
      <c r="H11" s="62"/>
      <c r="I11" s="62"/>
      <c r="J11" s="62"/>
      <c r="P11" s="218" t="s">
        <v>470</v>
      </c>
      <c r="Q11" s="242">
        <v>92.0</v>
      </c>
      <c r="R11" s="242">
        <v>96.0</v>
      </c>
      <c r="S11" s="242">
        <v>94.0</v>
      </c>
      <c r="U11" s="273" t="s">
        <v>674</v>
      </c>
      <c r="V11" s="274" t="s">
        <v>675</v>
      </c>
      <c r="W11" s="273" t="s">
        <v>676</v>
      </c>
      <c r="X11" s="274" t="s">
        <v>677</v>
      </c>
      <c r="Y11" s="273" t="s">
        <v>678</v>
      </c>
      <c r="Z11" s="275" t="s">
        <v>679</v>
      </c>
    </row>
    <row r="12">
      <c r="A12" s="3" t="s">
        <v>162</v>
      </c>
      <c r="D12" s="111" t="s">
        <v>241</v>
      </c>
      <c r="E12" s="117">
        <v>7.0</v>
      </c>
      <c r="F12" s="112">
        <v>7.3</v>
      </c>
      <c r="G12" s="112"/>
      <c r="H12" s="112"/>
      <c r="I12" s="117"/>
      <c r="J12" s="112"/>
      <c r="P12" s="218"/>
      <c r="Q12" s="242"/>
      <c r="R12" s="242"/>
      <c r="S12" s="242"/>
      <c r="T12" s="3" t="s">
        <v>470</v>
      </c>
      <c r="U12" s="276">
        <v>17.0</v>
      </c>
      <c r="V12" s="276">
        <v>17.0</v>
      </c>
      <c r="W12" s="276">
        <v>17.0</v>
      </c>
      <c r="X12" s="276">
        <v>17.0</v>
      </c>
      <c r="Y12" s="276">
        <v>17.0</v>
      </c>
      <c r="Z12" s="278"/>
    </row>
    <row r="13">
      <c r="C13" s="10"/>
      <c r="D13" s="10"/>
      <c r="E13" s="10"/>
      <c r="F13" s="10"/>
      <c r="G13" s="10"/>
      <c r="H13" s="10"/>
      <c r="I13" s="10"/>
      <c r="J13" s="10"/>
      <c r="P13" s="234" t="str">
        <f t="shared" ref="P13:S13" si="6">AVERAGE(P9:P12)</f>
        <v>#DIV/0!</v>
      </c>
      <c r="Q13" s="234">
        <f t="shared" si="6"/>
        <v>92</v>
      </c>
      <c r="R13" s="234">
        <f t="shared" si="6"/>
        <v>94.66666667</v>
      </c>
      <c r="S13" s="234">
        <f t="shared" si="6"/>
        <v>94.66666667</v>
      </c>
      <c r="T13" s="3" t="s">
        <v>468</v>
      </c>
      <c r="U13" s="280">
        <v>17.0</v>
      </c>
      <c r="V13" s="280">
        <v>17.0</v>
      </c>
      <c r="W13" s="280">
        <v>17.0</v>
      </c>
      <c r="X13" s="280">
        <v>17.0</v>
      </c>
      <c r="Y13" s="280">
        <v>17.0</v>
      </c>
      <c r="Z13" s="281"/>
    </row>
    <row r="14">
      <c r="E14" s="118"/>
      <c r="F14" s="118"/>
      <c r="G14" s="118"/>
      <c r="H14" s="118"/>
      <c r="I14" s="118"/>
      <c r="J14" s="118"/>
      <c r="S14" s="55"/>
      <c r="T14" s="3" t="s">
        <v>469</v>
      </c>
      <c r="U14" s="276"/>
      <c r="V14" s="276"/>
      <c r="W14" s="276"/>
      <c r="X14" s="276"/>
      <c r="Y14" s="276"/>
      <c r="Z14" s="278"/>
    </row>
    <row r="15">
      <c r="E15" s="118"/>
      <c r="F15" s="118"/>
      <c r="G15" s="118"/>
      <c r="H15" s="118"/>
      <c r="I15" s="118"/>
      <c r="J15" s="118"/>
      <c r="O15" s="218" t="s">
        <v>727</v>
      </c>
      <c r="P15" s="243">
        <v>6.0</v>
      </c>
      <c r="R15" s="218" t="s">
        <v>728</v>
      </c>
      <c r="S15" s="242">
        <v>17.0</v>
      </c>
      <c r="T15" s="210"/>
      <c r="U15" s="3" t="s">
        <v>729</v>
      </c>
    </row>
    <row r="16">
      <c r="E16" s="118"/>
      <c r="F16" s="118"/>
      <c r="G16" s="118"/>
      <c r="H16" s="118"/>
      <c r="I16" s="118"/>
      <c r="J16" s="118"/>
      <c r="O16" s="218" t="s">
        <v>469</v>
      </c>
      <c r="P16" s="243"/>
      <c r="R16" s="218" t="s">
        <v>469</v>
      </c>
      <c r="S16" s="242"/>
      <c r="U16" s="3" t="s">
        <v>730</v>
      </c>
    </row>
    <row r="17">
      <c r="E17" s="118"/>
      <c r="F17" s="118"/>
      <c r="G17" s="118"/>
      <c r="H17" s="118"/>
      <c r="I17" s="118"/>
      <c r="J17" s="118"/>
      <c r="N17" s="218" t="s">
        <v>682</v>
      </c>
      <c r="O17" s="218" t="s">
        <v>470</v>
      </c>
      <c r="P17" s="243">
        <v>7.0</v>
      </c>
      <c r="R17" s="218" t="s">
        <v>470</v>
      </c>
      <c r="S17" s="242"/>
      <c r="U17" s="3" t="s">
        <v>731</v>
      </c>
    </row>
    <row r="18">
      <c r="E18" s="118"/>
      <c r="F18" s="118"/>
      <c r="G18" s="118"/>
      <c r="H18" s="118"/>
      <c r="I18" s="118"/>
      <c r="J18" s="118"/>
      <c r="O18" s="218"/>
      <c r="P18" s="242"/>
      <c r="R18" s="218"/>
      <c r="S18" s="242"/>
      <c r="U18" s="3" t="s">
        <v>732</v>
      </c>
    </row>
    <row r="19">
      <c r="E19" s="118"/>
      <c r="F19" s="118"/>
      <c r="G19" s="118"/>
      <c r="H19" s="118"/>
      <c r="I19" s="118"/>
      <c r="J19" s="118"/>
      <c r="K19" s="119"/>
      <c r="P19" s="234">
        <f>AVERAGE(P15:P18)</f>
        <v>6.5</v>
      </c>
      <c r="S19" s="283">
        <f>AVERAGE(S15:S18)</f>
        <v>17</v>
      </c>
    </row>
    <row r="20">
      <c r="A20" s="3"/>
      <c r="B20" s="12"/>
      <c r="C20" s="12"/>
      <c r="D20" s="13"/>
      <c r="E20" s="13"/>
      <c r="F20" s="13"/>
      <c r="G20" s="13"/>
      <c r="H20" s="13"/>
      <c r="I20" s="13"/>
      <c r="J20" s="13"/>
      <c r="K20" s="13"/>
      <c r="R20" s="4" t="s">
        <v>707</v>
      </c>
      <c r="U20" s="212"/>
    </row>
    <row r="21">
      <c r="Q21" s="4" t="s">
        <v>340</v>
      </c>
      <c r="R21" s="4" t="s">
        <v>171</v>
      </c>
      <c r="S21" s="4" t="s">
        <v>343</v>
      </c>
      <c r="T21" s="4" t="s">
        <v>581</v>
      </c>
      <c r="X21" s="41">
        <v>0.1</v>
      </c>
      <c r="Y21" s="41">
        <v>0.3</v>
      </c>
    </row>
    <row r="22">
      <c r="P22" s="4" t="s">
        <v>62</v>
      </c>
      <c r="Q22" s="236">
        <v>93.1</v>
      </c>
      <c r="R22" s="236">
        <v>92.0</v>
      </c>
      <c r="S22" s="24">
        <v>90.0</v>
      </c>
      <c r="T22" s="226">
        <f t="shared" ref="T22:T24" si="7">AVERAGE(Q22:S22)</f>
        <v>91.7</v>
      </c>
      <c r="V22" s="3" t="s">
        <v>536</v>
      </c>
      <c r="X22" s="3" t="s">
        <v>537</v>
      </c>
    </row>
    <row r="23">
      <c r="P23" s="4" t="s">
        <v>28</v>
      </c>
      <c r="Q23" s="236">
        <v>89.8</v>
      </c>
      <c r="R23" s="236">
        <v>83.7</v>
      </c>
      <c r="S23" s="24">
        <v>79.0</v>
      </c>
      <c r="T23" s="226">
        <f t="shared" si="7"/>
        <v>84.16666667</v>
      </c>
      <c r="V23" s="3" t="s">
        <v>538</v>
      </c>
      <c r="W23" s="4">
        <v>0.24</v>
      </c>
      <c r="X23" s="212">
        <f t="shared" ref="X23:X28" si="8">W23*$X$21</f>
        <v>0.024</v>
      </c>
      <c r="Y23" s="212">
        <f t="shared" ref="Y23:Y28" si="9">W23*$Y$21</f>
        <v>0.072</v>
      </c>
    </row>
    <row r="24">
      <c r="P24" s="4" t="s">
        <v>582</v>
      </c>
      <c r="Q24" s="236">
        <v>74.9</v>
      </c>
      <c r="R24" s="236">
        <v>74.2</v>
      </c>
      <c r="S24" s="24"/>
      <c r="T24" s="226">
        <f t="shared" si="7"/>
        <v>74.55</v>
      </c>
      <c r="V24" s="99" t="s">
        <v>540</v>
      </c>
      <c r="W24" s="4">
        <v>0.055</v>
      </c>
      <c r="X24" s="212">
        <f t="shared" si="8"/>
        <v>0.0055</v>
      </c>
      <c r="Y24" s="212">
        <f t="shared" si="9"/>
        <v>0.0165</v>
      </c>
      <c r="Z24" s="49" t="s">
        <v>541</v>
      </c>
    </row>
    <row r="25">
      <c r="P25" s="4" t="s">
        <v>583</v>
      </c>
      <c r="Q25" s="5">
        <f t="shared" ref="Q25:S25" si="10">Q23-Q24</f>
        <v>14.9</v>
      </c>
      <c r="R25" s="5">
        <f t="shared" si="10"/>
        <v>9.5</v>
      </c>
      <c r="S25" s="5">
        <f t="shared" si="10"/>
        <v>79</v>
      </c>
      <c r="V25" s="3" t="s">
        <v>542</v>
      </c>
      <c r="W25" s="4">
        <v>0.1</v>
      </c>
      <c r="X25" s="212">
        <f t="shared" si="8"/>
        <v>0.01</v>
      </c>
      <c r="Y25" s="212">
        <f t="shared" si="9"/>
        <v>0.03</v>
      </c>
      <c r="AA25" s="3" t="s">
        <v>688</v>
      </c>
    </row>
    <row r="26">
      <c r="V26" s="3" t="s">
        <v>543</v>
      </c>
      <c r="W26" s="4">
        <f>(0.05+0.1)/2</f>
        <v>0.075</v>
      </c>
      <c r="X26" s="212">
        <f t="shared" si="8"/>
        <v>0.0075</v>
      </c>
      <c r="Y26" s="212">
        <f t="shared" si="9"/>
        <v>0.0225</v>
      </c>
      <c r="AA26" s="3" t="s">
        <v>689</v>
      </c>
    </row>
    <row r="27">
      <c r="N27" s="230" t="s">
        <v>546</v>
      </c>
      <c r="O27" s="225">
        <v>2024.0</v>
      </c>
      <c r="V27" s="3" t="s">
        <v>545</v>
      </c>
      <c r="W27" s="4">
        <v>0.05</v>
      </c>
      <c r="X27" s="212">
        <f t="shared" si="8"/>
        <v>0.005</v>
      </c>
      <c r="Y27" s="212">
        <f t="shared" si="9"/>
        <v>0.015</v>
      </c>
      <c r="AA27" s="3" t="s">
        <v>690</v>
      </c>
    </row>
    <row r="28">
      <c r="N28" s="3" t="s">
        <v>549</v>
      </c>
      <c r="O28" s="4">
        <v>110.0</v>
      </c>
      <c r="V28" s="3" t="s">
        <v>558</v>
      </c>
      <c r="W28" s="4">
        <v>0.2</v>
      </c>
      <c r="X28" s="212">
        <f t="shared" si="8"/>
        <v>0.02</v>
      </c>
      <c r="Y28" s="212">
        <f t="shared" si="9"/>
        <v>0.06</v>
      </c>
      <c r="AA28" s="3" t="s">
        <v>691</v>
      </c>
    </row>
    <row r="29">
      <c r="N29" s="3" t="s">
        <v>81</v>
      </c>
      <c r="O29" s="99" t="s">
        <v>584</v>
      </c>
    </row>
    <row r="30">
      <c r="N30" s="3" t="s">
        <v>286</v>
      </c>
      <c r="O30" s="225" t="s">
        <v>585</v>
      </c>
    </row>
    <row r="32">
      <c r="N32" s="31" t="s">
        <v>586</v>
      </c>
    </row>
    <row r="33">
      <c r="N33" s="3" t="s">
        <v>587</v>
      </c>
      <c r="Q33" s="3" t="s">
        <v>588</v>
      </c>
    </row>
    <row r="34">
      <c r="N34" s="3" t="s">
        <v>589</v>
      </c>
      <c r="Q34" s="3" t="s">
        <v>590</v>
      </c>
    </row>
    <row r="35">
      <c r="N35" s="3" t="s">
        <v>591</v>
      </c>
      <c r="Q35" s="3" t="s">
        <v>592</v>
      </c>
    </row>
    <row r="36">
      <c r="N36" s="3" t="s">
        <v>593</v>
      </c>
      <c r="Q36" s="3" t="s">
        <v>594</v>
      </c>
    </row>
    <row r="37">
      <c r="N37" s="3" t="s">
        <v>595</v>
      </c>
      <c r="Q37" s="3" t="s">
        <v>596</v>
      </c>
    </row>
    <row r="38">
      <c r="N38" s="3" t="s">
        <v>597</v>
      </c>
      <c r="Q38" s="3" t="s">
        <v>598</v>
      </c>
    </row>
    <row r="39">
      <c r="N39" s="3" t="s">
        <v>599</v>
      </c>
      <c r="Q39" s="3" t="s">
        <v>600</v>
      </c>
    </row>
    <row r="41">
      <c r="N41" s="3" t="s">
        <v>601</v>
      </c>
      <c r="Q41" s="3" t="s">
        <v>602</v>
      </c>
    </row>
    <row r="42">
      <c r="Q42" s="3" t="s">
        <v>603</v>
      </c>
    </row>
    <row r="43">
      <c r="N43" s="3" t="s">
        <v>604</v>
      </c>
    </row>
    <row r="44">
      <c r="R44" s="3" t="s">
        <v>605</v>
      </c>
    </row>
    <row r="45">
      <c r="N45" s="3" t="s">
        <v>606</v>
      </c>
      <c r="R45" s="3" t="s">
        <v>607</v>
      </c>
    </row>
    <row r="46">
      <c r="N46" s="65">
        <f>60%*47.5</f>
        <v>28.5</v>
      </c>
      <c r="O46" s="3" t="s">
        <v>608</v>
      </c>
      <c r="R46" s="65">
        <f>60%*55</f>
        <v>33</v>
      </c>
      <c r="S46" s="3" t="s">
        <v>608</v>
      </c>
    </row>
    <row r="47">
      <c r="N47" s="65">
        <f>N46*72%</f>
        <v>20.52</v>
      </c>
      <c r="O47" s="3" t="s">
        <v>609</v>
      </c>
      <c r="R47" s="65">
        <f>R46*83%</f>
        <v>27.39</v>
      </c>
      <c r="S47" s="3" t="s">
        <v>609</v>
      </c>
    </row>
    <row r="48">
      <c r="N48" s="65">
        <f>N46-N47</f>
        <v>7.98</v>
      </c>
      <c r="O48" s="3" t="s">
        <v>610</v>
      </c>
      <c r="R48" s="65">
        <f>R46-R47</f>
        <v>5.61</v>
      </c>
      <c r="S48" s="3" t="s">
        <v>610</v>
      </c>
    </row>
    <row r="49">
      <c r="N49" s="3" t="s">
        <v>733</v>
      </c>
      <c r="Q49" s="3" t="s">
        <v>734</v>
      </c>
    </row>
    <row r="50">
      <c r="N50" s="3" t="s">
        <v>613</v>
      </c>
      <c r="Q50" s="3" t="s">
        <v>614</v>
      </c>
    </row>
    <row r="51">
      <c r="N51" s="3" t="s">
        <v>615</v>
      </c>
      <c r="Q51" s="3" t="s">
        <v>616</v>
      </c>
    </row>
    <row r="52">
      <c r="N52" s="3" t="s">
        <v>617</v>
      </c>
      <c r="Q52" s="3" t="s">
        <v>618</v>
      </c>
    </row>
    <row r="54">
      <c r="M54" s="3" t="s">
        <v>619</v>
      </c>
      <c r="N54" s="31" t="s">
        <v>620</v>
      </c>
      <c r="P54" s="218" t="s">
        <v>619</v>
      </c>
      <c r="Q54" s="31" t="s">
        <v>621</v>
      </c>
    </row>
    <row r="57">
      <c r="Q57" s="3" t="s">
        <v>735</v>
      </c>
    </row>
    <row r="58">
      <c r="Q58" s="3" t="s">
        <v>623</v>
      </c>
    </row>
    <row r="59">
      <c r="Q59" s="3" t="s">
        <v>616</v>
      </c>
    </row>
    <row r="60">
      <c r="Q60" s="3" t="s">
        <v>618</v>
      </c>
    </row>
    <row r="62">
      <c r="P62" s="218" t="s">
        <v>619</v>
      </c>
      <c r="Q62" s="31" t="s">
        <v>624</v>
      </c>
    </row>
  </sheetData>
  <hyperlinks>
    <hyperlink r:id="rId1" ref="Z24"/>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45462.0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2"/>
      <c r="V1" s="3" t="s">
        <v>711</v>
      </c>
      <c r="AA1" s="3" t="s">
        <v>712</v>
      </c>
    </row>
    <row r="2">
      <c r="A2" s="191"/>
      <c r="B2" s="54"/>
      <c r="C2" s="4"/>
      <c r="D2" s="4"/>
      <c r="E2" s="54"/>
      <c r="F2" s="54"/>
      <c r="G2" s="54"/>
      <c r="H2" s="54"/>
      <c r="J2" s="5"/>
      <c r="K2" s="4" t="s">
        <v>525</v>
      </c>
      <c r="L2" s="4" t="s">
        <v>525</v>
      </c>
      <c r="M2" s="4" t="s">
        <v>525</v>
      </c>
      <c r="N2" s="4" t="s">
        <v>525</v>
      </c>
      <c r="O2" s="3" t="s">
        <v>527</v>
      </c>
      <c r="P2" s="3"/>
      <c r="R2" s="7"/>
      <c r="S2" s="52"/>
      <c r="T2" s="3" t="s">
        <v>527</v>
      </c>
      <c r="U2" s="52"/>
      <c r="V2" s="3" t="s">
        <v>713</v>
      </c>
      <c r="AA2" s="3" t="s">
        <v>714</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64">
        <v>92.0</v>
      </c>
      <c r="R3" s="265">
        <v>95.0</v>
      </c>
      <c r="S3" s="266">
        <v>95.0</v>
      </c>
      <c r="T3" s="248">
        <f t="shared" ref="T3:T7" si="2">AVERAGE(P3:S3)</f>
        <v>93.25</v>
      </c>
      <c r="U3" s="52"/>
      <c r="V3" s="3" t="s">
        <v>715</v>
      </c>
      <c r="AA3" s="3" t="s">
        <v>716</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64">
        <v>85.0</v>
      </c>
      <c r="R4" s="264">
        <v>82.0</v>
      </c>
      <c r="S4" s="264">
        <v>79.0</v>
      </c>
      <c r="T4" s="248">
        <f t="shared" si="2"/>
        <v>82.25</v>
      </c>
      <c r="V4" s="3" t="s">
        <v>717</v>
      </c>
      <c r="AA4" s="3" t="s">
        <v>718</v>
      </c>
    </row>
    <row r="5" ht="42.0" customHeight="1">
      <c r="A5" s="252" t="s">
        <v>642</v>
      </c>
      <c r="B5" s="4"/>
      <c r="C5" s="4"/>
      <c r="D5" s="54"/>
      <c r="E5" s="54"/>
      <c r="F5" s="54"/>
      <c r="G5" s="54"/>
      <c r="H5" s="54"/>
      <c r="I5" s="112"/>
      <c r="J5" s="112"/>
      <c r="K5" s="263">
        <v>53.0</v>
      </c>
      <c r="L5" s="263">
        <v>54.0</v>
      </c>
      <c r="M5" s="246">
        <v>64.5</v>
      </c>
      <c r="N5" s="263">
        <v>68.9</v>
      </c>
      <c r="O5" s="248">
        <f t="shared" si="1"/>
        <v>60.1</v>
      </c>
      <c r="P5" s="255">
        <f t="shared" ref="P5:S5" si="3">P4-P6</f>
        <v>68</v>
      </c>
      <c r="Q5" s="264">
        <f t="shared" si="3"/>
        <v>70</v>
      </c>
      <c r="R5" s="264">
        <f t="shared" si="3"/>
        <v>67</v>
      </c>
      <c r="S5" s="264">
        <f t="shared" si="3"/>
        <v>64</v>
      </c>
      <c r="T5" s="248">
        <f t="shared" si="2"/>
        <v>67.25</v>
      </c>
      <c r="V5" s="3" t="s">
        <v>719</v>
      </c>
      <c r="Y5" s="3" t="s">
        <v>687</v>
      </c>
      <c r="AA5" s="3" t="s">
        <v>720</v>
      </c>
    </row>
    <row r="6" ht="26.25" hidden="1"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5">
        <v>15.0</v>
      </c>
      <c r="Q6" s="255">
        <v>15.0</v>
      </c>
      <c r="R6" s="255">
        <v>15.0</v>
      </c>
      <c r="S6" s="255">
        <v>15.0</v>
      </c>
      <c r="T6" s="248">
        <f t="shared" si="2"/>
        <v>15</v>
      </c>
      <c r="V6" s="3" t="s">
        <v>721</v>
      </c>
      <c r="AA6" s="3" t="s">
        <v>722</v>
      </c>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82">
        <v>7.7</v>
      </c>
      <c r="Q7" s="267">
        <v>8.5</v>
      </c>
      <c r="R7" s="268">
        <v>7.7</v>
      </c>
      <c r="S7" s="267">
        <v>6.5</v>
      </c>
      <c r="T7" s="258">
        <f t="shared" si="2"/>
        <v>7.6</v>
      </c>
      <c r="V7" s="3" t="s">
        <v>723</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71">
        <v>16.0</v>
      </c>
      <c r="Q8" s="269">
        <v>16.0</v>
      </c>
      <c r="R8" s="270">
        <v>18.0</v>
      </c>
      <c r="S8" s="269">
        <v>18.0</v>
      </c>
      <c r="T8" s="258">
        <v>16.6</v>
      </c>
      <c r="U8" s="4"/>
      <c r="V8" s="3" t="s">
        <v>724</v>
      </c>
    </row>
    <row r="9">
      <c r="E9" s="114"/>
      <c r="F9" s="115"/>
      <c r="G9" s="115"/>
      <c r="H9" s="115"/>
      <c r="I9" s="112" t="s">
        <v>406</v>
      </c>
      <c r="J9" s="112" t="s">
        <v>406</v>
      </c>
      <c r="P9" s="218" t="s">
        <v>736</v>
      </c>
      <c r="Q9" s="242">
        <v>92.0</v>
      </c>
      <c r="R9" s="242">
        <v>93.0</v>
      </c>
      <c r="S9" s="242">
        <v>95.0</v>
      </c>
      <c r="V9" s="3" t="s">
        <v>726</v>
      </c>
      <c r="Y9" s="215"/>
    </row>
    <row r="10">
      <c r="E10" s="114" t="s">
        <v>241</v>
      </c>
      <c r="F10" s="115" t="s">
        <v>242</v>
      </c>
      <c r="G10" s="115" t="s">
        <v>242</v>
      </c>
      <c r="H10" s="115" t="s">
        <v>194</v>
      </c>
      <c r="I10" s="115" t="s">
        <v>148</v>
      </c>
      <c r="P10" s="218" t="s">
        <v>469</v>
      </c>
      <c r="Q10" s="242">
        <v>92.0</v>
      </c>
      <c r="R10" s="242">
        <v>95.0</v>
      </c>
      <c r="S10" s="242">
        <v>95.0</v>
      </c>
      <c r="V10" s="218"/>
      <c r="W10" s="4"/>
      <c r="Y10" s="215"/>
    </row>
    <row r="11">
      <c r="A11" s="3" t="s">
        <v>47</v>
      </c>
      <c r="C11" s="4">
        <v>5.7</v>
      </c>
      <c r="D11" s="4">
        <v>6.5</v>
      </c>
      <c r="E11" s="62">
        <v>7.4</v>
      </c>
      <c r="F11" s="54">
        <v>8.1</v>
      </c>
      <c r="G11" s="54"/>
      <c r="H11" s="62"/>
      <c r="I11" s="62"/>
      <c r="J11" s="62"/>
      <c r="P11" s="218" t="s">
        <v>470</v>
      </c>
      <c r="Q11" s="242">
        <v>92.0</v>
      </c>
      <c r="R11" s="242">
        <v>96.0</v>
      </c>
      <c r="S11" s="242">
        <v>94.0</v>
      </c>
      <c r="U11" s="273" t="s">
        <v>674</v>
      </c>
      <c r="V11" s="274" t="s">
        <v>675</v>
      </c>
      <c r="W11" s="273" t="s">
        <v>676</v>
      </c>
      <c r="X11" s="274" t="s">
        <v>677</v>
      </c>
      <c r="Y11" s="273" t="s">
        <v>678</v>
      </c>
      <c r="Z11" s="275" t="s">
        <v>679</v>
      </c>
    </row>
    <row r="12">
      <c r="A12" s="3" t="s">
        <v>162</v>
      </c>
      <c r="D12" s="111" t="s">
        <v>241</v>
      </c>
      <c r="E12" s="117">
        <v>7.0</v>
      </c>
      <c r="F12" s="112">
        <v>7.3</v>
      </c>
      <c r="G12" s="112"/>
      <c r="H12" s="112"/>
      <c r="I12" s="117"/>
      <c r="J12" s="112"/>
      <c r="P12" s="218"/>
      <c r="Q12" s="242"/>
      <c r="R12" s="242"/>
      <c r="S12" s="242"/>
      <c r="T12" s="3" t="s">
        <v>470</v>
      </c>
      <c r="U12" s="276">
        <v>17.0</v>
      </c>
      <c r="V12" s="276">
        <v>17.0</v>
      </c>
      <c r="W12" s="276">
        <v>17.0</v>
      </c>
      <c r="X12" s="276">
        <v>17.0</v>
      </c>
      <c r="Y12" s="276">
        <v>17.0</v>
      </c>
      <c r="Z12" s="278"/>
    </row>
    <row r="13">
      <c r="C13" s="10"/>
      <c r="D13" s="10"/>
      <c r="E13" s="10"/>
      <c r="F13" s="10"/>
      <c r="G13" s="10"/>
      <c r="H13" s="10"/>
      <c r="I13" s="10"/>
      <c r="J13" s="10"/>
      <c r="P13" s="234" t="str">
        <f t="shared" ref="P13:S13" si="6">AVERAGE(P9:P12)</f>
        <v>#DIV/0!</v>
      </c>
      <c r="Q13" s="234">
        <f t="shared" si="6"/>
        <v>92</v>
      </c>
      <c r="R13" s="234">
        <f t="shared" si="6"/>
        <v>94.66666667</v>
      </c>
      <c r="S13" s="234">
        <f t="shared" si="6"/>
        <v>94.66666667</v>
      </c>
      <c r="T13" s="3" t="s">
        <v>468</v>
      </c>
      <c r="U13" s="280">
        <v>17.0</v>
      </c>
      <c r="V13" s="280">
        <v>17.0</v>
      </c>
      <c r="W13" s="280">
        <v>17.0</v>
      </c>
      <c r="X13" s="280">
        <v>17.0</v>
      </c>
      <c r="Y13" s="280">
        <v>17.0</v>
      </c>
      <c r="Z13" s="281"/>
    </row>
    <row r="14">
      <c r="E14" s="118"/>
      <c r="F14" s="118"/>
      <c r="G14" s="118"/>
      <c r="H14" s="118"/>
      <c r="I14" s="118"/>
      <c r="J14" s="118"/>
      <c r="S14" s="55"/>
      <c r="T14" s="3" t="s">
        <v>469</v>
      </c>
      <c r="U14" s="276"/>
      <c r="V14" s="276"/>
      <c r="W14" s="276"/>
      <c r="X14" s="276"/>
      <c r="Y14" s="276"/>
      <c r="Z14" s="278"/>
    </row>
    <row r="15">
      <c r="E15" s="118"/>
      <c r="F15" s="118"/>
      <c r="G15" s="118"/>
      <c r="H15" s="118"/>
      <c r="I15" s="118"/>
      <c r="J15" s="118"/>
      <c r="O15" s="218" t="s">
        <v>737</v>
      </c>
      <c r="P15" s="243">
        <v>6.0</v>
      </c>
      <c r="R15" s="218" t="s">
        <v>738</v>
      </c>
      <c r="S15" s="242">
        <v>17.0</v>
      </c>
      <c r="T15" s="210"/>
      <c r="U15" s="3" t="s">
        <v>729</v>
      </c>
    </row>
    <row r="16">
      <c r="E16" s="118"/>
      <c r="F16" s="118"/>
      <c r="G16" s="118"/>
      <c r="H16" s="118"/>
      <c r="I16" s="118"/>
      <c r="J16" s="118"/>
      <c r="O16" s="218" t="s">
        <v>469</v>
      </c>
      <c r="P16" s="243"/>
      <c r="R16" s="218" t="s">
        <v>469</v>
      </c>
      <c r="S16" s="242"/>
      <c r="U16" s="3" t="s">
        <v>730</v>
      </c>
    </row>
    <row r="17">
      <c r="E17" s="118"/>
      <c r="F17" s="118"/>
      <c r="G17" s="118"/>
      <c r="H17" s="118"/>
      <c r="I17" s="118"/>
      <c r="J17" s="118"/>
      <c r="N17" s="218" t="s">
        <v>682</v>
      </c>
      <c r="O17" s="218" t="s">
        <v>470</v>
      </c>
      <c r="P17" s="243">
        <v>7.0</v>
      </c>
      <c r="R17" s="218" t="s">
        <v>470</v>
      </c>
      <c r="S17" s="242"/>
      <c r="U17" s="3" t="s">
        <v>731</v>
      </c>
    </row>
    <row r="18">
      <c r="E18" s="118"/>
      <c r="F18" s="118"/>
      <c r="G18" s="118"/>
      <c r="H18" s="118"/>
      <c r="I18" s="118"/>
      <c r="J18" s="118"/>
      <c r="O18" s="218"/>
      <c r="P18" s="242"/>
      <c r="R18" s="218"/>
      <c r="S18" s="242"/>
      <c r="U18" s="3" t="s">
        <v>732</v>
      </c>
    </row>
    <row r="19">
      <c r="E19" s="118"/>
      <c r="F19" s="118"/>
      <c r="G19" s="118"/>
      <c r="H19" s="118"/>
      <c r="I19" s="118"/>
      <c r="J19" s="118"/>
      <c r="K19" s="119"/>
      <c r="P19" s="234">
        <f>AVERAGE(P15:P18)</f>
        <v>6.5</v>
      </c>
      <c r="S19" s="283">
        <f>AVERAGE(S15:S18)</f>
        <v>17</v>
      </c>
    </row>
    <row r="20">
      <c r="A20" s="3"/>
      <c r="B20" s="12"/>
      <c r="C20" s="12"/>
      <c r="D20" s="13"/>
      <c r="E20" s="13"/>
      <c r="F20" s="13"/>
      <c r="G20" s="13"/>
      <c r="H20" s="13"/>
      <c r="I20" s="13"/>
      <c r="J20" s="13"/>
      <c r="K20" s="13"/>
      <c r="R20" s="4" t="s">
        <v>707</v>
      </c>
      <c r="U20" s="212"/>
    </row>
    <row r="21">
      <c r="Q21" s="4" t="s">
        <v>340</v>
      </c>
      <c r="R21" s="4" t="s">
        <v>171</v>
      </c>
      <c r="S21" s="4" t="s">
        <v>343</v>
      </c>
      <c r="T21" s="4" t="s">
        <v>581</v>
      </c>
      <c r="X21" s="41">
        <v>0.1</v>
      </c>
      <c r="Y21" s="41">
        <v>0.3</v>
      </c>
    </row>
    <row r="22">
      <c r="P22" s="4" t="s">
        <v>62</v>
      </c>
      <c r="Q22" s="236">
        <v>93.1</v>
      </c>
      <c r="R22" s="236">
        <v>90.9</v>
      </c>
      <c r="S22" s="24">
        <v>88.1</v>
      </c>
      <c r="T22" s="226">
        <f t="shared" ref="T22:T24" si="7">AVERAGE(Q22:S22)</f>
        <v>90.7</v>
      </c>
      <c r="V22" s="3" t="s">
        <v>536</v>
      </c>
      <c r="X22" s="3" t="s">
        <v>537</v>
      </c>
    </row>
    <row r="23">
      <c r="P23" s="4" t="s">
        <v>28</v>
      </c>
      <c r="Q23" s="236">
        <v>89.8</v>
      </c>
      <c r="R23" s="236">
        <v>83.7</v>
      </c>
      <c r="S23" s="24">
        <v>79.0</v>
      </c>
      <c r="T23" s="226">
        <f t="shared" si="7"/>
        <v>84.16666667</v>
      </c>
      <c r="V23" s="3" t="s">
        <v>538</v>
      </c>
      <c r="W23" s="4">
        <v>0.24</v>
      </c>
      <c r="X23" s="212">
        <f t="shared" ref="X23:X28" si="8">W23*$X$21</f>
        <v>0.024</v>
      </c>
      <c r="Y23" s="212">
        <f t="shared" ref="Y23:Y28" si="9">W23*$Y$21</f>
        <v>0.072</v>
      </c>
    </row>
    <row r="24">
      <c r="P24" s="4" t="s">
        <v>582</v>
      </c>
      <c r="Q24" s="236">
        <v>74.9</v>
      </c>
      <c r="R24" s="236">
        <v>74.2</v>
      </c>
      <c r="S24" s="24"/>
      <c r="T24" s="226">
        <f t="shared" si="7"/>
        <v>74.55</v>
      </c>
      <c r="V24" s="99" t="s">
        <v>540</v>
      </c>
      <c r="W24" s="4">
        <v>0.055</v>
      </c>
      <c r="X24" s="212">
        <f t="shared" si="8"/>
        <v>0.0055</v>
      </c>
      <c r="Y24" s="212">
        <f t="shared" si="9"/>
        <v>0.0165</v>
      </c>
      <c r="Z24" s="49" t="s">
        <v>541</v>
      </c>
    </row>
    <row r="25">
      <c r="P25" s="4" t="s">
        <v>583</v>
      </c>
      <c r="Q25" s="5">
        <f t="shared" ref="Q25:S25" si="10">Q23-Q24</f>
        <v>14.9</v>
      </c>
      <c r="R25" s="5">
        <f t="shared" si="10"/>
        <v>9.5</v>
      </c>
      <c r="S25" s="5">
        <f t="shared" si="10"/>
        <v>79</v>
      </c>
      <c r="V25" s="3" t="s">
        <v>542</v>
      </c>
      <c r="W25" s="4">
        <v>0.1</v>
      </c>
      <c r="X25" s="212">
        <f t="shared" si="8"/>
        <v>0.01</v>
      </c>
      <c r="Y25" s="212">
        <f t="shared" si="9"/>
        <v>0.03</v>
      </c>
      <c r="AA25" s="3" t="s">
        <v>688</v>
      </c>
    </row>
    <row r="26">
      <c r="V26" s="3" t="s">
        <v>543</v>
      </c>
      <c r="W26" s="4">
        <f>(0.05+0.1)/2</f>
        <v>0.075</v>
      </c>
      <c r="X26" s="212">
        <f t="shared" si="8"/>
        <v>0.0075</v>
      </c>
      <c r="Y26" s="212">
        <f t="shared" si="9"/>
        <v>0.0225</v>
      </c>
      <c r="AA26" s="3" t="s">
        <v>689</v>
      </c>
    </row>
    <row r="27">
      <c r="N27" s="230" t="s">
        <v>546</v>
      </c>
      <c r="O27" s="225">
        <v>2024.0</v>
      </c>
      <c r="V27" s="3" t="s">
        <v>545</v>
      </c>
      <c r="W27" s="4">
        <v>0.05</v>
      </c>
      <c r="X27" s="212">
        <f t="shared" si="8"/>
        <v>0.005</v>
      </c>
      <c r="Y27" s="212">
        <f t="shared" si="9"/>
        <v>0.015</v>
      </c>
      <c r="AA27" s="3" t="s">
        <v>690</v>
      </c>
    </row>
    <row r="28">
      <c r="N28" s="3" t="s">
        <v>549</v>
      </c>
      <c r="O28" s="4">
        <v>110.0</v>
      </c>
      <c r="V28" s="3" t="s">
        <v>558</v>
      </c>
      <c r="W28" s="4">
        <v>0.2</v>
      </c>
      <c r="X28" s="212">
        <f t="shared" si="8"/>
        <v>0.02</v>
      </c>
      <c r="Y28" s="212">
        <f t="shared" si="9"/>
        <v>0.06</v>
      </c>
      <c r="AA28" s="3" t="s">
        <v>691</v>
      </c>
    </row>
    <row r="29">
      <c r="N29" s="3" t="s">
        <v>81</v>
      </c>
      <c r="O29" s="99" t="s">
        <v>584</v>
      </c>
    </row>
    <row r="30">
      <c r="N30" s="3" t="s">
        <v>286</v>
      </c>
      <c r="O30" s="225" t="s">
        <v>585</v>
      </c>
    </row>
    <row r="32">
      <c r="N32" s="31" t="s">
        <v>586</v>
      </c>
    </row>
    <row r="33">
      <c r="N33" s="3" t="s">
        <v>587</v>
      </c>
      <c r="Q33" s="3" t="s">
        <v>588</v>
      </c>
    </row>
    <row r="34">
      <c r="N34" s="3" t="s">
        <v>589</v>
      </c>
      <c r="Q34" s="3" t="s">
        <v>590</v>
      </c>
    </row>
    <row r="35">
      <c r="N35" s="3" t="s">
        <v>591</v>
      </c>
      <c r="Q35" s="3" t="s">
        <v>592</v>
      </c>
    </row>
    <row r="36">
      <c r="N36" s="3" t="s">
        <v>593</v>
      </c>
      <c r="Q36" s="3" t="s">
        <v>594</v>
      </c>
    </row>
    <row r="37">
      <c r="N37" s="3" t="s">
        <v>595</v>
      </c>
      <c r="Q37" s="3" t="s">
        <v>596</v>
      </c>
    </row>
    <row r="38">
      <c r="N38" s="3" t="s">
        <v>597</v>
      </c>
      <c r="Q38" s="3" t="s">
        <v>598</v>
      </c>
    </row>
    <row r="39">
      <c r="N39" s="3" t="s">
        <v>599</v>
      </c>
      <c r="Q39" s="3" t="s">
        <v>600</v>
      </c>
    </row>
    <row r="41">
      <c r="N41" s="3" t="s">
        <v>601</v>
      </c>
      <c r="Q41" s="3" t="s">
        <v>602</v>
      </c>
    </row>
    <row r="42">
      <c r="Q42" s="3" t="s">
        <v>603</v>
      </c>
    </row>
    <row r="43">
      <c r="N43" s="3" t="s">
        <v>604</v>
      </c>
    </row>
    <row r="44">
      <c r="R44" s="3" t="s">
        <v>605</v>
      </c>
    </row>
    <row r="45">
      <c r="N45" s="3" t="s">
        <v>606</v>
      </c>
      <c r="R45" s="3" t="s">
        <v>607</v>
      </c>
    </row>
    <row r="46">
      <c r="N46" s="65">
        <f>60%*47.5</f>
        <v>28.5</v>
      </c>
      <c r="O46" s="3" t="s">
        <v>608</v>
      </c>
      <c r="R46" s="65">
        <f>60%*55</f>
        <v>33</v>
      </c>
      <c r="S46" s="3" t="s">
        <v>608</v>
      </c>
    </row>
    <row r="47">
      <c r="N47" s="65">
        <f>N46*72%</f>
        <v>20.52</v>
      </c>
      <c r="O47" s="3" t="s">
        <v>609</v>
      </c>
      <c r="R47" s="65">
        <f>R46*83%</f>
        <v>27.39</v>
      </c>
      <c r="S47" s="3" t="s">
        <v>609</v>
      </c>
    </row>
    <row r="48">
      <c r="N48" s="65">
        <f>N46-N47</f>
        <v>7.98</v>
      </c>
      <c r="O48" s="3" t="s">
        <v>610</v>
      </c>
      <c r="R48" s="65">
        <f>R46-R47</f>
        <v>5.61</v>
      </c>
      <c r="S48" s="3" t="s">
        <v>610</v>
      </c>
    </row>
    <row r="49">
      <c r="N49" s="3" t="s">
        <v>739</v>
      </c>
      <c r="Q49" s="3" t="s">
        <v>740</v>
      </c>
    </row>
    <row r="50">
      <c r="N50" s="3" t="s">
        <v>613</v>
      </c>
      <c r="Q50" s="3" t="s">
        <v>614</v>
      </c>
    </row>
    <row r="51">
      <c r="N51" s="3" t="s">
        <v>615</v>
      </c>
      <c r="Q51" s="3" t="s">
        <v>616</v>
      </c>
    </row>
    <row r="52">
      <c r="N52" s="3" t="s">
        <v>617</v>
      </c>
      <c r="Q52" s="3" t="s">
        <v>618</v>
      </c>
    </row>
    <row r="54">
      <c r="M54" s="3" t="s">
        <v>619</v>
      </c>
      <c r="N54" s="31" t="s">
        <v>620</v>
      </c>
      <c r="P54" s="218" t="s">
        <v>619</v>
      </c>
      <c r="Q54" s="31" t="s">
        <v>621</v>
      </c>
    </row>
    <row r="57">
      <c r="Q57" s="3" t="s">
        <v>741</v>
      </c>
    </row>
    <row r="58">
      <c r="Q58" s="3" t="s">
        <v>623</v>
      </c>
    </row>
    <row r="59">
      <c r="Q59" s="3" t="s">
        <v>616</v>
      </c>
    </row>
    <row r="60">
      <c r="Q60" s="3" t="s">
        <v>618</v>
      </c>
    </row>
    <row r="62">
      <c r="P62" s="218" t="s">
        <v>619</v>
      </c>
      <c r="Q62" s="31" t="s">
        <v>624</v>
      </c>
    </row>
  </sheetData>
  <hyperlinks>
    <hyperlink r:id="rId1" ref="Z24"/>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45476.0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2"/>
      <c r="V1" s="3" t="s">
        <v>742</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52"/>
      <c r="V2" s="3" t="s">
        <v>743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65">
        <v>89.0</v>
      </c>
      <c r="S3" s="266">
        <v>89.0</v>
      </c>
      <c r="T3" s="248">
        <f t="shared" ref="T3:T7" si="2">AVERAGE(P3:S3)</f>
        <v>89.925</v>
      </c>
      <c r="U3" s="52"/>
      <c r="V3" s="3" t="s">
        <v>744</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64">
        <v>84.0</v>
      </c>
      <c r="S4" s="264">
        <v>82.0</v>
      </c>
      <c r="T4" s="248">
        <f t="shared" si="2"/>
        <v>83.4</v>
      </c>
      <c r="V4" s="3" t="s">
        <v>745</v>
      </c>
    </row>
    <row r="5" ht="42.0" customHeight="1">
      <c r="A5" s="252" t="s">
        <v>642</v>
      </c>
      <c r="B5" s="4"/>
      <c r="C5" s="4"/>
      <c r="D5" s="54"/>
      <c r="E5" s="54"/>
      <c r="F5" s="54"/>
      <c r="G5" s="54"/>
      <c r="H5" s="54"/>
      <c r="I5" s="112"/>
      <c r="J5" s="112"/>
      <c r="K5" s="263">
        <v>53.0</v>
      </c>
      <c r="L5" s="263">
        <v>54.0</v>
      </c>
      <c r="M5" s="246">
        <v>64.5</v>
      </c>
      <c r="N5" s="263">
        <v>68.9</v>
      </c>
      <c r="O5" s="248">
        <f t="shared" si="1"/>
        <v>60.1</v>
      </c>
      <c r="P5" s="255">
        <f>P4-P6</f>
        <v>68</v>
      </c>
      <c r="Q5" s="255" t="s">
        <v>746</v>
      </c>
      <c r="R5" s="264">
        <f t="shared" ref="R5:S5" si="3">R4-R6</f>
        <v>69</v>
      </c>
      <c r="S5" s="264">
        <f t="shared" si="3"/>
        <v>67</v>
      </c>
      <c r="T5" s="248">
        <f t="shared" si="2"/>
        <v>68</v>
      </c>
      <c r="V5" s="3" t="s">
        <v>747</v>
      </c>
    </row>
    <row r="6" ht="26.25" hidden="1" customHeight="1">
      <c r="A6" s="245" t="s">
        <v>643</v>
      </c>
      <c r="B6" s="4"/>
      <c r="C6" s="4"/>
      <c r="D6" s="54"/>
      <c r="E6" s="54"/>
      <c r="F6" s="54"/>
      <c r="G6" s="54"/>
      <c r="H6" s="54"/>
      <c r="I6" s="112"/>
      <c r="J6" s="112"/>
      <c r="K6" s="263">
        <f t="shared" ref="K6:O6" si="4">K4-K5</f>
        <v>29</v>
      </c>
      <c r="L6" s="263">
        <f t="shared" si="4"/>
        <v>24</v>
      </c>
      <c r="M6" s="246">
        <f t="shared" si="4"/>
        <v>21.3</v>
      </c>
      <c r="N6" s="246">
        <f t="shared" si="4"/>
        <v>14.9</v>
      </c>
      <c r="O6" s="248">
        <f t="shared" si="4"/>
        <v>22.3</v>
      </c>
      <c r="P6" s="255">
        <v>15.0</v>
      </c>
      <c r="Q6" s="247">
        <v>15.0</v>
      </c>
      <c r="R6" s="247">
        <v>15.0</v>
      </c>
      <c r="S6" s="247">
        <v>15.0</v>
      </c>
      <c r="T6" s="248">
        <f t="shared" si="2"/>
        <v>15</v>
      </c>
    </row>
    <row r="7" ht="26.2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5">AVERAGE(K7:N7)</f>
        <v>5.05</v>
      </c>
      <c r="P7" s="282">
        <v>7.7</v>
      </c>
      <c r="Q7" s="282">
        <v>8.6</v>
      </c>
      <c r="R7" s="268">
        <v>8.2</v>
      </c>
      <c r="S7" s="267">
        <v>7.0</v>
      </c>
      <c r="T7" s="258">
        <f t="shared" si="2"/>
        <v>7.875</v>
      </c>
      <c r="V7" s="3" t="s">
        <v>748</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5"/>
        <v>11</v>
      </c>
      <c r="P8" s="271">
        <v>16.0</v>
      </c>
      <c r="Q8" s="271">
        <v>16.0</v>
      </c>
      <c r="R8" s="270">
        <v>18.0</v>
      </c>
      <c r="S8" s="269">
        <v>18.0</v>
      </c>
      <c r="T8" s="258">
        <v>16.6</v>
      </c>
      <c r="U8" s="4"/>
      <c r="V8" s="3" t="s">
        <v>749</v>
      </c>
    </row>
    <row r="9">
      <c r="E9" s="114"/>
      <c r="F9" s="115"/>
      <c r="G9" s="115"/>
      <c r="H9" s="115"/>
      <c r="I9" s="112" t="s">
        <v>406</v>
      </c>
      <c r="J9" s="112" t="s">
        <v>406</v>
      </c>
      <c r="P9" s="218" t="s">
        <v>750</v>
      </c>
      <c r="Q9" s="242"/>
      <c r="R9" s="242">
        <v>88.0</v>
      </c>
      <c r="S9" s="242">
        <v>90.0</v>
      </c>
      <c r="V9" s="3" t="s">
        <v>751</v>
      </c>
      <c r="Y9" s="215"/>
      <c r="AC9" s="3" t="s">
        <v>752</v>
      </c>
    </row>
    <row r="10">
      <c r="E10" s="114" t="s">
        <v>241</v>
      </c>
      <c r="F10" s="115" t="s">
        <v>242</v>
      </c>
      <c r="G10" s="115" t="s">
        <v>242</v>
      </c>
      <c r="H10" s="115" t="s">
        <v>194</v>
      </c>
      <c r="I10" s="115" t="s">
        <v>148</v>
      </c>
      <c r="P10" s="218" t="s">
        <v>469</v>
      </c>
      <c r="Q10" s="242"/>
      <c r="R10" s="242">
        <v>88.0</v>
      </c>
      <c r="S10" s="242">
        <v>88.0</v>
      </c>
      <c r="V10" s="218"/>
      <c r="W10" s="4"/>
      <c r="Y10" s="215"/>
      <c r="AB10" s="3" t="s">
        <v>753</v>
      </c>
    </row>
    <row r="11">
      <c r="A11" s="3" t="s">
        <v>47</v>
      </c>
      <c r="C11" s="4">
        <v>5.7</v>
      </c>
      <c r="D11" s="4">
        <v>6.5</v>
      </c>
      <c r="E11" s="62">
        <v>7.4</v>
      </c>
      <c r="F11" s="54">
        <v>8.1</v>
      </c>
      <c r="G11" s="54"/>
      <c r="H11" s="62"/>
      <c r="I11" s="62"/>
      <c r="J11" s="62"/>
      <c r="P11" s="218" t="s">
        <v>470</v>
      </c>
      <c r="Q11" s="242"/>
      <c r="R11" s="242">
        <v>90.0</v>
      </c>
      <c r="S11" s="242">
        <v>88.0</v>
      </c>
      <c r="U11" s="274" t="s">
        <v>675</v>
      </c>
      <c r="V11" s="273" t="s">
        <v>676</v>
      </c>
      <c r="W11" s="274" t="s">
        <v>677</v>
      </c>
      <c r="X11" s="273" t="s">
        <v>678</v>
      </c>
      <c r="Y11" s="275" t="s">
        <v>679</v>
      </c>
      <c r="AB11" s="3" t="s">
        <v>754</v>
      </c>
    </row>
    <row r="12">
      <c r="A12" s="3" t="s">
        <v>162</v>
      </c>
      <c r="D12" s="111" t="s">
        <v>241</v>
      </c>
      <c r="E12" s="117">
        <v>7.0</v>
      </c>
      <c r="F12" s="112">
        <v>7.3</v>
      </c>
      <c r="G12" s="112"/>
      <c r="H12" s="112"/>
      <c r="I12" s="117"/>
      <c r="J12" s="112"/>
      <c r="P12" s="218"/>
      <c r="Q12" s="242"/>
      <c r="R12" s="242"/>
      <c r="S12" s="242"/>
      <c r="T12" s="3" t="s">
        <v>470</v>
      </c>
      <c r="U12" s="276"/>
      <c r="V12" s="276"/>
      <c r="W12" s="276"/>
      <c r="X12" s="276"/>
      <c r="Y12" s="278"/>
      <c r="AB12" s="3" t="s">
        <v>755</v>
      </c>
    </row>
    <row r="13">
      <c r="C13" s="10"/>
      <c r="D13" s="10"/>
      <c r="E13" s="10"/>
      <c r="F13" s="10"/>
      <c r="G13" s="10"/>
      <c r="H13" s="10"/>
      <c r="I13" s="10"/>
      <c r="J13" s="10"/>
      <c r="P13" s="234" t="str">
        <f t="shared" ref="P13:S13" si="6">AVERAGE(P9:P12)</f>
        <v>#DIV/0!</v>
      </c>
      <c r="Q13" s="234" t="str">
        <f t="shared" si="6"/>
        <v>#DIV/0!</v>
      </c>
      <c r="R13" s="234">
        <f t="shared" si="6"/>
        <v>88.66666667</v>
      </c>
      <c r="S13" s="234">
        <f t="shared" si="6"/>
        <v>88.66666667</v>
      </c>
      <c r="T13" s="3" t="s">
        <v>468</v>
      </c>
      <c r="U13" s="280"/>
      <c r="V13" s="280"/>
      <c r="W13" s="280"/>
      <c r="X13" s="280"/>
      <c r="Y13" s="281"/>
      <c r="AB13" s="3" t="s">
        <v>756</v>
      </c>
    </row>
    <row r="14">
      <c r="E14" s="118"/>
      <c r="F14" s="118"/>
      <c r="G14" s="118"/>
      <c r="H14" s="118"/>
      <c r="I14" s="118"/>
      <c r="J14" s="118"/>
      <c r="S14" s="55"/>
      <c r="T14" s="3" t="s">
        <v>469</v>
      </c>
      <c r="U14" s="276"/>
      <c r="V14" s="276"/>
      <c r="W14" s="276"/>
      <c r="X14" s="276"/>
      <c r="Y14" s="278"/>
    </row>
    <row r="15">
      <c r="E15" s="118"/>
      <c r="F15" s="118"/>
      <c r="G15" s="118"/>
      <c r="H15" s="118"/>
      <c r="I15" s="118"/>
      <c r="J15" s="118"/>
      <c r="O15" s="218" t="s">
        <v>757</v>
      </c>
      <c r="P15" s="243">
        <v>7.0</v>
      </c>
      <c r="R15" s="218" t="s">
        <v>758</v>
      </c>
      <c r="S15" s="242"/>
      <c r="T15" s="210"/>
      <c r="U15" s="3" t="s">
        <v>729</v>
      </c>
    </row>
    <row r="16">
      <c r="E16" s="118"/>
      <c r="F16" s="118"/>
      <c r="G16" s="118"/>
      <c r="H16" s="118"/>
      <c r="I16" s="118"/>
      <c r="J16" s="118"/>
      <c r="O16" s="218" t="s">
        <v>469</v>
      </c>
      <c r="P16" s="243"/>
      <c r="R16" s="218" t="s">
        <v>469</v>
      </c>
      <c r="S16" s="242"/>
      <c r="U16" s="3" t="s">
        <v>730</v>
      </c>
    </row>
    <row r="17">
      <c r="E17" s="118"/>
      <c r="F17" s="118"/>
      <c r="G17" s="118"/>
      <c r="H17" s="118"/>
      <c r="I17" s="118"/>
      <c r="J17" s="118"/>
      <c r="N17" s="218" t="s">
        <v>682</v>
      </c>
      <c r="O17" s="218" t="s">
        <v>470</v>
      </c>
      <c r="P17" s="243">
        <v>7.0</v>
      </c>
      <c r="R17" s="218" t="s">
        <v>470</v>
      </c>
      <c r="S17" s="242"/>
      <c r="U17" s="3" t="s">
        <v>731</v>
      </c>
    </row>
    <row r="18">
      <c r="E18" s="118"/>
      <c r="F18" s="118"/>
      <c r="G18" s="118"/>
      <c r="H18" s="118"/>
      <c r="I18" s="118"/>
      <c r="J18" s="118"/>
      <c r="O18" s="218"/>
      <c r="P18" s="242"/>
      <c r="R18" s="218"/>
      <c r="S18" s="242"/>
      <c r="U18" s="3" t="s">
        <v>732</v>
      </c>
    </row>
    <row r="19">
      <c r="E19" s="118"/>
      <c r="F19" s="118"/>
      <c r="G19" s="118"/>
      <c r="H19" s="118"/>
      <c r="I19" s="118"/>
      <c r="J19" s="118"/>
      <c r="K19" s="119"/>
      <c r="P19" s="234">
        <f>AVERAGE(P15:P18)</f>
        <v>7</v>
      </c>
      <c r="S19" s="283" t="str">
        <f>AVERAGE(S15:S18)</f>
        <v>#DIV/0!</v>
      </c>
    </row>
    <row r="20">
      <c r="A20" s="3"/>
      <c r="B20" s="12"/>
      <c r="C20" s="12"/>
      <c r="D20" s="13"/>
      <c r="E20" s="13"/>
      <c r="F20" s="13"/>
      <c r="G20" s="13"/>
      <c r="H20" s="13"/>
      <c r="I20" s="13"/>
      <c r="J20" s="13"/>
      <c r="K20" s="13"/>
      <c r="R20" s="4" t="s">
        <v>707</v>
      </c>
      <c r="U20" s="212"/>
    </row>
    <row r="21">
      <c r="Q21" s="4" t="s">
        <v>340</v>
      </c>
      <c r="R21" s="4" t="s">
        <v>171</v>
      </c>
      <c r="S21" s="4" t="s">
        <v>343</v>
      </c>
      <c r="T21" s="4" t="s">
        <v>581</v>
      </c>
      <c r="X21" s="41">
        <v>0.1</v>
      </c>
      <c r="Y21" s="41">
        <v>0.3</v>
      </c>
    </row>
    <row r="22">
      <c r="P22" s="4" t="s">
        <v>62</v>
      </c>
      <c r="Q22" s="284">
        <v>93.1</v>
      </c>
      <c r="R22" s="284">
        <v>90.9</v>
      </c>
      <c r="S22" s="175">
        <v>88.1</v>
      </c>
      <c r="T22" s="226">
        <f t="shared" ref="T22:T24" si="7">AVERAGE(Q22:S22)</f>
        <v>90.7</v>
      </c>
      <c r="V22" s="3" t="s">
        <v>536</v>
      </c>
      <c r="X22" s="3" t="s">
        <v>537</v>
      </c>
    </row>
    <row r="23">
      <c r="P23" s="4" t="s">
        <v>28</v>
      </c>
      <c r="Q23" s="284">
        <v>89.8</v>
      </c>
      <c r="R23" s="284">
        <v>81.7</v>
      </c>
      <c r="S23" s="285">
        <v>82.25</v>
      </c>
      <c r="T23" s="226">
        <f t="shared" si="7"/>
        <v>84.58333333</v>
      </c>
      <c r="V23" s="3" t="s">
        <v>538</v>
      </c>
      <c r="W23" s="4">
        <v>0.24</v>
      </c>
      <c r="X23" s="212">
        <f t="shared" ref="X23:X28" si="8">W23*$X$21</f>
        <v>0.024</v>
      </c>
      <c r="Y23" s="212">
        <f t="shared" ref="Y23:Y28" si="9">W23*$Y$21</f>
        <v>0.072</v>
      </c>
    </row>
    <row r="24">
      <c r="P24" s="4" t="s">
        <v>582</v>
      </c>
      <c r="Q24" s="284">
        <v>71.3</v>
      </c>
      <c r="R24" s="284">
        <v>71.8</v>
      </c>
      <c r="S24" s="175">
        <v>70.1</v>
      </c>
      <c r="T24" s="226">
        <f t="shared" si="7"/>
        <v>71.06666667</v>
      </c>
      <c r="V24" s="99" t="s">
        <v>540</v>
      </c>
      <c r="W24" s="4">
        <v>0.055</v>
      </c>
      <c r="X24" s="212">
        <f t="shared" si="8"/>
        <v>0.0055</v>
      </c>
      <c r="Y24" s="212">
        <f t="shared" si="9"/>
        <v>0.0165</v>
      </c>
      <c r="Z24" s="49" t="s">
        <v>541</v>
      </c>
    </row>
    <row r="25">
      <c r="P25" s="4" t="s">
        <v>583</v>
      </c>
      <c r="Q25" s="5">
        <f t="shared" ref="Q25:S25" si="10">Q23-Q24</f>
        <v>18.5</v>
      </c>
      <c r="R25" s="5">
        <f t="shared" si="10"/>
        <v>9.9</v>
      </c>
      <c r="S25" s="286">
        <f t="shared" si="10"/>
        <v>12.15</v>
      </c>
      <c r="V25" s="3" t="s">
        <v>542</v>
      </c>
      <c r="W25" s="4">
        <v>0.1</v>
      </c>
      <c r="X25" s="212">
        <f t="shared" si="8"/>
        <v>0.01</v>
      </c>
      <c r="Y25" s="212">
        <f t="shared" si="9"/>
        <v>0.03</v>
      </c>
      <c r="AA25" s="3" t="s">
        <v>688</v>
      </c>
    </row>
    <row r="26">
      <c r="V26" s="3" t="s">
        <v>543</v>
      </c>
      <c r="W26" s="4">
        <f>(0.05+0.1)/2</f>
        <v>0.075</v>
      </c>
      <c r="X26" s="212">
        <f t="shared" si="8"/>
        <v>0.0075</v>
      </c>
      <c r="Y26" s="212">
        <f t="shared" si="9"/>
        <v>0.0225</v>
      </c>
      <c r="AA26" s="3" t="s">
        <v>689</v>
      </c>
    </row>
    <row r="27">
      <c r="N27" s="230" t="s">
        <v>546</v>
      </c>
      <c r="O27" s="225">
        <v>2024.0</v>
      </c>
      <c r="Q27" s="4" t="s">
        <v>345</v>
      </c>
      <c r="R27" s="4" t="s">
        <v>347</v>
      </c>
      <c r="S27" s="4" t="s">
        <v>348</v>
      </c>
      <c r="T27" s="4" t="s">
        <v>581</v>
      </c>
      <c r="V27" s="3" t="s">
        <v>545</v>
      </c>
      <c r="W27" s="4">
        <v>0.05</v>
      </c>
      <c r="X27" s="212">
        <f t="shared" si="8"/>
        <v>0.005</v>
      </c>
      <c r="Y27" s="212">
        <f t="shared" si="9"/>
        <v>0.015</v>
      </c>
      <c r="AA27" s="3" t="s">
        <v>690</v>
      </c>
    </row>
    <row r="28">
      <c r="N28" s="3" t="s">
        <v>549</v>
      </c>
      <c r="O28" s="4">
        <v>110.0</v>
      </c>
      <c r="P28" s="4" t="s">
        <v>62</v>
      </c>
      <c r="Q28" s="236">
        <v>93.1</v>
      </c>
      <c r="R28" s="236">
        <v>90.9</v>
      </c>
      <c r="S28" s="24">
        <v>88.1</v>
      </c>
      <c r="T28" s="226">
        <f t="shared" ref="T28:T30" si="11">AVERAGE(Q28:S28)</f>
        <v>90.7</v>
      </c>
      <c r="V28" s="3" t="s">
        <v>558</v>
      </c>
      <c r="W28" s="4">
        <v>0.2</v>
      </c>
      <c r="X28" s="212">
        <f t="shared" si="8"/>
        <v>0.02</v>
      </c>
      <c r="Y28" s="212">
        <f t="shared" si="9"/>
        <v>0.06</v>
      </c>
      <c r="AA28" s="3" t="s">
        <v>691</v>
      </c>
    </row>
    <row r="29">
      <c r="N29" s="3" t="s">
        <v>81</v>
      </c>
      <c r="O29" s="99" t="s">
        <v>584</v>
      </c>
      <c r="P29" s="4" t="s">
        <v>28</v>
      </c>
      <c r="Q29" s="236">
        <v>89.8</v>
      </c>
      <c r="R29" s="236">
        <v>81.7</v>
      </c>
      <c r="S29" s="116">
        <v>82.25</v>
      </c>
      <c r="T29" s="226">
        <f t="shared" si="11"/>
        <v>84.58333333</v>
      </c>
    </row>
    <row r="30">
      <c r="N30" s="3" t="s">
        <v>286</v>
      </c>
      <c r="O30" s="225" t="s">
        <v>585</v>
      </c>
      <c r="P30" s="4" t="s">
        <v>582</v>
      </c>
      <c r="Q30" s="236">
        <v>71.3</v>
      </c>
      <c r="R30" s="236">
        <v>71.8</v>
      </c>
      <c r="S30" s="24">
        <v>70.1</v>
      </c>
      <c r="T30" s="226">
        <f t="shared" si="11"/>
        <v>71.06666667</v>
      </c>
    </row>
    <row r="31">
      <c r="P31" s="4" t="s">
        <v>583</v>
      </c>
      <c r="Q31" s="5">
        <f t="shared" ref="Q31:S31" si="12">Q29-Q30</f>
        <v>18.5</v>
      </c>
      <c r="R31" s="5">
        <f t="shared" si="12"/>
        <v>9.9</v>
      </c>
      <c r="S31" s="286">
        <f t="shared" si="12"/>
        <v>12.15</v>
      </c>
    </row>
    <row r="32">
      <c r="N32" s="31" t="s">
        <v>586</v>
      </c>
    </row>
    <row r="33">
      <c r="N33" s="3" t="s">
        <v>587</v>
      </c>
      <c r="Q33" s="3" t="s">
        <v>588</v>
      </c>
    </row>
    <row r="34">
      <c r="N34" s="3" t="s">
        <v>589</v>
      </c>
      <c r="Q34" s="3" t="s">
        <v>590</v>
      </c>
    </row>
    <row r="35">
      <c r="N35" s="3" t="s">
        <v>591</v>
      </c>
      <c r="Q35" s="3" t="s">
        <v>592</v>
      </c>
    </row>
    <row r="36">
      <c r="N36" s="3" t="s">
        <v>593</v>
      </c>
      <c r="Q36" s="3" t="s">
        <v>594</v>
      </c>
    </row>
    <row r="37">
      <c r="N37" s="3" t="s">
        <v>595</v>
      </c>
      <c r="Q37" s="3" t="s">
        <v>596</v>
      </c>
    </row>
    <row r="38">
      <c r="N38" s="3" t="s">
        <v>597</v>
      </c>
      <c r="Q38" s="3" t="s">
        <v>598</v>
      </c>
    </row>
    <row r="39">
      <c r="N39" s="3" t="s">
        <v>599</v>
      </c>
      <c r="Q39" s="3" t="s">
        <v>600</v>
      </c>
    </row>
    <row r="41">
      <c r="N41" s="3" t="s">
        <v>601</v>
      </c>
      <c r="Q41" s="3" t="s">
        <v>602</v>
      </c>
    </row>
    <row r="42">
      <c r="Q42" s="3" t="s">
        <v>603</v>
      </c>
    </row>
    <row r="43">
      <c r="N43" s="3" t="s">
        <v>604</v>
      </c>
    </row>
    <row r="44">
      <c r="R44" s="3" t="s">
        <v>605</v>
      </c>
    </row>
    <row r="45">
      <c r="N45" s="3" t="s">
        <v>606</v>
      </c>
      <c r="R45" s="3" t="s">
        <v>607</v>
      </c>
    </row>
    <row r="46">
      <c r="N46" s="65">
        <f>60%*47.5</f>
        <v>28.5</v>
      </c>
      <c r="O46" s="3" t="s">
        <v>608</v>
      </c>
      <c r="R46" s="65">
        <f>60%*55</f>
        <v>33</v>
      </c>
      <c r="S46" s="3" t="s">
        <v>608</v>
      </c>
    </row>
    <row r="47">
      <c r="N47" s="65">
        <f>N46*72%</f>
        <v>20.52</v>
      </c>
      <c r="O47" s="3" t="s">
        <v>609</v>
      </c>
      <c r="R47" s="65">
        <f>R46*83%</f>
        <v>27.39</v>
      </c>
      <c r="S47" s="3" t="s">
        <v>609</v>
      </c>
    </row>
    <row r="48">
      <c r="N48" s="65">
        <f>N46-N47</f>
        <v>7.98</v>
      </c>
      <c r="O48" s="3" t="s">
        <v>610</v>
      </c>
      <c r="R48" s="65">
        <f>R46-R47</f>
        <v>5.61</v>
      </c>
      <c r="S48" s="3" t="s">
        <v>610</v>
      </c>
    </row>
    <row r="49">
      <c r="N49" s="3" t="s">
        <v>759</v>
      </c>
      <c r="Q49" s="3" t="s">
        <v>760</v>
      </c>
    </row>
    <row r="50">
      <c r="N50" s="3" t="s">
        <v>613</v>
      </c>
      <c r="Q50" s="3" t="s">
        <v>614</v>
      </c>
    </row>
    <row r="51">
      <c r="N51" s="3" t="s">
        <v>615</v>
      </c>
      <c r="Q51" s="3" t="s">
        <v>616</v>
      </c>
    </row>
    <row r="52">
      <c r="N52" s="3" t="s">
        <v>617</v>
      </c>
      <c r="Q52" s="3" t="s">
        <v>618</v>
      </c>
    </row>
    <row r="54">
      <c r="M54" s="3" t="s">
        <v>619</v>
      </c>
      <c r="N54" s="31" t="s">
        <v>620</v>
      </c>
      <c r="P54" s="218" t="s">
        <v>619</v>
      </c>
      <c r="Q54" s="31" t="s">
        <v>621</v>
      </c>
    </row>
    <row r="57">
      <c r="Q57" s="3" t="s">
        <v>761</v>
      </c>
    </row>
    <row r="58">
      <c r="Q58" s="3" t="s">
        <v>623</v>
      </c>
    </row>
    <row r="59">
      <c r="Q59" s="3" t="s">
        <v>616</v>
      </c>
    </row>
    <row r="60">
      <c r="Q60" s="3" t="s">
        <v>618</v>
      </c>
    </row>
    <row r="62">
      <c r="P62" s="218" t="s">
        <v>619</v>
      </c>
      <c r="Q62" s="31" t="s">
        <v>624</v>
      </c>
    </row>
  </sheetData>
  <hyperlinks>
    <hyperlink r:id="rId1" ref="Z24"/>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45497.0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65">
        <v>88.0</v>
      </c>
      <c r="S3" s="266">
        <v>88.0</v>
      </c>
      <c r="T3" s="248">
        <f t="shared" ref="T3:T7" si="2">AVERAGE(P3:S3)</f>
        <v>89.425</v>
      </c>
      <c r="U3" s="265">
        <v>86.0</v>
      </c>
      <c r="V3" s="265">
        <v>92.0</v>
      </c>
      <c r="W3" s="265">
        <v>97.0</v>
      </c>
      <c r="X3" s="266">
        <v>99.0</v>
      </c>
      <c r="Y3" s="248">
        <f t="shared" ref="Y3:Y7" si="3">AVERAGE(U3:X3)</f>
        <v>93.5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64">
        <v>84.0</v>
      </c>
      <c r="S4" s="264">
        <v>82.0</v>
      </c>
      <c r="T4" s="248">
        <f t="shared" si="2"/>
        <v>83.4</v>
      </c>
      <c r="U4" s="264">
        <v>82.0</v>
      </c>
      <c r="V4" s="264">
        <v>81.0</v>
      </c>
      <c r="W4" s="264">
        <v>80.0</v>
      </c>
      <c r="X4" s="264">
        <v>79.0</v>
      </c>
      <c r="Y4" s="248">
        <f t="shared" si="3"/>
        <v>80.5</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t="s">
        <v>746</v>
      </c>
      <c r="R5" s="264">
        <f t="shared" ref="R5:S5" si="4">R4-R6</f>
        <v>69</v>
      </c>
      <c r="S5" s="264">
        <f t="shared" si="4"/>
        <v>67</v>
      </c>
      <c r="T5" s="248">
        <f t="shared" si="2"/>
        <v>68</v>
      </c>
      <c r="U5" s="264">
        <f t="shared" ref="U5:X5" si="5">U4-U6</f>
        <v>67</v>
      </c>
      <c r="V5" s="264">
        <f t="shared" si="5"/>
        <v>66</v>
      </c>
      <c r="W5" s="264">
        <f t="shared" si="5"/>
        <v>65</v>
      </c>
      <c r="X5" s="264">
        <f t="shared" si="5"/>
        <v>64</v>
      </c>
      <c r="Y5" s="248">
        <f t="shared" si="3"/>
        <v>65.5</v>
      </c>
    </row>
    <row r="6" ht="26.25" customHeight="1">
      <c r="A6" s="245" t="s">
        <v>643</v>
      </c>
      <c r="B6" s="4"/>
      <c r="C6" s="4"/>
      <c r="D6" s="54"/>
      <c r="E6" s="54"/>
      <c r="F6" s="54"/>
      <c r="G6" s="54"/>
      <c r="H6" s="54"/>
      <c r="I6" s="112"/>
      <c r="J6" s="112"/>
      <c r="K6" s="263">
        <f t="shared" ref="K6:O6" si="6">K4-K5</f>
        <v>29</v>
      </c>
      <c r="L6" s="263">
        <f t="shared" si="6"/>
        <v>24</v>
      </c>
      <c r="M6" s="246">
        <f t="shared" si="6"/>
        <v>21.3</v>
      </c>
      <c r="N6" s="246">
        <f t="shared" si="6"/>
        <v>14.9</v>
      </c>
      <c r="O6" s="248">
        <f t="shared" si="6"/>
        <v>22.3</v>
      </c>
      <c r="P6" s="255">
        <v>15.0</v>
      </c>
      <c r="Q6" s="255">
        <v>15.0</v>
      </c>
      <c r="R6" s="264">
        <v>15.0</v>
      </c>
      <c r="S6" s="264">
        <v>15.0</v>
      </c>
      <c r="T6" s="248">
        <f t="shared" si="2"/>
        <v>15</v>
      </c>
      <c r="U6" s="264">
        <v>15.0</v>
      </c>
      <c r="V6" s="264">
        <v>15.0</v>
      </c>
      <c r="W6" s="264">
        <v>15.0</v>
      </c>
      <c r="X6" s="264">
        <v>15.0</v>
      </c>
      <c r="Y6" s="248">
        <f t="shared" si="3"/>
        <v>15</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68">
        <v>8.2</v>
      </c>
      <c r="S7" s="267">
        <v>7.1</v>
      </c>
      <c r="T7" s="258">
        <f t="shared" si="2"/>
        <v>7.9</v>
      </c>
      <c r="U7" s="268">
        <v>6.8</v>
      </c>
      <c r="V7" s="268">
        <v>6.0</v>
      </c>
      <c r="W7" s="268">
        <v>4.9</v>
      </c>
      <c r="X7" s="267">
        <v>4.8</v>
      </c>
      <c r="Y7" s="258">
        <f t="shared" si="3"/>
        <v>5.625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70">
        <v>18.0</v>
      </c>
      <c r="S8" s="269">
        <v>18.0</v>
      </c>
      <c r="T8" s="258">
        <v>16.6</v>
      </c>
      <c r="U8" s="270">
        <v>18.0</v>
      </c>
      <c r="V8" s="270">
        <v>17.0</v>
      </c>
      <c r="W8" s="270">
        <v>16.0</v>
      </c>
      <c r="X8" s="269">
        <v>14.0</v>
      </c>
      <c r="Y8" s="258">
        <v>16.8</v>
      </c>
    </row>
    <row r="9" hidden="1">
      <c r="A9" s="252" t="s">
        <v>766</v>
      </c>
      <c r="E9" s="114"/>
      <c r="F9" s="115"/>
      <c r="G9" s="115"/>
      <c r="H9" s="115"/>
      <c r="I9" s="112"/>
      <c r="J9" s="112"/>
      <c r="T9" s="103"/>
      <c r="U9" s="54"/>
      <c r="V9" s="287" t="s">
        <v>767</v>
      </c>
      <c r="W9" s="54"/>
      <c r="X9" s="54"/>
      <c r="Y9" s="103"/>
    </row>
    <row r="10">
      <c r="E10" s="114"/>
      <c r="F10" s="115"/>
      <c r="G10" s="115"/>
      <c r="H10" s="115"/>
      <c r="I10" s="112"/>
      <c r="J10" s="112"/>
      <c r="Q10" s="218"/>
      <c r="R10" s="54"/>
      <c r="S10" s="54"/>
      <c r="T10" s="113"/>
      <c r="U10" s="54"/>
      <c r="V10" s="54"/>
      <c r="W10" s="54"/>
      <c r="X10" s="54"/>
      <c r="Y10" s="215"/>
    </row>
    <row r="11">
      <c r="E11" s="114"/>
      <c r="F11" s="115"/>
      <c r="G11" s="115"/>
      <c r="H11" s="115"/>
      <c r="I11" s="112" t="s">
        <v>406</v>
      </c>
      <c r="J11" s="112" t="s">
        <v>406</v>
      </c>
      <c r="Q11" s="218" t="s">
        <v>768</v>
      </c>
      <c r="R11" s="242">
        <v>87.0</v>
      </c>
      <c r="S11" s="242">
        <v>89.0</v>
      </c>
      <c r="U11" s="242">
        <v>87.0</v>
      </c>
      <c r="V11" s="242">
        <v>90.0</v>
      </c>
      <c r="W11" s="242">
        <v>93.0</v>
      </c>
      <c r="X11" s="242">
        <v>95.0</v>
      </c>
      <c r="Y11" s="215"/>
    </row>
    <row r="12">
      <c r="E12" s="114" t="s">
        <v>241</v>
      </c>
      <c r="F12" s="115" t="s">
        <v>242</v>
      </c>
      <c r="G12" s="115" t="s">
        <v>242</v>
      </c>
      <c r="H12" s="115" t="s">
        <v>194</v>
      </c>
      <c r="I12" s="115" t="s">
        <v>148</v>
      </c>
      <c r="Q12" s="218" t="s">
        <v>469</v>
      </c>
      <c r="R12" s="242">
        <v>89.0</v>
      </c>
      <c r="S12" s="242">
        <v>89.0</v>
      </c>
      <c r="U12" s="242">
        <v>85.0</v>
      </c>
      <c r="V12" s="242">
        <v>93.0</v>
      </c>
      <c r="W12" s="242">
        <v>99.0</v>
      </c>
      <c r="X12" s="242">
        <v>100.0</v>
      </c>
      <c r="Y12" s="215"/>
    </row>
    <row r="13">
      <c r="A13" s="3" t="s">
        <v>47</v>
      </c>
      <c r="C13" s="4">
        <v>5.7</v>
      </c>
      <c r="D13" s="4">
        <v>6.5</v>
      </c>
      <c r="E13" s="62">
        <v>7.4</v>
      </c>
      <c r="F13" s="54">
        <v>8.1</v>
      </c>
      <c r="G13" s="54"/>
      <c r="H13" s="62"/>
      <c r="I13" s="62"/>
      <c r="J13" s="62"/>
      <c r="Q13" s="218" t="s">
        <v>470</v>
      </c>
      <c r="R13" s="242">
        <v>89.0</v>
      </c>
      <c r="S13" s="242">
        <v>87.0</v>
      </c>
      <c r="U13" s="242">
        <v>85.0</v>
      </c>
      <c r="V13" s="242">
        <v>93.0</v>
      </c>
      <c r="W13" s="242">
        <v>99.0</v>
      </c>
      <c r="X13" s="242">
        <v>101.0</v>
      </c>
    </row>
    <row r="14">
      <c r="A14" s="3" t="s">
        <v>162</v>
      </c>
      <c r="D14" s="111" t="s">
        <v>241</v>
      </c>
      <c r="E14" s="117">
        <v>7.0</v>
      </c>
      <c r="F14" s="112">
        <v>7.3</v>
      </c>
      <c r="G14" s="112"/>
      <c r="H14" s="112"/>
      <c r="I14" s="117"/>
      <c r="J14" s="112"/>
      <c r="R14" s="54"/>
      <c r="S14" s="54"/>
      <c r="T14" s="288"/>
      <c r="U14" s="54"/>
      <c r="V14" s="54"/>
      <c r="W14" s="54"/>
      <c r="X14" s="54"/>
    </row>
    <row r="15">
      <c r="C15" s="10"/>
      <c r="D15" s="10"/>
      <c r="E15" s="10"/>
      <c r="F15" s="10"/>
      <c r="G15" s="10"/>
      <c r="H15" s="10"/>
      <c r="I15" s="10"/>
      <c r="J15" s="10"/>
      <c r="R15" s="234">
        <f t="shared" ref="R15:S15" si="8">AVERAGE(R11:R14)</f>
        <v>88.33333333</v>
      </c>
      <c r="S15" s="234">
        <f t="shared" si="8"/>
        <v>88.33333333</v>
      </c>
      <c r="U15" s="234">
        <f t="shared" ref="U15:X15" si="9">AVERAGE(U11:U14)</f>
        <v>85.66666667</v>
      </c>
      <c r="V15" s="234">
        <f t="shared" si="9"/>
        <v>92</v>
      </c>
      <c r="W15" s="234">
        <f t="shared" si="9"/>
        <v>97</v>
      </c>
      <c r="X15" s="234">
        <f t="shared" si="9"/>
        <v>98.66666667</v>
      </c>
      <c r="AA15" s="274" t="s">
        <v>675</v>
      </c>
      <c r="AB15" s="273" t="s">
        <v>676</v>
      </c>
      <c r="AC15" s="274" t="s">
        <v>677</v>
      </c>
      <c r="AD15" s="273" t="s">
        <v>678</v>
      </c>
      <c r="AE15" s="275" t="s">
        <v>679</v>
      </c>
    </row>
    <row r="16">
      <c r="E16" s="118"/>
      <c r="F16" s="118"/>
      <c r="G16" s="118"/>
      <c r="H16" s="118"/>
      <c r="I16" s="118"/>
      <c r="J16" s="118"/>
      <c r="S16" s="55"/>
      <c r="Z16" s="3" t="s">
        <v>470</v>
      </c>
      <c r="AA16" s="276"/>
      <c r="AB16" s="276"/>
      <c r="AC16" s="276"/>
      <c r="AD16" s="276"/>
      <c r="AE16" s="278"/>
    </row>
    <row r="17">
      <c r="E17" s="118"/>
      <c r="F17" s="118"/>
      <c r="G17" s="118"/>
      <c r="H17" s="118"/>
      <c r="I17" s="118"/>
      <c r="J17" s="118"/>
      <c r="Q17" s="218" t="s">
        <v>769</v>
      </c>
      <c r="R17" s="243">
        <v>7.2</v>
      </c>
      <c r="T17" s="218" t="s">
        <v>770</v>
      </c>
      <c r="U17" s="242">
        <v>18.0</v>
      </c>
      <c r="V17" s="242">
        <v>17.0</v>
      </c>
      <c r="W17" s="242">
        <v>16.0</v>
      </c>
      <c r="X17" s="242">
        <v>15.0</v>
      </c>
      <c r="Y17" s="210"/>
      <c r="Z17" s="3" t="s">
        <v>468</v>
      </c>
      <c r="AA17" s="280"/>
      <c r="AB17" s="280"/>
      <c r="AC17" s="280"/>
      <c r="AD17" s="280"/>
      <c r="AE17" s="281"/>
    </row>
    <row r="18">
      <c r="E18" s="118"/>
      <c r="F18" s="118"/>
      <c r="G18" s="118"/>
      <c r="H18" s="118"/>
      <c r="I18" s="118"/>
      <c r="J18" s="118"/>
      <c r="Q18" s="218" t="s">
        <v>469</v>
      </c>
      <c r="R18" s="243">
        <v>7.0</v>
      </c>
      <c r="T18" s="218" t="s">
        <v>469</v>
      </c>
      <c r="U18" s="242">
        <v>18.0</v>
      </c>
      <c r="V18" s="242">
        <v>17.0</v>
      </c>
      <c r="W18" s="242">
        <v>16.0</v>
      </c>
      <c r="X18" s="242">
        <v>14.0</v>
      </c>
      <c r="Z18" s="3" t="s">
        <v>469</v>
      </c>
      <c r="AA18" s="276"/>
      <c r="AB18" s="276"/>
      <c r="AC18" s="276"/>
      <c r="AD18" s="276"/>
      <c r="AE18" s="278"/>
    </row>
    <row r="19">
      <c r="E19" s="118"/>
      <c r="F19" s="118"/>
      <c r="G19" s="118"/>
      <c r="H19" s="118"/>
      <c r="I19" s="118"/>
      <c r="J19" s="118"/>
      <c r="N19" s="218"/>
      <c r="Q19" s="218" t="s">
        <v>470</v>
      </c>
      <c r="R19" s="243">
        <v>7.2</v>
      </c>
      <c r="T19" s="218" t="s">
        <v>470</v>
      </c>
      <c r="U19" s="242">
        <v>18.0</v>
      </c>
      <c r="V19" s="242">
        <v>17.0</v>
      </c>
      <c r="W19" s="242">
        <v>16.0</v>
      </c>
      <c r="X19" s="242">
        <v>14.0</v>
      </c>
    </row>
    <row r="20">
      <c r="E20" s="118"/>
      <c r="F20" s="118"/>
      <c r="G20" s="118"/>
      <c r="H20" s="118"/>
      <c r="I20" s="118"/>
      <c r="J20" s="118"/>
      <c r="Q20" s="3" t="s">
        <v>771</v>
      </c>
      <c r="T20" s="218"/>
      <c r="U20" s="54"/>
      <c r="V20" s="54"/>
      <c r="W20" s="54"/>
      <c r="X20" s="54"/>
    </row>
    <row r="21">
      <c r="E21" s="118"/>
      <c r="F21" s="118"/>
      <c r="G21" s="118"/>
      <c r="H21" s="118"/>
      <c r="I21" s="118"/>
      <c r="J21" s="118"/>
      <c r="K21" s="119"/>
      <c r="R21" s="234">
        <f>AVERAGE(R17:R20)</f>
        <v>7.133333333</v>
      </c>
      <c r="U21" s="234">
        <f t="shared" ref="U21:X21" si="10">AVERAGE(U17:U20)</f>
        <v>18</v>
      </c>
      <c r="V21" s="234">
        <f t="shared" si="10"/>
        <v>17</v>
      </c>
      <c r="W21" s="234">
        <f t="shared" si="10"/>
        <v>16</v>
      </c>
      <c r="X21" s="234">
        <f t="shared" si="10"/>
        <v>14.33333333</v>
      </c>
    </row>
    <row r="22">
      <c r="A22" s="3"/>
      <c r="B22" s="12"/>
      <c r="C22" s="12"/>
      <c r="D22" s="13"/>
      <c r="E22" s="13"/>
      <c r="F22" s="13"/>
      <c r="G22" s="13"/>
      <c r="H22" s="13"/>
      <c r="I22" s="13"/>
      <c r="J22" s="13"/>
      <c r="K22" s="13"/>
      <c r="R22" s="4" t="s">
        <v>707</v>
      </c>
      <c r="U22" s="212"/>
    </row>
    <row r="23">
      <c r="Q23" s="4" t="s">
        <v>340</v>
      </c>
      <c r="R23" s="4" t="s">
        <v>171</v>
      </c>
      <c r="S23" s="4" t="s">
        <v>343</v>
      </c>
      <c r="T23" s="4" t="s">
        <v>581</v>
      </c>
    </row>
    <row r="24">
      <c r="P24" s="4" t="s">
        <v>62</v>
      </c>
      <c r="Q24" s="284">
        <v>93.1</v>
      </c>
      <c r="R24" s="284">
        <v>90.9</v>
      </c>
      <c r="S24" s="175">
        <v>88.1</v>
      </c>
      <c r="T24" s="226">
        <f t="shared" ref="T24:T26" si="12">AVERAGE(Q24:S24)</f>
        <v>90.7</v>
      </c>
      <c r="W24" s="234">
        <f t="shared" ref="W24:Z24" si="11">AVERAGE(W20:W23)</f>
        <v>16</v>
      </c>
      <c r="X24" s="234">
        <f t="shared" si="11"/>
        <v>14.33333333</v>
      </c>
      <c r="Y24" s="234" t="str">
        <f t="shared" si="11"/>
        <v>#DIV/0!</v>
      </c>
      <c r="Z24" s="234" t="str">
        <f t="shared" si="11"/>
        <v>#DIV/0!</v>
      </c>
    </row>
    <row r="25">
      <c r="P25" s="4" t="s">
        <v>28</v>
      </c>
      <c r="Q25" s="284">
        <v>89.8</v>
      </c>
      <c r="R25" s="284">
        <v>81.7</v>
      </c>
      <c r="S25" s="285">
        <v>82.25</v>
      </c>
      <c r="T25" s="226">
        <f t="shared" si="12"/>
        <v>84.58333333</v>
      </c>
    </row>
    <row r="26">
      <c r="P26" s="4" t="s">
        <v>582</v>
      </c>
      <c r="Q26" s="284">
        <v>71.3</v>
      </c>
      <c r="R26" s="284">
        <v>71.8</v>
      </c>
      <c r="S26" s="175">
        <v>70.1</v>
      </c>
      <c r="T26" s="226">
        <f t="shared" si="12"/>
        <v>71.06666667</v>
      </c>
      <c r="V26" s="218" t="s">
        <v>772</v>
      </c>
      <c r="W26" s="243">
        <v>5.0</v>
      </c>
      <c r="Y26" s="218" t="s">
        <v>773</v>
      </c>
      <c r="Z26" s="242"/>
    </row>
    <row r="27">
      <c r="P27" s="4" t="s">
        <v>583</v>
      </c>
      <c r="Q27" s="5">
        <f t="shared" ref="Q27:S27" si="13">Q25-Q26</f>
        <v>18.5</v>
      </c>
      <c r="R27" s="5">
        <f t="shared" si="13"/>
        <v>9.9</v>
      </c>
      <c r="S27" s="286">
        <f t="shared" si="13"/>
        <v>12.15</v>
      </c>
      <c r="V27" s="218" t="s">
        <v>469</v>
      </c>
      <c r="W27" s="243">
        <v>4.5</v>
      </c>
      <c r="Y27" s="218" t="s">
        <v>469</v>
      </c>
      <c r="Z27" s="242"/>
    </row>
    <row r="28">
      <c r="V28" s="218" t="s">
        <v>470</v>
      </c>
      <c r="W28" s="243">
        <v>5.0</v>
      </c>
      <c r="Y28" s="218" t="s">
        <v>470</v>
      </c>
      <c r="Z28" s="242"/>
    </row>
    <row r="29">
      <c r="N29" s="230" t="s">
        <v>546</v>
      </c>
      <c r="O29" s="225">
        <v>2024.0</v>
      </c>
      <c r="Q29" s="4" t="s">
        <v>345</v>
      </c>
      <c r="R29" s="4" t="s">
        <v>347</v>
      </c>
      <c r="S29" s="4" t="s">
        <v>348</v>
      </c>
      <c r="T29" s="4" t="s">
        <v>581</v>
      </c>
      <c r="V29" s="218"/>
      <c r="W29" s="242"/>
      <c r="Y29" s="218"/>
      <c r="Z29" s="242"/>
    </row>
    <row r="30">
      <c r="N30" s="3" t="s">
        <v>549</v>
      </c>
      <c r="O30" s="4">
        <v>110.0</v>
      </c>
      <c r="P30" s="4" t="s">
        <v>62</v>
      </c>
      <c r="Q30" s="236">
        <v>93.1</v>
      </c>
      <c r="R30" s="236">
        <v>90.9</v>
      </c>
      <c r="S30" s="24">
        <v>88.1</v>
      </c>
      <c r="T30" s="226">
        <f t="shared" ref="T30:T32" si="14">AVERAGE(Q30:S30)</f>
        <v>90.7</v>
      </c>
      <c r="W30" s="234">
        <f>AVERAGE(W26:W29)</f>
        <v>4.833333333</v>
      </c>
      <c r="Z30" s="283" t="str">
        <f>AVERAGE(Z26:Z29)</f>
        <v>#DIV/0!</v>
      </c>
    </row>
    <row r="31">
      <c r="N31" s="3" t="s">
        <v>81</v>
      </c>
      <c r="O31" s="99" t="s">
        <v>584</v>
      </c>
      <c r="P31" s="4" t="s">
        <v>28</v>
      </c>
      <c r="Q31" s="236">
        <v>89.8</v>
      </c>
      <c r="R31" s="236">
        <v>81.7</v>
      </c>
      <c r="S31" s="116">
        <v>82.25</v>
      </c>
      <c r="T31" s="226">
        <f t="shared" si="14"/>
        <v>84.58333333</v>
      </c>
    </row>
    <row r="32">
      <c r="N32" s="3" t="s">
        <v>286</v>
      </c>
      <c r="O32" s="225" t="s">
        <v>585</v>
      </c>
      <c r="P32" s="4" t="s">
        <v>582</v>
      </c>
      <c r="Q32" s="236">
        <v>71.3</v>
      </c>
      <c r="R32" s="236">
        <v>71.8</v>
      </c>
      <c r="S32" s="24">
        <v>70.1</v>
      </c>
      <c r="T32" s="226">
        <f t="shared" si="14"/>
        <v>71.06666667</v>
      </c>
    </row>
    <row r="33">
      <c r="P33" s="4" t="s">
        <v>583</v>
      </c>
      <c r="Q33" s="5">
        <f t="shared" ref="Q33:S33" si="15">Q31-Q32</f>
        <v>18.5</v>
      </c>
      <c r="R33" s="5">
        <f t="shared" si="15"/>
        <v>9.9</v>
      </c>
      <c r="S33" s="286">
        <f t="shared" si="15"/>
        <v>12.15</v>
      </c>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3" si="16">W38*$X$36</f>
        <v>0.024</v>
      </c>
      <c r="Y38" s="212">
        <f t="shared" ref="Y38:Y43" si="17">W38*$Y$36</f>
        <v>0.072</v>
      </c>
    </row>
    <row r="39">
      <c r="N39" s="3" t="s">
        <v>595</v>
      </c>
      <c r="Q39" s="3" t="s">
        <v>596</v>
      </c>
      <c r="V39" s="99" t="s">
        <v>540</v>
      </c>
      <c r="W39" s="4">
        <v>0.055</v>
      </c>
      <c r="X39" s="212">
        <f t="shared" si="16"/>
        <v>0.0055</v>
      </c>
      <c r="Y39" s="212">
        <f t="shared" si="17"/>
        <v>0.0165</v>
      </c>
      <c r="Z39" s="49" t="s">
        <v>541</v>
      </c>
    </row>
    <row r="40">
      <c r="N40" s="3" t="s">
        <v>597</v>
      </c>
      <c r="Q40" s="3" t="s">
        <v>598</v>
      </c>
      <c r="V40" s="3" t="s">
        <v>542</v>
      </c>
      <c r="W40" s="4">
        <v>0.1</v>
      </c>
      <c r="X40" s="212">
        <f t="shared" si="16"/>
        <v>0.01</v>
      </c>
      <c r="Y40" s="212">
        <f t="shared" si="17"/>
        <v>0.03</v>
      </c>
      <c r="AA40" s="3" t="s">
        <v>688</v>
      </c>
    </row>
    <row r="41">
      <c r="N41" s="3" t="s">
        <v>599</v>
      </c>
      <c r="Q41" s="3" t="s">
        <v>600</v>
      </c>
      <c r="V41" s="3" t="s">
        <v>543</v>
      </c>
      <c r="W41" s="4">
        <f>(0.05+0.1)/2</f>
        <v>0.075</v>
      </c>
      <c r="X41" s="212">
        <f t="shared" si="16"/>
        <v>0.0075</v>
      </c>
      <c r="Y41" s="212">
        <f t="shared" si="17"/>
        <v>0.0225</v>
      </c>
      <c r="AA41" s="3" t="s">
        <v>689</v>
      </c>
    </row>
    <row r="42">
      <c r="V42" s="3" t="s">
        <v>545</v>
      </c>
      <c r="W42" s="4">
        <v>0.05</v>
      </c>
      <c r="X42" s="212">
        <f t="shared" si="16"/>
        <v>0.005</v>
      </c>
      <c r="Y42" s="212">
        <f t="shared" si="17"/>
        <v>0.015</v>
      </c>
      <c r="AA42" s="3" t="s">
        <v>690</v>
      </c>
    </row>
    <row r="43">
      <c r="N43" s="3" t="s">
        <v>601</v>
      </c>
      <c r="Q43" s="3" t="s">
        <v>602</v>
      </c>
      <c r="V43" s="3" t="s">
        <v>558</v>
      </c>
      <c r="W43" s="4">
        <v>0.2</v>
      </c>
      <c r="X43" s="212">
        <f t="shared" si="16"/>
        <v>0.02</v>
      </c>
      <c r="Y43" s="212">
        <f t="shared" si="17"/>
        <v>0.06</v>
      </c>
      <c r="AA43" s="3" t="s">
        <v>691</v>
      </c>
    </row>
    <row r="44">
      <c r="Q44" s="3" t="s">
        <v>603</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774</v>
      </c>
      <c r="Q51" s="3" t="s">
        <v>775</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776</v>
      </c>
    </row>
    <row r="60">
      <c r="Q60" s="3" t="s">
        <v>623</v>
      </c>
    </row>
    <row r="61">
      <c r="Q61" s="3" t="s">
        <v>616</v>
      </c>
    </row>
    <row r="62">
      <c r="Q62" s="3" t="s">
        <v>618</v>
      </c>
    </row>
    <row r="64">
      <c r="P64" s="218" t="s">
        <v>619</v>
      </c>
      <c r="Q64" s="31" t="s">
        <v>624</v>
      </c>
    </row>
  </sheetData>
  <hyperlinks>
    <hyperlink r:id="rId1" ref="Z39"/>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45499.0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0">
        <v>88.0</v>
      </c>
      <c r="S3" s="251">
        <v>88.0</v>
      </c>
      <c r="T3" s="248">
        <f t="shared" ref="T3:T7" si="2">AVERAGE(P3:S3)</f>
        <v>89.425</v>
      </c>
      <c r="U3" s="250">
        <v>86.0</v>
      </c>
      <c r="V3" s="250">
        <v>92.0</v>
      </c>
      <c r="W3" s="250">
        <v>97.0</v>
      </c>
      <c r="X3" s="251">
        <v>99.0</v>
      </c>
      <c r="Y3" s="248">
        <f t="shared" ref="Y3:Y7" si="3">AVERAGE(U3:X3)</f>
        <v>93.5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47">
        <v>84.0</v>
      </c>
      <c r="S4" s="247">
        <v>82.0</v>
      </c>
      <c r="T4" s="248">
        <f t="shared" si="2"/>
        <v>83.4</v>
      </c>
      <c r="U4" s="247">
        <v>82.0</v>
      </c>
      <c r="V4" s="247">
        <v>81.0</v>
      </c>
      <c r="W4" s="247">
        <v>80.0</v>
      </c>
      <c r="X4" s="247">
        <v>79.0</v>
      </c>
      <c r="Y4" s="248">
        <f t="shared" si="3"/>
        <v>80.5</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71.1</v>
      </c>
      <c r="R5" s="247">
        <f t="shared" ref="R5:S5" si="4">R4-R6</f>
        <v>69</v>
      </c>
      <c r="S5" s="247">
        <f t="shared" si="4"/>
        <v>67</v>
      </c>
      <c r="T5" s="248">
        <f t="shared" si="2"/>
        <v>68.775</v>
      </c>
      <c r="U5" s="247">
        <f t="shared" ref="U5:X5" si="5">U4-U6</f>
        <v>67</v>
      </c>
      <c r="V5" s="247">
        <f t="shared" si="5"/>
        <v>66</v>
      </c>
      <c r="W5" s="247">
        <f t="shared" si="5"/>
        <v>65</v>
      </c>
      <c r="X5" s="247">
        <f t="shared" si="5"/>
        <v>64</v>
      </c>
      <c r="Y5" s="248">
        <f t="shared" si="3"/>
        <v>65.5</v>
      </c>
    </row>
    <row r="6" ht="26.25" customHeight="1">
      <c r="A6" s="245" t="s">
        <v>643</v>
      </c>
      <c r="B6" s="4"/>
      <c r="C6" s="4"/>
      <c r="D6" s="54"/>
      <c r="E6" s="54"/>
      <c r="F6" s="54"/>
      <c r="G6" s="54"/>
      <c r="H6" s="54"/>
      <c r="I6" s="112"/>
      <c r="J6" s="112"/>
      <c r="K6" s="263">
        <f t="shared" ref="K6:O6" si="6">K4-K5</f>
        <v>29</v>
      </c>
      <c r="L6" s="263">
        <f t="shared" si="6"/>
        <v>24</v>
      </c>
      <c r="M6" s="246">
        <f t="shared" si="6"/>
        <v>21.3</v>
      </c>
      <c r="N6" s="246">
        <f t="shared" si="6"/>
        <v>14.9</v>
      </c>
      <c r="O6" s="248">
        <f t="shared" si="6"/>
        <v>22.3</v>
      </c>
      <c r="P6" s="255">
        <v>15.0</v>
      </c>
      <c r="Q6" s="255">
        <v>15.0</v>
      </c>
      <c r="R6" s="247">
        <v>15.0</v>
      </c>
      <c r="S6" s="247">
        <v>15.0</v>
      </c>
      <c r="T6" s="248">
        <f t="shared" si="2"/>
        <v>15</v>
      </c>
      <c r="U6" s="247">
        <v>15.0</v>
      </c>
      <c r="V6" s="247">
        <v>15.0</v>
      </c>
      <c r="W6" s="247">
        <v>15.0</v>
      </c>
      <c r="X6" s="247">
        <v>15.0</v>
      </c>
      <c r="Y6" s="248">
        <f t="shared" si="3"/>
        <v>15</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59">
        <v>8.2</v>
      </c>
      <c r="S7" s="257">
        <v>7.1</v>
      </c>
      <c r="T7" s="258">
        <f t="shared" si="2"/>
        <v>7.9</v>
      </c>
      <c r="U7" s="259">
        <v>6.8</v>
      </c>
      <c r="V7" s="259">
        <v>6.0</v>
      </c>
      <c r="W7" s="259">
        <v>4.9</v>
      </c>
      <c r="X7" s="257">
        <v>4.8</v>
      </c>
      <c r="Y7" s="258">
        <f t="shared" si="3"/>
        <v>5.625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70">
        <v>20.0</v>
      </c>
      <c r="S8" s="269">
        <v>20.0</v>
      </c>
      <c r="T8" s="258">
        <v>17.4</v>
      </c>
      <c r="U8" s="270">
        <v>20.0</v>
      </c>
      <c r="V8" s="270">
        <v>18.0</v>
      </c>
      <c r="W8" s="270">
        <v>16.0</v>
      </c>
      <c r="X8" s="269">
        <v>14.0</v>
      </c>
      <c r="Y8" s="258">
        <v>17.8</v>
      </c>
    </row>
    <row r="9" hidden="1">
      <c r="A9" s="252" t="s">
        <v>766</v>
      </c>
      <c r="E9" s="114"/>
      <c r="F9" s="115"/>
      <c r="G9" s="115"/>
      <c r="H9" s="115"/>
      <c r="I9" s="112"/>
      <c r="J9" s="112"/>
      <c r="T9" s="103"/>
      <c r="U9" s="54"/>
      <c r="V9" s="287" t="s">
        <v>767</v>
      </c>
      <c r="W9" s="54"/>
      <c r="X9" s="54"/>
      <c r="Y9" s="103"/>
    </row>
    <row r="10">
      <c r="E10" s="114"/>
      <c r="F10" s="115"/>
      <c r="G10" s="115"/>
      <c r="H10" s="115"/>
      <c r="I10" s="112"/>
      <c r="J10" s="112"/>
      <c r="Q10" s="218"/>
      <c r="R10" s="54"/>
      <c r="S10" s="54"/>
      <c r="T10" s="113"/>
      <c r="U10" s="54"/>
      <c r="V10" s="54"/>
      <c r="W10" s="54"/>
      <c r="X10" s="54"/>
      <c r="Y10" s="215"/>
    </row>
    <row r="11">
      <c r="E11" s="114"/>
      <c r="F11" s="115"/>
      <c r="G11" s="115"/>
      <c r="H11" s="115"/>
      <c r="I11" s="112" t="s">
        <v>406</v>
      </c>
      <c r="J11" s="112" t="s">
        <v>406</v>
      </c>
      <c r="Q11" s="218" t="s">
        <v>777</v>
      </c>
      <c r="R11" s="242">
        <v>87.0</v>
      </c>
      <c r="S11" s="242">
        <v>89.0</v>
      </c>
      <c r="U11" s="242">
        <v>87.0</v>
      </c>
      <c r="V11" s="242">
        <v>90.0</v>
      </c>
      <c r="W11" s="242">
        <v>93.0</v>
      </c>
      <c r="X11" s="242">
        <v>95.0</v>
      </c>
      <c r="Y11" s="215"/>
    </row>
    <row r="12">
      <c r="E12" s="114" t="s">
        <v>241</v>
      </c>
      <c r="F12" s="115" t="s">
        <v>242</v>
      </c>
      <c r="G12" s="115" t="s">
        <v>242</v>
      </c>
      <c r="H12" s="115" t="s">
        <v>194</v>
      </c>
      <c r="I12" s="115" t="s">
        <v>148</v>
      </c>
      <c r="Q12" s="218" t="s">
        <v>469</v>
      </c>
      <c r="R12" s="242">
        <v>89.0</v>
      </c>
      <c r="S12" s="242">
        <v>89.0</v>
      </c>
      <c r="U12" s="242">
        <v>85.0</v>
      </c>
      <c r="V12" s="242">
        <v>93.0</v>
      </c>
      <c r="W12" s="242">
        <v>99.0</v>
      </c>
      <c r="X12" s="242">
        <v>100.0</v>
      </c>
      <c r="Y12" s="215"/>
    </row>
    <row r="13">
      <c r="A13" s="3" t="s">
        <v>47</v>
      </c>
      <c r="C13" s="4">
        <v>5.7</v>
      </c>
      <c r="D13" s="4">
        <v>6.5</v>
      </c>
      <c r="E13" s="62">
        <v>7.4</v>
      </c>
      <c r="F13" s="54">
        <v>8.1</v>
      </c>
      <c r="G13" s="54"/>
      <c r="H13" s="62"/>
      <c r="I13" s="62"/>
      <c r="J13" s="62"/>
      <c r="Q13" s="218" t="s">
        <v>470</v>
      </c>
      <c r="R13" s="242">
        <v>89.0</v>
      </c>
      <c r="S13" s="242">
        <v>87.0</v>
      </c>
      <c r="U13" s="242">
        <v>85.0</v>
      </c>
      <c r="V13" s="242">
        <v>93.0</v>
      </c>
      <c r="W13" s="242">
        <v>99.0</v>
      </c>
      <c r="X13" s="242">
        <v>101.0</v>
      </c>
    </row>
    <row r="14">
      <c r="A14" s="3" t="s">
        <v>162</v>
      </c>
      <c r="D14" s="111" t="s">
        <v>241</v>
      </c>
      <c r="E14" s="117">
        <v>7.0</v>
      </c>
      <c r="F14" s="112">
        <v>7.3</v>
      </c>
      <c r="G14" s="112"/>
      <c r="H14" s="112"/>
      <c r="I14" s="117"/>
      <c r="J14" s="112"/>
      <c r="R14" s="54"/>
      <c r="S14" s="54"/>
      <c r="T14" s="288"/>
      <c r="U14" s="54"/>
      <c r="V14" s="54"/>
      <c r="W14" s="54"/>
      <c r="X14" s="54"/>
    </row>
    <row r="15">
      <c r="C15" s="10"/>
      <c r="D15" s="10"/>
      <c r="E15" s="10"/>
      <c r="F15" s="10"/>
      <c r="G15" s="10"/>
      <c r="H15" s="10"/>
      <c r="I15" s="10"/>
      <c r="J15" s="10"/>
      <c r="R15" s="234">
        <f t="shared" ref="R15:S15" si="8">AVERAGE(R11:R14)</f>
        <v>88.33333333</v>
      </c>
      <c r="S15" s="234">
        <f t="shared" si="8"/>
        <v>88.33333333</v>
      </c>
      <c r="U15" s="234">
        <f t="shared" ref="U15:X15" si="9">AVERAGE(U11:U14)</f>
        <v>85.66666667</v>
      </c>
      <c r="V15" s="234">
        <f t="shared" si="9"/>
        <v>92</v>
      </c>
      <c r="W15" s="234">
        <f t="shared" si="9"/>
        <v>97</v>
      </c>
      <c r="X15" s="234">
        <f t="shared" si="9"/>
        <v>98.66666667</v>
      </c>
      <c r="AA15" s="274" t="s">
        <v>675</v>
      </c>
      <c r="AB15" s="273" t="s">
        <v>676</v>
      </c>
      <c r="AC15" s="274" t="s">
        <v>677</v>
      </c>
      <c r="AD15" s="273" t="s">
        <v>678</v>
      </c>
      <c r="AE15" s="275" t="s">
        <v>679</v>
      </c>
    </row>
    <row r="16">
      <c r="E16" s="118"/>
      <c r="F16" s="118"/>
      <c r="G16" s="118"/>
      <c r="H16" s="118"/>
      <c r="I16" s="118"/>
      <c r="J16" s="118"/>
      <c r="S16" s="55"/>
      <c r="Z16" s="3" t="s">
        <v>470</v>
      </c>
      <c r="AA16" s="276"/>
      <c r="AB16" s="276"/>
      <c r="AC16" s="276"/>
      <c r="AD16" s="276"/>
      <c r="AE16" s="278"/>
    </row>
    <row r="17">
      <c r="E17" s="118"/>
      <c r="F17" s="118"/>
      <c r="G17" s="118"/>
      <c r="H17" s="118"/>
      <c r="I17" s="118"/>
      <c r="J17" s="118"/>
      <c r="Q17" s="218" t="s">
        <v>778</v>
      </c>
      <c r="R17" s="243">
        <v>7.2</v>
      </c>
      <c r="T17" s="218" t="s">
        <v>779</v>
      </c>
      <c r="U17" s="242">
        <v>18.0</v>
      </c>
      <c r="V17" s="242">
        <v>17.0</v>
      </c>
      <c r="W17" s="242">
        <v>16.0</v>
      </c>
      <c r="X17" s="242">
        <v>15.0</v>
      </c>
      <c r="Y17" s="210"/>
      <c r="Z17" s="3" t="s">
        <v>468</v>
      </c>
      <c r="AA17" s="280"/>
      <c r="AB17" s="280"/>
      <c r="AC17" s="280"/>
      <c r="AD17" s="280"/>
      <c r="AE17" s="281"/>
    </row>
    <row r="18">
      <c r="E18" s="118"/>
      <c r="F18" s="118"/>
      <c r="G18" s="118"/>
      <c r="H18" s="118"/>
      <c r="I18" s="118"/>
      <c r="J18" s="118"/>
      <c r="Q18" s="218" t="s">
        <v>469</v>
      </c>
      <c r="R18" s="243">
        <v>7.0</v>
      </c>
      <c r="T18" s="218" t="s">
        <v>469</v>
      </c>
      <c r="U18" s="242">
        <v>18.0</v>
      </c>
      <c r="V18" s="242">
        <v>17.0</v>
      </c>
      <c r="W18" s="242">
        <v>16.0</v>
      </c>
      <c r="X18" s="242">
        <v>14.0</v>
      </c>
      <c r="Z18" s="3" t="s">
        <v>469</v>
      </c>
      <c r="AA18" s="276"/>
      <c r="AB18" s="276"/>
      <c r="AC18" s="276"/>
      <c r="AD18" s="276"/>
      <c r="AE18" s="278"/>
    </row>
    <row r="19">
      <c r="E19" s="118"/>
      <c r="F19" s="118"/>
      <c r="G19" s="118"/>
      <c r="H19" s="118"/>
      <c r="I19" s="118"/>
      <c r="J19" s="118"/>
      <c r="N19" s="218"/>
      <c r="Q19" s="218" t="s">
        <v>470</v>
      </c>
      <c r="R19" s="243">
        <v>7.2</v>
      </c>
      <c r="T19" s="218" t="s">
        <v>470</v>
      </c>
      <c r="U19" s="242">
        <v>18.0</v>
      </c>
      <c r="V19" s="242">
        <v>17.0</v>
      </c>
      <c r="W19" s="242">
        <v>16.0</v>
      </c>
      <c r="X19" s="242">
        <v>14.0</v>
      </c>
    </row>
    <row r="20">
      <c r="E20" s="118"/>
      <c r="F20" s="118"/>
      <c r="G20" s="118"/>
      <c r="H20" s="118"/>
      <c r="I20" s="118"/>
      <c r="J20" s="118"/>
      <c r="Q20" s="3" t="s">
        <v>771</v>
      </c>
      <c r="T20" s="218"/>
      <c r="U20" s="54"/>
      <c r="V20" s="54"/>
      <c r="W20" s="54"/>
      <c r="X20" s="54"/>
    </row>
    <row r="21">
      <c r="E21" s="118"/>
      <c r="F21" s="118"/>
      <c r="G21" s="118"/>
      <c r="H21" s="118"/>
      <c r="I21" s="118"/>
      <c r="J21" s="118"/>
      <c r="K21" s="119"/>
      <c r="R21" s="234">
        <f>AVERAGE(R17:R20)</f>
        <v>7.133333333</v>
      </c>
      <c r="U21" s="234">
        <f t="shared" ref="U21:X21" si="10">AVERAGE(U17:U20)</f>
        <v>18</v>
      </c>
      <c r="V21" s="234">
        <f t="shared" si="10"/>
        <v>17</v>
      </c>
      <c r="W21" s="234">
        <f t="shared" si="10"/>
        <v>16</v>
      </c>
      <c r="X21" s="234">
        <f t="shared" si="10"/>
        <v>14.33333333</v>
      </c>
    </row>
    <row r="22">
      <c r="A22" s="3"/>
      <c r="B22" s="12"/>
      <c r="C22" s="12"/>
      <c r="D22" s="13"/>
      <c r="E22" s="13"/>
      <c r="F22" s="13"/>
      <c r="G22" s="13"/>
      <c r="H22" s="13"/>
      <c r="I22" s="13"/>
      <c r="J22" s="13"/>
      <c r="K22" s="13"/>
      <c r="R22" s="4" t="s">
        <v>707</v>
      </c>
      <c r="U22" s="212"/>
    </row>
    <row r="23">
      <c r="Q23" s="4" t="s">
        <v>340</v>
      </c>
      <c r="R23" s="4" t="s">
        <v>171</v>
      </c>
      <c r="S23" s="4" t="s">
        <v>343</v>
      </c>
      <c r="T23" s="4" t="s">
        <v>581</v>
      </c>
    </row>
    <row r="24">
      <c r="P24" s="4" t="s">
        <v>62</v>
      </c>
      <c r="Q24" s="284">
        <v>93.1</v>
      </c>
      <c r="R24" s="284">
        <v>90.9</v>
      </c>
      <c r="S24" s="175">
        <v>88.1</v>
      </c>
      <c r="T24" s="226">
        <f t="shared" ref="T24:T26" si="12">AVERAGE(Q24:S24)</f>
        <v>90.7</v>
      </c>
      <c r="W24" s="234">
        <f t="shared" ref="W24:Z24" si="11">AVERAGE(W20:W23)</f>
        <v>16</v>
      </c>
      <c r="X24" s="234">
        <f t="shared" si="11"/>
        <v>14.33333333</v>
      </c>
      <c r="Y24" s="234" t="str">
        <f t="shared" si="11"/>
        <v>#DIV/0!</v>
      </c>
      <c r="Z24" s="234" t="str">
        <f t="shared" si="11"/>
        <v>#DIV/0!</v>
      </c>
    </row>
    <row r="25">
      <c r="P25" s="4" t="s">
        <v>28</v>
      </c>
      <c r="Q25" s="284">
        <v>89.8</v>
      </c>
      <c r="R25" s="284">
        <v>81.7</v>
      </c>
      <c r="S25" s="285">
        <v>82.25</v>
      </c>
      <c r="T25" s="226">
        <f t="shared" si="12"/>
        <v>84.58333333</v>
      </c>
    </row>
    <row r="26">
      <c r="P26" s="4" t="s">
        <v>582</v>
      </c>
      <c r="Q26" s="284">
        <v>71.3</v>
      </c>
      <c r="R26" s="284">
        <v>71.8</v>
      </c>
      <c r="S26" s="175">
        <v>70.1</v>
      </c>
      <c r="T26" s="226">
        <f t="shared" si="12"/>
        <v>71.06666667</v>
      </c>
      <c r="V26" s="218" t="s">
        <v>780</v>
      </c>
      <c r="W26" s="243">
        <v>5.0</v>
      </c>
      <c r="Y26" s="218" t="s">
        <v>781</v>
      </c>
      <c r="Z26" s="242"/>
    </row>
    <row r="27">
      <c r="P27" s="4" t="s">
        <v>583</v>
      </c>
      <c r="Q27" s="5">
        <f t="shared" ref="Q27:S27" si="13">Q25-Q26</f>
        <v>18.5</v>
      </c>
      <c r="R27" s="5">
        <f t="shared" si="13"/>
        <v>9.9</v>
      </c>
      <c r="S27" s="286">
        <f t="shared" si="13"/>
        <v>12.15</v>
      </c>
      <c r="V27" s="218" t="s">
        <v>469</v>
      </c>
      <c r="W27" s="243">
        <v>4.5</v>
      </c>
      <c r="Y27" s="218" t="s">
        <v>469</v>
      </c>
      <c r="Z27" s="242"/>
    </row>
    <row r="28">
      <c r="V28" s="218" t="s">
        <v>470</v>
      </c>
      <c r="W28" s="243">
        <v>5.0</v>
      </c>
      <c r="Y28" s="218" t="s">
        <v>470</v>
      </c>
      <c r="Z28" s="242"/>
    </row>
    <row r="29">
      <c r="N29" s="230" t="s">
        <v>546</v>
      </c>
      <c r="O29" s="225">
        <v>2024.0</v>
      </c>
      <c r="Q29" s="4" t="s">
        <v>345</v>
      </c>
      <c r="R29" s="4" t="s">
        <v>347</v>
      </c>
      <c r="S29" s="4" t="s">
        <v>348</v>
      </c>
      <c r="T29" s="4" t="s">
        <v>581</v>
      </c>
      <c r="V29" s="218"/>
      <c r="W29" s="242"/>
      <c r="Y29" s="218"/>
      <c r="Z29" s="242"/>
    </row>
    <row r="30">
      <c r="N30" s="3" t="s">
        <v>549</v>
      </c>
      <c r="O30" s="4">
        <v>110.0</v>
      </c>
      <c r="P30" s="4" t="s">
        <v>62</v>
      </c>
      <c r="Q30" s="236">
        <v>93.1</v>
      </c>
      <c r="R30" s="236">
        <v>90.9</v>
      </c>
      <c r="S30" s="24">
        <v>88.1</v>
      </c>
      <c r="T30" s="226">
        <f t="shared" ref="T30:T32" si="14">AVERAGE(Q30:S30)</f>
        <v>90.7</v>
      </c>
      <c r="W30" s="234">
        <f>AVERAGE(W26:W29)</f>
        <v>4.833333333</v>
      </c>
      <c r="Z30" s="283" t="str">
        <f>AVERAGE(Z26:Z29)</f>
        <v>#DIV/0!</v>
      </c>
    </row>
    <row r="31">
      <c r="N31" s="3" t="s">
        <v>81</v>
      </c>
      <c r="O31" s="99" t="s">
        <v>584</v>
      </c>
      <c r="P31" s="4" t="s">
        <v>28</v>
      </c>
      <c r="Q31" s="236">
        <v>89.8</v>
      </c>
      <c r="R31" s="236">
        <v>81.7</v>
      </c>
      <c r="S31" s="116">
        <v>82.25</v>
      </c>
      <c r="T31" s="226">
        <f t="shared" si="14"/>
        <v>84.58333333</v>
      </c>
    </row>
    <row r="32">
      <c r="N32" s="3" t="s">
        <v>286</v>
      </c>
      <c r="O32" s="225" t="s">
        <v>585</v>
      </c>
      <c r="P32" s="4" t="s">
        <v>582</v>
      </c>
      <c r="Q32" s="236">
        <v>71.3</v>
      </c>
      <c r="R32" s="236">
        <v>71.8</v>
      </c>
      <c r="S32" s="24">
        <v>70.1</v>
      </c>
      <c r="T32" s="226">
        <f t="shared" si="14"/>
        <v>71.06666667</v>
      </c>
    </row>
    <row r="33">
      <c r="P33" s="4" t="s">
        <v>583</v>
      </c>
      <c r="Q33" s="5">
        <f t="shared" ref="Q33:S33" si="15">Q31-Q32</f>
        <v>18.5</v>
      </c>
      <c r="R33" s="5">
        <f t="shared" si="15"/>
        <v>9.9</v>
      </c>
      <c r="S33" s="286">
        <f t="shared" si="15"/>
        <v>12.15</v>
      </c>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3" si="16">W38*$X$36</f>
        <v>0.024</v>
      </c>
      <c r="Y38" s="212">
        <f t="shared" ref="Y38:Y43" si="17">W38*$Y$36</f>
        <v>0.072</v>
      </c>
    </row>
    <row r="39">
      <c r="N39" s="3" t="s">
        <v>595</v>
      </c>
      <c r="Q39" s="3" t="s">
        <v>596</v>
      </c>
      <c r="V39" s="99" t="s">
        <v>540</v>
      </c>
      <c r="W39" s="4">
        <v>0.055</v>
      </c>
      <c r="X39" s="212">
        <f t="shared" si="16"/>
        <v>0.0055</v>
      </c>
      <c r="Y39" s="212">
        <f t="shared" si="17"/>
        <v>0.0165</v>
      </c>
      <c r="Z39" s="49" t="s">
        <v>541</v>
      </c>
    </row>
    <row r="40">
      <c r="N40" s="3" t="s">
        <v>597</v>
      </c>
      <c r="Q40" s="3" t="s">
        <v>598</v>
      </c>
      <c r="V40" s="3" t="s">
        <v>542</v>
      </c>
      <c r="W40" s="4">
        <v>0.1</v>
      </c>
      <c r="X40" s="212">
        <f t="shared" si="16"/>
        <v>0.01</v>
      </c>
      <c r="Y40" s="212">
        <f t="shared" si="17"/>
        <v>0.03</v>
      </c>
      <c r="AA40" s="3" t="s">
        <v>688</v>
      </c>
    </row>
    <row r="41">
      <c r="N41" s="3" t="s">
        <v>599</v>
      </c>
      <c r="Q41" s="3" t="s">
        <v>600</v>
      </c>
      <c r="V41" s="3" t="s">
        <v>543</v>
      </c>
      <c r="W41" s="4">
        <f>(0.05+0.1)/2</f>
        <v>0.075</v>
      </c>
      <c r="X41" s="212">
        <f t="shared" si="16"/>
        <v>0.0075</v>
      </c>
      <c r="Y41" s="212">
        <f t="shared" si="17"/>
        <v>0.0225</v>
      </c>
      <c r="AA41" s="3" t="s">
        <v>689</v>
      </c>
    </row>
    <row r="42">
      <c r="V42" s="3" t="s">
        <v>545</v>
      </c>
      <c r="W42" s="4">
        <v>0.05</v>
      </c>
      <c r="X42" s="212">
        <f t="shared" si="16"/>
        <v>0.005</v>
      </c>
      <c r="Y42" s="212">
        <f t="shared" si="17"/>
        <v>0.015</v>
      </c>
      <c r="AA42" s="3" t="s">
        <v>690</v>
      </c>
    </row>
    <row r="43">
      <c r="N43" s="3" t="s">
        <v>601</v>
      </c>
      <c r="Q43" s="3" t="s">
        <v>602</v>
      </c>
      <c r="V43" s="3" t="s">
        <v>558</v>
      </c>
      <c r="W43" s="4">
        <v>0.2</v>
      </c>
      <c r="X43" s="212">
        <f t="shared" si="16"/>
        <v>0.02</v>
      </c>
      <c r="Y43" s="212">
        <f t="shared" si="17"/>
        <v>0.06</v>
      </c>
      <c r="AA43" s="3" t="s">
        <v>691</v>
      </c>
    </row>
    <row r="44">
      <c r="Q44" s="3" t="s">
        <v>603</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782</v>
      </c>
      <c r="Q51" s="3" t="s">
        <v>783</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784</v>
      </c>
    </row>
    <row r="60">
      <c r="Q60" s="3" t="s">
        <v>623</v>
      </c>
    </row>
    <row r="61">
      <c r="Q61" s="3" t="s">
        <v>616</v>
      </c>
    </row>
    <row r="62">
      <c r="Q62" s="3" t="s">
        <v>618</v>
      </c>
    </row>
    <row r="64">
      <c r="P64" s="218" t="s">
        <v>619</v>
      </c>
      <c r="Q64" s="31" t="s">
        <v>624</v>
      </c>
    </row>
  </sheetData>
  <hyperlinks>
    <hyperlink r:id="rId1" ref="Z39"/>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45539.0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65">
        <v>89.0</v>
      </c>
      <c r="S3" s="266">
        <v>90.0</v>
      </c>
      <c r="T3" s="248">
        <f t="shared" ref="T3:T7" si="2">AVERAGE(P3:S3)</f>
        <v>90.175</v>
      </c>
      <c r="U3" s="265">
        <v>87.0</v>
      </c>
      <c r="V3" s="265">
        <v>94.0</v>
      </c>
      <c r="W3" s="265">
        <v>99.0</v>
      </c>
      <c r="X3" s="266">
        <v>101.0</v>
      </c>
      <c r="Y3" s="248">
        <f t="shared" ref="Y3:Y7" si="3">AVERAGE(U3:X3)</f>
        <v>95.25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64">
        <v>80.0</v>
      </c>
      <c r="S4" s="264">
        <v>76.0</v>
      </c>
      <c r="T4" s="248">
        <f t="shared" si="2"/>
        <v>80.9</v>
      </c>
      <c r="U4" s="264">
        <v>76.0</v>
      </c>
      <c r="V4" s="264">
        <v>76.0</v>
      </c>
      <c r="W4" s="264">
        <v>76.0</v>
      </c>
      <c r="X4" s="264">
        <v>76.0</v>
      </c>
      <c r="Y4" s="248">
        <f t="shared" si="3"/>
        <v>76</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t="s">
        <v>746</v>
      </c>
      <c r="R5" s="264">
        <f t="shared" ref="R5:S5" si="4">R4-R6</f>
        <v>65</v>
      </c>
      <c r="S5" s="264">
        <f t="shared" si="4"/>
        <v>61</v>
      </c>
      <c r="T5" s="248">
        <f t="shared" si="2"/>
        <v>64.66666667</v>
      </c>
      <c r="U5" s="264">
        <f t="shared" ref="U5:X5" si="5">U4-U6</f>
        <v>61</v>
      </c>
      <c r="V5" s="264">
        <f t="shared" si="5"/>
        <v>61</v>
      </c>
      <c r="W5" s="264">
        <f t="shared" si="5"/>
        <v>61</v>
      </c>
      <c r="X5" s="264">
        <f t="shared" si="5"/>
        <v>61</v>
      </c>
      <c r="Y5" s="248">
        <f t="shared" si="3"/>
        <v>61</v>
      </c>
    </row>
    <row r="6" ht="26.25" customHeight="1">
      <c r="A6" s="245" t="s">
        <v>643</v>
      </c>
      <c r="B6" s="4"/>
      <c r="C6" s="4"/>
      <c r="D6" s="54"/>
      <c r="E6" s="54"/>
      <c r="F6" s="54"/>
      <c r="G6" s="54"/>
      <c r="H6" s="54"/>
      <c r="I6" s="112"/>
      <c r="J6" s="112"/>
      <c r="K6" s="263">
        <f t="shared" ref="K6:O6" si="6">K4-K5</f>
        <v>29</v>
      </c>
      <c r="L6" s="263">
        <f t="shared" si="6"/>
        <v>24</v>
      </c>
      <c r="M6" s="246">
        <f t="shared" si="6"/>
        <v>21.3</v>
      </c>
      <c r="N6" s="246">
        <f t="shared" si="6"/>
        <v>14.9</v>
      </c>
      <c r="O6" s="248">
        <f t="shared" si="6"/>
        <v>22.3</v>
      </c>
      <c r="P6" s="255">
        <v>15.0</v>
      </c>
      <c r="Q6" s="255">
        <v>15.0</v>
      </c>
      <c r="R6" s="264">
        <v>15.0</v>
      </c>
      <c r="S6" s="264">
        <v>15.0</v>
      </c>
      <c r="T6" s="248">
        <f t="shared" si="2"/>
        <v>15</v>
      </c>
      <c r="U6" s="264">
        <v>15.0</v>
      </c>
      <c r="V6" s="264">
        <v>15.0</v>
      </c>
      <c r="W6" s="264">
        <v>15.0</v>
      </c>
      <c r="X6" s="264">
        <v>15.0</v>
      </c>
      <c r="Y6" s="248">
        <f t="shared" si="3"/>
        <v>15</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68">
        <v>8.2</v>
      </c>
      <c r="S7" s="267">
        <v>7.1</v>
      </c>
      <c r="T7" s="258">
        <f t="shared" si="2"/>
        <v>7.9</v>
      </c>
      <c r="U7" s="268">
        <v>6.6</v>
      </c>
      <c r="V7" s="268">
        <v>5.8</v>
      </c>
      <c r="W7" s="268">
        <v>4.9</v>
      </c>
      <c r="X7" s="267">
        <v>4.6</v>
      </c>
      <c r="Y7" s="258">
        <f t="shared" si="3"/>
        <v>5.475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70">
        <v>19.0</v>
      </c>
      <c r="S8" s="269">
        <v>20.0</v>
      </c>
      <c r="T8" s="258">
        <v>17.4</v>
      </c>
      <c r="U8" s="270">
        <v>20.0</v>
      </c>
      <c r="V8" s="270">
        <v>18.0</v>
      </c>
      <c r="W8" s="270">
        <v>16.0</v>
      </c>
      <c r="X8" s="269">
        <v>14.0</v>
      </c>
      <c r="Y8" s="258">
        <v>17.8</v>
      </c>
    </row>
    <row r="9" hidden="1">
      <c r="A9" s="252" t="s">
        <v>766</v>
      </c>
      <c r="E9" s="114"/>
      <c r="F9" s="115"/>
      <c r="G9" s="115"/>
      <c r="H9" s="115"/>
      <c r="I9" s="112"/>
      <c r="J9" s="112"/>
      <c r="T9" s="103"/>
      <c r="U9" s="54"/>
      <c r="V9" s="287" t="s">
        <v>767</v>
      </c>
      <c r="W9" s="54"/>
      <c r="X9" s="54"/>
      <c r="Y9" s="103"/>
    </row>
    <row r="10">
      <c r="E10" s="114"/>
      <c r="F10" s="115"/>
      <c r="G10" s="115"/>
      <c r="H10" s="115"/>
      <c r="I10" s="112"/>
      <c r="J10" s="112"/>
      <c r="O10" s="4" t="s">
        <v>785</v>
      </c>
      <c r="Q10" s="218" t="s">
        <v>786</v>
      </c>
      <c r="R10" s="289">
        <v>88.9</v>
      </c>
      <c r="S10" s="289">
        <v>85.2</v>
      </c>
      <c r="U10" s="289">
        <v>83.9</v>
      </c>
      <c r="V10" s="289">
        <v>94.2</v>
      </c>
      <c r="W10" s="289">
        <v>102.4</v>
      </c>
      <c r="X10" s="289">
        <v>104.4</v>
      </c>
      <c r="Y10" s="215"/>
    </row>
    <row r="11">
      <c r="E11" s="114"/>
      <c r="F11" s="115"/>
      <c r="G11" s="115"/>
      <c r="H11" s="115"/>
      <c r="I11" s="112" t="s">
        <v>406</v>
      </c>
      <c r="J11" s="112" t="s">
        <v>406</v>
      </c>
      <c r="N11" s="218" t="s">
        <v>787</v>
      </c>
      <c r="O11" s="242">
        <v>77.0</v>
      </c>
      <c r="Q11" s="218" t="s">
        <v>788</v>
      </c>
      <c r="R11" s="242">
        <v>89.0</v>
      </c>
      <c r="S11" s="242">
        <v>91.0</v>
      </c>
      <c r="U11" s="242">
        <v>90.0</v>
      </c>
      <c r="V11" s="242">
        <v>94.0</v>
      </c>
      <c r="W11" s="242">
        <v>98.0</v>
      </c>
      <c r="X11" s="242">
        <v>100.0</v>
      </c>
      <c r="Y11" s="215"/>
    </row>
    <row r="12">
      <c r="E12" s="114" t="s">
        <v>241</v>
      </c>
      <c r="F12" s="115" t="s">
        <v>242</v>
      </c>
      <c r="G12" s="115" t="s">
        <v>242</v>
      </c>
      <c r="H12" s="115" t="s">
        <v>194</v>
      </c>
      <c r="I12" s="115" t="s">
        <v>148</v>
      </c>
      <c r="N12" s="218" t="s">
        <v>469</v>
      </c>
      <c r="O12" s="242">
        <v>77.0</v>
      </c>
      <c r="Q12" s="218" t="s">
        <v>469</v>
      </c>
      <c r="R12" s="242">
        <v>89.0</v>
      </c>
      <c r="S12" s="242">
        <v>91.0</v>
      </c>
      <c r="U12" s="242">
        <v>87.0</v>
      </c>
      <c r="V12" s="242">
        <v>94.0</v>
      </c>
      <c r="W12" s="242">
        <v>98.0</v>
      </c>
      <c r="X12" s="242">
        <v>100.0</v>
      </c>
      <c r="Y12" s="215"/>
    </row>
    <row r="13">
      <c r="A13" s="3" t="s">
        <v>47</v>
      </c>
      <c r="C13" s="4">
        <v>5.7</v>
      </c>
      <c r="D13" s="4">
        <v>6.5</v>
      </c>
      <c r="E13" s="62">
        <v>7.4</v>
      </c>
      <c r="F13" s="54">
        <v>8.1</v>
      </c>
      <c r="G13" s="54"/>
      <c r="H13" s="62"/>
      <c r="I13" s="62"/>
      <c r="J13" s="62"/>
      <c r="N13" s="218" t="s">
        <v>470</v>
      </c>
      <c r="O13" s="242">
        <v>75.0</v>
      </c>
      <c r="Q13" s="218" t="s">
        <v>470</v>
      </c>
      <c r="R13" s="242">
        <v>89.0</v>
      </c>
      <c r="S13" s="242">
        <v>88.5</v>
      </c>
      <c r="U13" s="242">
        <v>84.0</v>
      </c>
      <c r="V13" s="242">
        <v>94.0</v>
      </c>
      <c r="W13" s="242">
        <v>102.0</v>
      </c>
      <c r="X13" s="242">
        <v>104.0</v>
      </c>
    </row>
    <row r="14">
      <c r="A14" s="3" t="s">
        <v>162</v>
      </c>
      <c r="D14" s="111" t="s">
        <v>241</v>
      </c>
      <c r="E14" s="117">
        <v>7.0</v>
      </c>
      <c r="F14" s="112">
        <v>7.3</v>
      </c>
      <c r="G14" s="112"/>
      <c r="H14" s="112"/>
      <c r="I14" s="117"/>
      <c r="J14" s="112"/>
      <c r="N14" s="54"/>
      <c r="O14" s="54"/>
      <c r="R14" s="54"/>
      <c r="S14" s="54"/>
      <c r="T14" s="288"/>
      <c r="U14" s="54"/>
      <c r="V14" s="54"/>
      <c r="W14" s="54"/>
      <c r="X14" s="54"/>
    </row>
    <row r="15">
      <c r="C15" s="10"/>
      <c r="D15" s="10"/>
      <c r="E15" s="10"/>
      <c r="F15" s="10"/>
      <c r="G15" s="10"/>
      <c r="H15" s="10"/>
      <c r="I15" s="10"/>
      <c r="J15" s="10"/>
      <c r="N15" s="54"/>
      <c r="O15" s="234">
        <f>AVERAGE(O11:O14)</f>
        <v>76.33333333</v>
      </c>
      <c r="R15" s="234">
        <f t="shared" ref="R15:S15" si="8">AVERAGE(R11:R14)</f>
        <v>89</v>
      </c>
      <c r="S15" s="234">
        <f t="shared" si="8"/>
        <v>90.16666667</v>
      </c>
      <c r="U15" s="234">
        <f t="shared" ref="U15:X15" si="9">AVERAGE(U11:U14)</f>
        <v>87</v>
      </c>
      <c r="V15" s="234">
        <f t="shared" si="9"/>
        <v>94</v>
      </c>
      <c r="W15" s="234">
        <f t="shared" si="9"/>
        <v>99.33333333</v>
      </c>
      <c r="X15" s="234">
        <f t="shared" si="9"/>
        <v>101.3333333</v>
      </c>
      <c r="Z15" s="31" t="s">
        <v>286</v>
      </c>
      <c r="AA15" s="61" t="s">
        <v>632</v>
      </c>
      <c r="AB15" s="61" t="s">
        <v>762</v>
      </c>
      <c r="AC15" s="61" t="s">
        <v>763</v>
      </c>
      <c r="AD15" s="61" t="s">
        <v>764</v>
      </c>
      <c r="AE15" s="61" t="s">
        <v>765</v>
      </c>
    </row>
    <row r="16">
      <c r="E16" s="118"/>
      <c r="F16" s="118"/>
      <c r="G16" s="118"/>
      <c r="H16" s="118"/>
      <c r="I16" s="118"/>
      <c r="J16" s="118"/>
      <c r="N16" s="54"/>
      <c r="Q16" s="3" t="s">
        <v>786</v>
      </c>
      <c r="R16" s="9">
        <v>7.0</v>
      </c>
      <c r="S16" s="55"/>
      <c r="Z16" s="3" t="s">
        <v>468</v>
      </c>
      <c r="AA16" s="276"/>
      <c r="AB16" s="276"/>
      <c r="AC16" s="276"/>
      <c r="AD16" s="276"/>
      <c r="AE16" s="276"/>
    </row>
    <row r="17">
      <c r="E17" s="118"/>
      <c r="F17" s="118"/>
      <c r="G17" s="118"/>
      <c r="H17" s="118"/>
      <c r="I17" s="118"/>
      <c r="J17" s="118"/>
      <c r="N17" s="54"/>
      <c r="Q17" s="218" t="s">
        <v>789</v>
      </c>
      <c r="R17" s="243">
        <v>7.3</v>
      </c>
      <c r="T17" s="53"/>
      <c r="U17" s="290" t="s">
        <v>786</v>
      </c>
      <c r="V17" s="290">
        <v>4.2</v>
      </c>
      <c r="W17" s="218"/>
      <c r="X17" s="218"/>
      <c r="Y17" s="218"/>
      <c r="Z17" s="3" t="s">
        <v>469</v>
      </c>
      <c r="AA17" s="280"/>
      <c r="AB17" s="280"/>
      <c r="AC17" s="280"/>
      <c r="AD17" s="280"/>
      <c r="AE17" s="280"/>
    </row>
    <row r="18">
      <c r="E18" s="118"/>
      <c r="F18" s="118"/>
      <c r="G18" s="118"/>
      <c r="H18" s="118"/>
      <c r="I18" s="118"/>
      <c r="J18" s="118"/>
      <c r="Q18" s="218" t="s">
        <v>469</v>
      </c>
      <c r="R18" s="243">
        <v>7.0</v>
      </c>
      <c r="T18" s="53"/>
      <c r="U18" s="291" t="s">
        <v>790</v>
      </c>
      <c r="V18" s="292">
        <v>5.0</v>
      </c>
      <c r="W18" s="218"/>
      <c r="X18" s="218"/>
      <c r="Y18" s="218"/>
      <c r="Z18" s="3" t="s">
        <v>470</v>
      </c>
      <c r="AA18" s="276"/>
      <c r="AB18" s="276"/>
      <c r="AC18" s="276"/>
      <c r="AD18" s="276"/>
      <c r="AE18" s="276"/>
    </row>
    <row r="19">
      <c r="E19" s="118"/>
      <c r="F19" s="118"/>
      <c r="G19" s="118"/>
      <c r="H19" s="118"/>
      <c r="I19" s="118"/>
      <c r="J19" s="118"/>
      <c r="N19" s="218"/>
      <c r="Q19" s="218" t="s">
        <v>470</v>
      </c>
      <c r="R19" s="243">
        <v>7.0</v>
      </c>
      <c r="T19" s="53"/>
      <c r="U19" s="291" t="s">
        <v>469</v>
      </c>
      <c r="V19" s="292">
        <v>4.5</v>
      </c>
      <c r="W19" s="218"/>
      <c r="X19" s="218"/>
      <c r="Y19" s="218"/>
      <c r="AA19" s="293" t="str">
        <f t="shared" ref="AA19:AE19" si="10">AVERAGE(AA16:AA18)</f>
        <v>#DIV/0!</v>
      </c>
      <c r="AB19" s="293" t="str">
        <f t="shared" si="10"/>
        <v>#DIV/0!</v>
      </c>
      <c r="AC19" s="293" t="str">
        <f t="shared" si="10"/>
        <v>#DIV/0!</v>
      </c>
      <c r="AD19" s="293" t="str">
        <f t="shared" si="10"/>
        <v>#DIV/0!</v>
      </c>
      <c r="AE19" s="293" t="str">
        <f t="shared" si="10"/>
        <v>#DIV/0!</v>
      </c>
    </row>
    <row r="20">
      <c r="E20" s="118"/>
      <c r="F20" s="118"/>
      <c r="G20" s="118"/>
      <c r="H20" s="118"/>
      <c r="I20" s="118"/>
      <c r="J20" s="118"/>
      <c r="O20" s="3" t="s">
        <v>791</v>
      </c>
      <c r="T20" s="53"/>
      <c r="U20" s="291" t="s">
        <v>470</v>
      </c>
      <c r="V20" s="292">
        <v>4.2</v>
      </c>
      <c r="W20" s="218"/>
      <c r="X20" s="218"/>
      <c r="Y20" s="218"/>
    </row>
    <row r="21">
      <c r="E21" s="118"/>
      <c r="F21" s="118"/>
      <c r="G21" s="118"/>
      <c r="H21" s="118"/>
      <c r="I21" s="118"/>
      <c r="J21" s="118"/>
      <c r="K21" s="119"/>
      <c r="R21" s="234">
        <f>AVERAGE(R17:R20)</f>
        <v>7.1</v>
      </c>
      <c r="T21" s="55"/>
      <c r="U21" s="55"/>
      <c r="V21" s="294"/>
    </row>
    <row r="22">
      <c r="A22" s="3"/>
      <c r="B22" s="12"/>
      <c r="C22" s="12"/>
      <c r="D22" s="13"/>
      <c r="E22" s="13"/>
      <c r="F22" s="13"/>
      <c r="G22" s="13"/>
      <c r="H22" s="13"/>
      <c r="I22" s="13"/>
      <c r="J22" s="13"/>
      <c r="K22" s="13"/>
      <c r="U22" s="295"/>
      <c r="V22" s="293">
        <f>AVERAGE(V18:V21)</f>
        <v>4.566666667</v>
      </c>
    </row>
    <row r="23">
      <c r="R23" s="4"/>
      <c r="T23" s="55"/>
    </row>
    <row r="24">
      <c r="Q24" s="4" t="s">
        <v>340</v>
      </c>
      <c r="R24" s="4" t="s">
        <v>171</v>
      </c>
      <c r="S24" s="4" t="s">
        <v>343</v>
      </c>
      <c r="T24" s="4" t="s">
        <v>581</v>
      </c>
    </row>
    <row r="25">
      <c r="P25" s="4" t="s">
        <v>62</v>
      </c>
      <c r="Q25" s="284">
        <v>93.1</v>
      </c>
      <c r="R25" s="284">
        <v>90.9</v>
      </c>
      <c r="S25" s="175">
        <v>88.1</v>
      </c>
      <c r="T25" s="226">
        <f t="shared" ref="T25:T27" si="11">AVERAGE(Q25:S25)</f>
        <v>90.7</v>
      </c>
    </row>
    <row r="26">
      <c r="P26" s="4" t="s">
        <v>28</v>
      </c>
      <c r="Q26" s="284">
        <v>89.8</v>
      </c>
      <c r="R26" s="284">
        <v>81.7</v>
      </c>
      <c r="S26" s="285">
        <v>82.25</v>
      </c>
      <c r="T26" s="226">
        <f t="shared" si="11"/>
        <v>84.58333333</v>
      </c>
    </row>
    <row r="27">
      <c r="P27" s="4" t="s">
        <v>582</v>
      </c>
      <c r="Q27" s="284">
        <v>71.3</v>
      </c>
      <c r="R27" s="284">
        <v>71.8</v>
      </c>
      <c r="S27" s="175">
        <v>70.1</v>
      </c>
      <c r="T27" s="226">
        <f t="shared" si="11"/>
        <v>71.06666667</v>
      </c>
    </row>
    <row r="28">
      <c r="P28" s="4" t="s">
        <v>583</v>
      </c>
      <c r="Q28" s="5">
        <f t="shared" ref="Q28:S28" si="12">Q26-Q27</f>
        <v>18.5</v>
      </c>
      <c r="R28" s="5">
        <f t="shared" si="12"/>
        <v>9.9</v>
      </c>
      <c r="S28" s="286">
        <f t="shared" si="12"/>
        <v>12.15</v>
      </c>
    </row>
    <row r="29">
      <c r="N29" s="230" t="s">
        <v>546</v>
      </c>
      <c r="O29" s="225">
        <v>2024.0</v>
      </c>
    </row>
    <row r="30">
      <c r="N30" s="3" t="s">
        <v>549</v>
      </c>
      <c r="O30" s="4">
        <v>110.0</v>
      </c>
      <c r="Q30" s="4" t="s">
        <v>345</v>
      </c>
      <c r="R30" s="4" t="s">
        <v>347</v>
      </c>
      <c r="S30" s="4" t="s">
        <v>348</v>
      </c>
      <c r="T30" s="4" t="s">
        <v>581</v>
      </c>
    </row>
    <row r="31">
      <c r="N31" s="3" t="s">
        <v>81</v>
      </c>
      <c r="O31" s="99" t="s">
        <v>584</v>
      </c>
      <c r="P31" s="4" t="s">
        <v>62</v>
      </c>
      <c r="Q31" s="284">
        <v>87.5</v>
      </c>
      <c r="R31" s="284">
        <v>89.4</v>
      </c>
      <c r="S31" s="24">
        <v>88.5</v>
      </c>
      <c r="T31" s="226">
        <f t="shared" ref="T31:T33" si="13">AVERAGE(Q31:S31)</f>
        <v>88.46666667</v>
      </c>
    </row>
    <row r="32">
      <c r="N32" s="3" t="s">
        <v>286</v>
      </c>
      <c r="O32" s="225" t="s">
        <v>585</v>
      </c>
      <c r="P32" s="4" t="s">
        <v>28</v>
      </c>
      <c r="Q32" s="284">
        <v>85.2</v>
      </c>
      <c r="R32" s="284">
        <v>80.2</v>
      </c>
      <c r="S32" s="116">
        <v>75.6</v>
      </c>
      <c r="T32" s="226">
        <f t="shared" si="13"/>
        <v>80.33333333</v>
      </c>
    </row>
    <row r="33">
      <c r="P33" s="99" t="s">
        <v>582</v>
      </c>
      <c r="Q33" s="296">
        <v>69.0</v>
      </c>
      <c r="R33" s="284">
        <v>69.4</v>
      </c>
      <c r="S33" s="24">
        <v>66.6</v>
      </c>
      <c r="T33" s="226">
        <f t="shared" si="13"/>
        <v>68.33333333</v>
      </c>
    </row>
    <row r="34">
      <c r="N34" s="31" t="s">
        <v>586</v>
      </c>
      <c r="P34" s="4" t="s">
        <v>583</v>
      </c>
      <c r="Q34" s="286">
        <f t="shared" ref="Q34:S34" si="14">Q32-Q33</f>
        <v>16.2</v>
      </c>
      <c r="R34" s="5">
        <f t="shared" si="14"/>
        <v>10.8</v>
      </c>
      <c r="S34" s="286">
        <f t="shared" si="14"/>
        <v>9</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3" si="15">W38*$X$36</f>
        <v>0.024</v>
      </c>
      <c r="Y38" s="212">
        <f t="shared" ref="Y38:Y43" si="16">W38*$Y$36</f>
        <v>0.072</v>
      </c>
    </row>
    <row r="39">
      <c r="N39" s="3" t="s">
        <v>595</v>
      </c>
      <c r="Q39" s="3" t="s">
        <v>596</v>
      </c>
      <c r="V39" s="99" t="s">
        <v>540</v>
      </c>
      <c r="W39" s="4">
        <v>0.055</v>
      </c>
      <c r="X39" s="212">
        <f t="shared" si="15"/>
        <v>0.0055</v>
      </c>
      <c r="Y39" s="212">
        <f t="shared" si="16"/>
        <v>0.0165</v>
      </c>
      <c r="Z39" s="49" t="s">
        <v>541</v>
      </c>
    </row>
    <row r="40">
      <c r="N40" s="3" t="s">
        <v>597</v>
      </c>
      <c r="Q40" s="3" t="s">
        <v>598</v>
      </c>
      <c r="V40" s="3" t="s">
        <v>542</v>
      </c>
      <c r="W40" s="4">
        <v>0.1</v>
      </c>
      <c r="X40" s="212">
        <f t="shared" si="15"/>
        <v>0.01</v>
      </c>
      <c r="Y40" s="212">
        <f t="shared" si="16"/>
        <v>0.03</v>
      </c>
      <c r="AA40" s="3" t="s">
        <v>688</v>
      </c>
    </row>
    <row r="41">
      <c r="N41" s="3" t="s">
        <v>599</v>
      </c>
      <c r="Q41" s="3" t="s">
        <v>600</v>
      </c>
      <c r="V41" s="3" t="s">
        <v>543</v>
      </c>
      <c r="W41" s="4">
        <f>(0.05+0.1)/2</f>
        <v>0.075</v>
      </c>
      <c r="X41" s="212">
        <f t="shared" si="15"/>
        <v>0.0075</v>
      </c>
      <c r="Y41" s="212">
        <f t="shared" si="16"/>
        <v>0.0225</v>
      </c>
      <c r="AA41" s="3" t="s">
        <v>689</v>
      </c>
    </row>
    <row r="42">
      <c r="V42" s="3" t="s">
        <v>545</v>
      </c>
      <c r="W42" s="4">
        <v>0.05</v>
      </c>
      <c r="X42" s="212">
        <f t="shared" si="15"/>
        <v>0.005</v>
      </c>
      <c r="Y42" s="212">
        <f t="shared" si="16"/>
        <v>0.015</v>
      </c>
      <c r="AA42" s="3" t="s">
        <v>690</v>
      </c>
    </row>
    <row r="43">
      <c r="N43" s="3" t="s">
        <v>601</v>
      </c>
      <c r="Q43" s="3" t="s">
        <v>602</v>
      </c>
      <c r="V43" s="3" t="s">
        <v>558</v>
      </c>
      <c r="W43" s="4">
        <v>0.2</v>
      </c>
      <c r="X43" s="212">
        <f t="shared" si="15"/>
        <v>0.02</v>
      </c>
      <c r="Y43" s="212">
        <f t="shared" si="16"/>
        <v>0.06</v>
      </c>
      <c r="AA43" s="3" t="s">
        <v>691</v>
      </c>
    </row>
    <row r="44">
      <c r="Q44" s="3" t="s">
        <v>603</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792</v>
      </c>
      <c r="Q51" s="3" t="s">
        <v>793</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794</v>
      </c>
    </row>
    <row r="60">
      <c r="Q60" s="3" t="s">
        <v>623</v>
      </c>
    </row>
    <row r="61">
      <c r="Q61" s="3" t="s">
        <v>616</v>
      </c>
    </row>
    <row r="62">
      <c r="Q62" s="3" t="s">
        <v>618</v>
      </c>
    </row>
    <row r="64">
      <c r="P64" s="218" t="s">
        <v>619</v>
      </c>
      <c r="Q64" s="31" t="s">
        <v>624</v>
      </c>
    </row>
  </sheetData>
  <hyperlinks>
    <hyperlink r:id="rId1" ref="Z39"/>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45567.0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AA1" s="3" t="s">
        <v>795</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c r="AA2" s="3" t="s">
        <v>796</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266">
        <v>93.0</v>
      </c>
      <c r="T3" s="248">
        <f t="shared" ref="T3:T7" si="2">AVERAGE(P3:S3)</f>
        <v>90.925</v>
      </c>
      <c r="U3" s="265">
        <v>93.0</v>
      </c>
      <c r="V3" s="265">
        <v>100.0</v>
      </c>
      <c r="W3" s="265">
        <v>104.0</v>
      </c>
      <c r="X3" s="266">
        <v>108.0</v>
      </c>
      <c r="Y3" s="248">
        <f t="shared" ref="Y3:Y7" si="3">AVERAGE(U3:X3)</f>
        <v>101.25</v>
      </c>
      <c r="AA3" s="3" t="s">
        <v>797</v>
      </c>
      <c r="AG3" s="3" t="s">
        <v>798</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64">
        <v>76.0</v>
      </c>
      <c r="T4" s="248">
        <f t="shared" si="2"/>
        <v>80.9</v>
      </c>
      <c r="U4" s="264">
        <v>76.0</v>
      </c>
      <c r="V4" s="264">
        <v>76.0</v>
      </c>
      <c r="W4" s="264">
        <v>75.0</v>
      </c>
      <c r="X4" s="264">
        <v>74.0</v>
      </c>
      <c r="Y4" s="248">
        <f t="shared" si="3"/>
        <v>75.25</v>
      </c>
      <c r="AA4" s="3" t="s">
        <v>799</v>
      </c>
      <c r="AG4" s="3" t="s">
        <v>800</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64">
        <f>S4-S6</f>
        <v>63</v>
      </c>
      <c r="T5" s="248">
        <f t="shared" si="2"/>
        <v>66.5</v>
      </c>
      <c r="U5" s="264">
        <f t="shared" ref="U5:X5" si="4">U4-U6</f>
        <v>63</v>
      </c>
      <c r="V5" s="264">
        <f t="shared" si="4"/>
        <v>63</v>
      </c>
      <c r="W5" s="264">
        <f t="shared" si="4"/>
        <v>62</v>
      </c>
      <c r="X5" s="264">
        <f t="shared" si="4"/>
        <v>61</v>
      </c>
      <c r="Y5" s="248">
        <f t="shared" si="3"/>
        <v>62.25</v>
      </c>
      <c r="AA5" s="3" t="s">
        <v>801</v>
      </c>
      <c r="AG5" s="3" t="s">
        <v>802</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64">
        <v>13.0</v>
      </c>
      <c r="T6" s="248">
        <f t="shared" si="2"/>
        <v>14.4</v>
      </c>
      <c r="U6" s="264">
        <v>13.0</v>
      </c>
      <c r="V6" s="264">
        <v>13.0</v>
      </c>
      <c r="W6" s="264">
        <v>13.0</v>
      </c>
      <c r="X6" s="264">
        <v>13.0</v>
      </c>
      <c r="Y6" s="248">
        <f t="shared" si="3"/>
        <v>13</v>
      </c>
      <c r="AG6" s="3" t="s">
        <v>803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67">
        <v>7.8</v>
      </c>
      <c r="T7" s="258">
        <f t="shared" si="2"/>
        <v>8.175</v>
      </c>
      <c r="U7" s="259">
        <v>7.4</v>
      </c>
      <c r="V7" s="259">
        <v>6.6</v>
      </c>
      <c r="W7" s="259">
        <v>6.3</v>
      </c>
      <c r="X7" s="267">
        <v>5.5</v>
      </c>
      <c r="Y7" s="258">
        <f t="shared" si="3"/>
        <v>6.45</v>
      </c>
      <c r="AA7" s="3" t="s">
        <v>804</v>
      </c>
      <c r="AG7" s="3" t="s">
        <v>805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69">
        <v>22.0</v>
      </c>
      <c r="T8" s="258">
        <v>17.4</v>
      </c>
      <c r="U8" s="270">
        <v>22.0</v>
      </c>
      <c r="V8" s="270">
        <v>21.0</v>
      </c>
      <c r="W8" s="270">
        <v>19.0</v>
      </c>
      <c r="X8" s="269">
        <v>17.0</v>
      </c>
      <c r="Y8" s="258">
        <v>20.5</v>
      </c>
      <c r="AA8" s="3" t="s">
        <v>806</v>
      </c>
      <c r="AG8" s="3" t="s">
        <v>807</v>
      </c>
    </row>
    <row r="9" hidden="1">
      <c r="A9" s="252" t="s">
        <v>766</v>
      </c>
      <c r="E9" s="114"/>
      <c r="F9" s="115"/>
      <c r="G9" s="115"/>
      <c r="H9" s="115"/>
      <c r="I9" s="112"/>
      <c r="J9" s="112"/>
      <c r="T9" s="103"/>
      <c r="U9" s="54"/>
      <c r="V9" s="287" t="s">
        <v>767</v>
      </c>
      <c r="W9" s="54"/>
      <c r="X9" s="54"/>
      <c r="Y9" s="103"/>
    </row>
    <row r="10">
      <c r="E10" s="114"/>
      <c r="F10" s="115"/>
      <c r="G10" s="115"/>
      <c r="H10" s="115"/>
      <c r="I10" s="112"/>
      <c r="J10" s="112"/>
      <c r="O10" s="4" t="s">
        <v>785</v>
      </c>
      <c r="R10" s="218" t="s">
        <v>786</v>
      </c>
      <c r="S10" s="298">
        <v>90.0</v>
      </c>
      <c r="T10" s="299"/>
      <c r="U10" s="298">
        <v>93.0</v>
      </c>
      <c r="V10" s="298">
        <v>103.0</v>
      </c>
      <c r="W10" s="298">
        <v>108.0</v>
      </c>
      <c r="X10" s="298">
        <v>110.0</v>
      </c>
      <c r="Y10" s="215"/>
      <c r="AG10" s="3" t="s">
        <v>808</v>
      </c>
    </row>
    <row r="11">
      <c r="E11" s="114"/>
      <c r="F11" s="115"/>
      <c r="G11" s="115"/>
      <c r="H11" s="115"/>
      <c r="I11" s="112" t="s">
        <v>406</v>
      </c>
      <c r="J11" s="112" t="s">
        <v>406</v>
      </c>
      <c r="N11" s="218" t="s">
        <v>809</v>
      </c>
      <c r="O11" s="242">
        <v>77.0</v>
      </c>
      <c r="R11" s="218" t="s">
        <v>810</v>
      </c>
      <c r="S11" s="242">
        <v>96.0</v>
      </c>
      <c r="U11" s="242">
        <v>95.0</v>
      </c>
      <c r="V11" s="242">
        <v>99.0</v>
      </c>
      <c r="W11" s="242">
        <v>103.0</v>
      </c>
      <c r="X11" s="242">
        <v>106.0</v>
      </c>
      <c r="Y11" s="215"/>
      <c r="AA11" s="3" t="s">
        <v>811</v>
      </c>
      <c r="AG11" s="3" t="s">
        <v>812</v>
      </c>
    </row>
    <row r="12">
      <c r="E12" s="114" t="s">
        <v>241</v>
      </c>
      <c r="F12" s="115" t="s">
        <v>242</v>
      </c>
      <c r="G12" s="115" t="s">
        <v>242</v>
      </c>
      <c r="H12" s="115" t="s">
        <v>194</v>
      </c>
      <c r="I12" s="115" t="s">
        <v>148</v>
      </c>
      <c r="N12" s="218" t="s">
        <v>469</v>
      </c>
      <c r="O12" s="242">
        <v>77.0</v>
      </c>
      <c r="R12" s="218" t="s">
        <v>469</v>
      </c>
      <c r="S12" s="242">
        <v>92.0</v>
      </c>
      <c r="U12" s="242">
        <v>90.0</v>
      </c>
      <c r="V12" s="242">
        <v>98.0</v>
      </c>
      <c r="W12" s="242">
        <v>102.0</v>
      </c>
      <c r="X12" s="242">
        <v>107.0</v>
      </c>
      <c r="Y12" s="215"/>
      <c r="AA12" s="3" t="s">
        <v>813</v>
      </c>
      <c r="AG12" s="3" t="s">
        <v>814</v>
      </c>
    </row>
    <row r="13">
      <c r="A13" s="3" t="s">
        <v>47</v>
      </c>
      <c r="C13" s="4">
        <v>5.7</v>
      </c>
      <c r="D13" s="4">
        <v>6.5</v>
      </c>
      <c r="E13" s="62">
        <v>7.4</v>
      </c>
      <c r="F13" s="54">
        <v>8.1</v>
      </c>
      <c r="G13" s="54"/>
      <c r="H13" s="62"/>
      <c r="I13" s="62"/>
      <c r="J13" s="62"/>
      <c r="N13" s="218" t="s">
        <v>470</v>
      </c>
      <c r="O13" s="242">
        <v>75.0</v>
      </c>
      <c r="R13" s="218" t="s">
        <v>470</v>
      </c>
      <c r="S13" s="242">
        <v>90.0</v>
      </c>
      <c r="U13" s="300">
        <v>93.0</v>
      </c>
      <c r="V13" s="300">
        <v>103.0</v>
      </c>
      <c r="W13" s="300">
        <v>108.0</v>
      </c>
      <c r="X13" s="300">
        <v>110.0</v>
      </c>
      <c r="AG13" s="3" t="s">
        <v>815</v>
      </c>
    </row>
    <row r="14">
      <c r="A14" s="3" t="s">
        <v>162</v>
      </c>
      <c r="D14" s="111" t="s">
        <v>241</v>
      </c>
      <c r="E14" s="117">
        <v>7.0</v>
      </c>
      <c r="F14" s="112">
        <v>7.3</v>
      </c>
      <c r="G14" s="112"/>
      <c r="H14" s="112"/>
      <c r="I14" s="117"/>
      <c r="J14" s="112"/>
      <c r="N14" s="54"/>
      <c r="O14" s="54"/>
      <c r="R14" s="54"/>
      <c r="S14" s="54"/>
      <c r="T14" s="288"/>
      <c r="U14" s="54"/>
      <c r="V14" s="54"/>
      <c r="W14" s="54"/>
      <c r="X14" s="54"/>
      <c r="AG14" s="3" t="s">
        <v>816</v>
      </c>
    </row>
    <row r="15">
      <c r="C15" s="10"/>
      <c r="D15" s="10"/>
      <c r="E15" s="10"/>
      <c r="F15" s="10"/>
      <c r="G15" s="10"/>
      <c r="H15" s="10"/>
      <c r="I15" s="10"/>
      <c r="J15" s="10"/>
      <c r="N15" s="54"/>
      <c r="O15" s="234">
        <f>AVERAGE(O11:O14)</f>
        <v>76.33333333</v>
      </c>
      <c r="R15" s="54"/>
      <c r="S15" s="234">
        <f>AVERAGE(S11:S14)</f>
        <v>92.66666667</v>
      </c>
      <c r="U15" s="234">
        <f t="shared" ref="U15:X15" si="8">AVERAGE(U11:U14)</f>
        <v>92.66666667</v>
      </c>
      <c r="V15" s="234">
        <f t="shared" si="8"/>
        <v>100</v>
      </c>
      <c r="W15" s="234">
        <f t="shared" si="8"/>
        <v>104.3333333</v>
      </c>
      <c r="X15" s="234">
        <f t="shared" si="8"/>
        <v>107.6666667</v>
      </c>
      <c r="Z15" s="31" t="s">
        <v>286</v>
      </c>
      <c r="AA15" s="61" t="s">
        <v>632</v>
      </c>
      <c r="AB15" s="61" t="s">
        <v>762</v>
      </c>
      <c r="AC15" s="61" t="s">
        <v>763</v>
      </c>
      <c r="AD15" s="61" t="s">
        <v>764</v>
      </c>
      <c r="AE15" s="61" t="s">
        <v>765</v>
      </c>
      <c r="AG15" s="3" t="s">
        <v>817</v>
      </c>
    </row>
    <row r="16">
      <c r="E16" s="118"/>
      <c r="F16" s="118"/>
      <c r="G16" s="118"/>
      <c r="H16" s="118"/>
      <c r="I16" s="118"/>
      <c r="J16" s="118"/>
      <c r="N16" s="54"/>
      <c r="Q16" s="218" t="s">
        <v>786</v>
      </c>
      <c r="R16" s="9">
        <v>7.7</v>
      </c>
      <c r="S16" s="55"/>
      <c r="Z16" s="3" t="s">
        <v>468</v>
      </c>
      <c r="AA16" s="276">
        <v>22.0</v>
      </c>
      <c r="AB16" s="276">
        <v>22.0</v>
      </c>
      <c r="AC16" s="276">
        <v>22.0</v>
      </c>
      <c r="AD16" s="276">
        <v>22.0</v>
      </c>
      <c r="AE16" s="276">
        <v>22.0</v>
      </c>
      <c r="AG16" s="3" t="s">
        <v>818</v>
      </c>
    </row>
    <row r="17">
      <c r="E17" s="118"/>
      <c r="F17" s="118"/>
      <c r="G17" s="118"/>
      <c r="H17" s="118"/>
      <c r="I17" s="118"/>
      <c r="J17" s="118"/>
      <c r="N17" s="54"/>
      <c r="Q17" s="218" t="s">
        <v>819</v>
      </c>
      <c r="R17" s="243">
        <v>8.0</v>
      </c>
      <c r="T17" s="53"/>
      <c r="U17" s="290" t="s">
        <v>786</v>
      </c>
      <c r="V17" s="225" t="s">
        <v>820</v>
      </c>
      <c r="W17" s="218"/>
      <c r="X17" s="218"/>
      <c r="Y17" s="218"/>
      <c r="Z17" s="3" t="s">
        <v>469</v>
      </c>
      <c r="AA17" s="280">
        <v>22.0</v>
      </c>
      <c r="AB17" s="280">
        <v>22.0</v>
      </c>
      <c r="AC17" s="280">
        <v>22.0</v>
      </c>
      <c r="AD17" s="280">
        <v>18.0</v>
      </c>
      <c r="AE17" s="280">
        <v>14.0</v>
      </c>
      <c r="AG17" s="3" t="s">
        <v>821</v>
      </c>
    </row>
    <row r="18">
      <c r="E18" s="118"/>
      <c r="F18" s="118"/>
      <c r="G18" s="118"/>
      <c r="H18" s="118"/>
      <c r="I18" s="118"/>
      <c r="J18" s="118"/>
      <c r="Q18" s="218" t="s">
        <v>469</v>
      </c>
      <c r="R18" s="243">
        <v>7.8</v>
      </c>
      <c r="T18" s="53"/>
      <c r="U18" s="291" t="s">
        <v>822</v>
      </c>
      <c r="V18" s="301">
        <v>6.0</v>
      </c>
      <c r="W18" s="218"/>
      <c r="X18" s="218"/>
      <c r="Y18" s="218"/>
      <c r="Z18" s="3" t="s">
        <v>470</v>
      </c>
      <c r="AA18" s="276">
        <v>21.0</v>
      </c>
      <c r="AB18" s="276">
        <v>22.0</v>
      </c>
      <c r="AC18" s="276">
        <v>20.0</v>
      </c>
      <c r="AD18" s="276">
        <v>18.0</v>
      </c>
      <c r="AE18" s="276">
        <v>16.0</v>
      </c>
      <c r="AG18" s="3" t="s">
        <v>823</v>
      </c>
    </row>
    <row r="19">
      <c r="E19" s="118"/>
      <c r="F19" s="118"/>
      <c r="G19" s="118"/>
      <c r="H19" s="118"/>
      <c r="I19" s="118"/>
      <c r="J19" s="118"/>
      <c r="N19" s="218"/>
      <c r="Q19" s="291" t="s">
        <v>470</v>
      </c>
      <c r="R19" s="243">
        <v>7.7</v>
      </c>
      <c r="T19" s="53"/>
      <c r="U19" s="291" t="s">
        <v>469</v>
      </c>
      <c r="V19" s="301">
        <v>5.5</v>
      </c>
      <c r="W19" s="218"/>
      <c r="X19" s="218"/>
      <c r="Y19" s="218"/>
      <c r="AA19" s="293">
        <f t="shared" ref="AA19:AE19" si="9">AVERAGE(AA16:AA18)</f>
        <v>21.66666667</v>
      </c>
      <c r="AB19" s="293">
        <f t="shared" si="9"/>
        <v>22</v>
      </c>
      <c r="AC19" s="293">
        <f t="shared" si="9"/>
        <v>21.33333333</v>
      </c>
      <c r="AD19" s="293">
        <f t="shared" si="9"/>
        <v>19.33333333</v>
      </c>
      <c r="AE19" s="293">
        <f t="shared" si="9"/>
        <v>17.33333333</v>
      </c>
    </row>
    <row r="20">
      <c r="E20" s="118"/>
      <c r="F20" s="118"/>
      <c r="G20" s="118"/>
      <c r="H20" s="118"/>
      <c r="I20" s="118"/>
      <c r="J20" s="118"/>
      <c r="R20" s="234">
        <f>AVERAGE(R17:R19)</f>
        <v>7.833333333</v>
      </c>
      <c r="T20" s="53"/>
      <c r="U20" s="291" t="s">
        <v>470</v>
      </c>
      <c r="V20" s="301">
        <v>4.9</v>
      </c>
      <c r="W20" s="218"/>
      <c r="X20" s="218"/>
      <c r="Y20" s="218"/>
    </row>
    <row r="21">
      <c r="E21" s="118"/>
      <c r="F21" s="118"/>
      <c r="G21" s="118"/>
      <c r="H21" s="118"/>
      <c r="I21" s="118"/>
      <c r="J21" s="118"/>
      <c r="K21" s="119"/>
      <c r="O21" s="3" t="s">
        <v>791</v>
      </c>
      <c r="T21" s="55"/>
      <c r="U21" s="55"/>
      <c r="V21" s="294"/>
    </row>
    <row r="22">
      <c r="A22" s="3"/>
      <c r="B22" s="12"/>
      <c r="C22" s="12"/>
      <c r="D22" s="13"/>
      <c r="E22" s="13"/>
      <c r="F22" s="13"/>
      <c r="G22" s="13"/>
      <c r="H22" s="13"/>
      <c r="I22" s="13"/>
      <c r="J22" s="13"/>
      <c r="K22" s="13"/>
      <c r="U22" s="295"/>
      <c r="V22" s="293">
        <f>AVERAGE(V18:V21)</f>
        <v>5.466666667</v>
      </c>
    </row>
    <row r="23">
      <c r="R23" s="4"/>
      <c r="T23" s="55"/>
    </row>
    <row r="24">
      <c r="Q24" s="4" t="s">
        <v>350</v>
      </c>
      <c r="R24" s="4" t="s">
        <v>353</v>
      </c>
      <c r="S24" s="4" t="s">
        <v>355</v>
      </c>
      <c r="T24" s="4" t="s">
        <v>581</v>
      </c>
    </row>
    <row r="25">
      <c r="P25" s="4" t="s">
        <v>62</v>
      </c>
      <c r="Q25" s="284">
        <v>96.5</v>
      </c>
      <c r="R25" s="236"/>
      <c r="S25" s="24"/>
      <c r="T25" s="226">
        <f t="shared" ref="T25:T27" si="10">AVERAGE(Q25:S25)</f>
        <v>96.5</v>
      </c>
    </row>
    <row r="26">
      <c r="P26" s="4" t="s">
        <v>28</v>
      </c>
      <c r="Q26" s="284">
        <v>75.5</v>
      </c>
      <c r="R26" s="236"/>
      <c r="S26" s="116"/>
      <c r="T26" s="226">
        <f t="shared" si="10"/>
        <v>75.5</v>
      </c>
    </row>
    <row r="27">
      <c r="P27" s="4" t="s">
        <v>582</v>
      </c>
      <c r="Q27" s="284">
        <v>63.9</v>
      </c>
      <c r="R27" s="236"/>
      <c r="S27" s="24"/>
      <c r="T27" s="226">
        <f t="shared" si="10"/>
        <v>63.9</v>
      </c>
    </row>
    <row r="28">
      <c r="P28" s="4" t="s">
        <v>583</v>
      </c>
      <c r="Q28" s="302">
        <f>Q26-Q27</f>
        <v>11.6</v>
      </c>
      <c r="R28" s="192"/>
      <c r="S28" s="192"/>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3" si="11">W38*$X$36</f>
        <v>0.024</v>
      </c>
      <c r="Y38" s="212">
        <f t="shared" ref="Y38:Y43" si="12">W38*$Y$36</f>
        <v>0.072</v>
      </c>
    </row>
    <row r="39">
      <c r="N39" s="3" t="s">
        <v>595</v>
      </c>
      <c r="Q39" s="3" t="s">
        <v>596</v>
      </c>
      <c r="V39" s="99" t="s">
        <v>540</v>
      </c>
      <c r="W39" s="4">
        <v>0.055</v>
      </c>
      <c r="X39" s="212">
        <f t="shared" si="11"/>
        <v>0.0055</v>
      </c>
      <c r="Y39" s="212">
        <f t="shared" si="12"/>
        <v>0.0165</v>
      </c>
      <c r="Z39" s="49" t="s">
        <v>541</v>
      </c>
    </row>
    <row r="40">
      <c r="N40" s="3" t="s">
        <v>597</v>
      </c>
      <c r="Q40" s="3" t="s">
        <v>598</v>
      </c>
      <c r="V40" s="3" t="s">
        <v>542</v>
      </c>
      <c r="W40" s="4">
        <v>0.1</v>
      </c>
      <c r="X40" s="212">
        <f t="shared" si="11"/>
        <v>0.01</v>
      </c>
      <c r="Y40" s="212">
        <f t="shared" si="12"/>
        <v>0.03</v>
      </c>
      <c r="AA40" s="3" t="s">
        <v>688</v>
      </c>
    </row>
    <row r="41">
      <c r="N41" s="3" t="s">
        <v>599</v>
      </c>
      <c r="Q41" s="3" t="s">
        <v>600</v>
      </c>
      <c r="V41" s="3" t="s">
        <v>543</v>
      </c>
      <c r="W41" s="4">
        <f>(0.05+0.1)/2</f>
        <v>0.075</v>
      </c>
      <c r="X41" s="212">
        <f t="shared" si="11"/>
        <v>0.0075</v>
      </c>
      <c r="Y41" s="212">
        <f t="shared" si="12"/>
        <v>0.0225</v>
      </c>
      <c r="AA41" s="3" t="s">
        <v>689</v>
      </c>
    </row>
    <row r="42">
      <c r="V42" s="3" t="s">
        <v>545</v>
      </c>
      <c r="W42" s="4">
        <v>0.05</v>
      </c>
      <c r="X42" s="212">
        <f t="shared" si="11"/>
        <v>0.005</v>
      </c>
      <c r="Y42" s="212">
        <f t="shared" si="12"/>
        <v>0.015</v>
      </c>
      <c r="AA42" s="3" t="s">
        <v>690</v>
      </c>
    </row>
    <row r="43">
      <c r="N43" s="3" t="s">
        <v>601</v>
      </c>
      <c r="Q43" s="3" t="s">
        <v>602</v>
      </c>
      <c r="V43" s="3" t="s">
        <v>558</v>
      </c>
      <c r="W43" s="4">
        <v>0.2</v>
      </c>
      <c r="X43" s="212">
        <f t="shared" si="11"/>
        <v>0.02</v>
      </c>
      <c r="Y43" s="212">
        <f t="shared" si="12"/>
        <v>0.06</v>
      </c>
      <c r="AA43" s="3" t="s">
        <v>691</v>
      </c>
    </row>
    <row r="44">
      <c r="Q44" s="3" t="s">
        <v>603</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824</v>
      </c>
      <c r="Q51" s="3" t="s">
        <v>825</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826</v>
      </c>
    </row>
    <row r="60">
      <c r="Q60" s="3" t="s">
        <v>623</v>
      </c>
    </row>
    <row r="61">
      <c r="Q61" s="3" t="s">
        <v>616</v>
      </c>
    </row>
    <row r="62">
      <c r="Q62" s="3" t="s">
        <v>618</v>
      </c>
    </row>
    <row r="64">
      <c r="P64" s="218" t="s">
        <v>619</v>
      </c>
      <c r="Q64" s="31" t="s">
        <v>624</v>
      </c>
    </row>
  </sheetData>
  <hyperlinks>
    <hyperlink r:id="rId1" ref="Z39"/>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45596.0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266">
        <v>96.0</v>
      </c>
      <c r="T3" s="248">
        <f t="shared" ref="T3:T7" si="2">AVERAGE(P3:S3)</f>
        <v>91.675</v>
      </c>
      <c r="U3" s="265">
        <v>96.0</v>
      </c>
      <c r="V3" s="265">
        <v>101.0</v>
      </c>
      <c r="W3" s="265">
        <v>105.0</v>
      </c>
      <c r="X3" s="266">
        <v>106.0</v>
      </c>
      <c r="Y3" s="248">
        <f t="shared" ref="Y3:Y7" si="3">AVERAGE(U3:X3)</f>
        <v>102</v>
      </c>
      <c r="AG3" s="3" t="s">
        <v>798</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64">
        <v>75.0</v>
      </c>
      <c r="T4" s="248">
        <f t="shared" si="2"/>
        <v>80.65</v>
      </c>
      <c r="U4" s="264">
        <v>75.0</v>
      </c>
      <c r="V4" s="264">
        <v>75.0</v>
      </c>
      <c r="W4" s="264">
        <v>74.0</v>
      </c>
      <c r="X4" s="264">
        <v>73.0</v>
      </c>
      <c r="Y4" s="248">
        <f t="shared" si="3"/>
        <v>74.25</v>
      </c>
      <c r="Z4" s="3" t="s">
        <v>827</v>
      </c>
      <c r="AG4" s="3" t="s">
        <v>800</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64">
        <f>S4-S6</f>
        <v>63</v>
      </c>
      <c r="T5" s="248">
        <f t="shared" si="2"/>
        <v>66.5</v>
      </c>
      <c r="U5" s="264">
        <f t="shared" ref="U5:X5" si="4">U4-U6</f>
        <v>63</v>
      </c>
      <c r="V5" s="264">
        <f t="shared" si="4"/>
        <v>63</v>
      </c>
      <c r="W5" s="264">
        <f t="shared" si="4"/>
        <v>62</v>
      </c>
      <c r="X5" s="264">
        <f t="shared" si="4"/>
        <v>61</v>
      </c>
      <c r="Y5" s="248">
        <f t="shared" si="3"/>
        <v>62.25</v>
      </c>
      <c r="AG5" s="3" t="s">
        <v>802</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64">
        <v>12.0</v>
      </c>
      <c r="T6" s="248">
        <f t="shared" si="2"/>
        <v>14.15</v>
      </c>
      <c r="U6" s="264">
        <v>12.0</v>
      </c>
      <c r="V6" s="264">
        <v>12.0</v>
      </c>
      <c r="W6" s="264">
        <v>12.0</v>
      </c>
      <c r="X6" s="264">
        <v>12.0</v>
      </c>
      <c r="Y6" s="248">
        <f t="shared" si="3"/>
        <v>12</v>
      </c>
      <c r="Z6" s="3" t="s">
        <v>828</v>
      </c>
      <c r="AG6" s="3" t="s">
        <v>803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67">
        <v>8.4</v>
      </c>
      <c r="T7" s="258">
        <f t="shared" si="2"/>
        <v>8.325</v>
      </c>
      <c r="U7" s="268">
        <v>8.2</v>
      </c>
      <c r="V7" s="268">
        <v>7.6</v>
      </c>
      <c r="W7" s="268">
        <v>7.3</v>
      </c>
      <c r="X7" s="267">
        <v>6.2</v>
      </c>
      <c r="Y7" s="258">
        <f t="shared" si="3"/>
        <v>7.325</v>
      </c>
      <c r="Z7" s="3" t="s">
        <v>829</v>
      </c>
      <c r="AG7" s="3" t="s">
        <v>805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69">
        <v>23.0</v>
      </c>
      <c r="T8" s="258">
        <v>17.5</v>
      </c>
      <c r="U8" s="270">
        <v>23.0</v>
      </c>
      <c r="V8" s="270">
        <v>22.0</v>
      </c>
      <c r="W8" s="270">
        <v>21.0</v>
      </c>
      <c r="X8" s="269">
        <v>19.0</v>
      </c>
      <c r="Y8" s="258">
        <v>21.8</v>
      </c>
      <c r="AG8" s="3" t="s">
        <v>807</v>
      </c>
    </row>
    <row r="9" hidden="1">
      <c r="A9" s="252" t="s">
        <v>766</v>
      </c>
      <c r="E9" s="114"/>
      <c r="F9" s="115"/>
      <c r="G9" s="115"/>
      <c r="H9" s="115"/>
      <c r="I9" s="112"/>
      <c r="J9" s="112"/>
      <c r="T9" s="103"/>
      <c r="U9" s="54"/>
      <c r="V9" s="287" t="s">
        <v>767</v>
      </c>
      <c r="W9" s="54"/>
      <c r="X9" s="54"/>
      <c r="Y9" s="103"/>
    </row>
    <row r="10">
      <c r="E10" s="114"/>
      <c r="F10" s="115"/>
      <c r="G10" s="115"/>
      <c r="H10" s="115"/>
      <c r="I10" s="112"/>
      <c r="J10" s="112"/>
      <c r="O10" s="4" t="s">
        <v>785</v>
      </c>
      <c r="R10" s="218" t="s">
        <v>786</v>
      </c>
      <c r="S10" s="298">
        <v>95.0</v>
      </c>
      <c r="T10" s="299"/>
      <c r="U10" s="298">
        <v>95.0</v>
      </c>
      <c r="V10" s="298">
        <v>101.0</v>
      </c>
      <c r="W10" s="298">
        <v>104.0</v>
      </c>
      <c r="X10" s="298">
        <v>104.0</v>
      </c>
      <c r="Y10" s="215"/>
      <c r="AG10" s="3" t="s">
        <v>808</v>
      </c>
    </row>
    <row r="11">
      <c r="E11" s="114"/>
      <c r="F11" s="115"/>
      <c r="G11" s="115"/>
      <c r="H11" s="115"/>
      <c r="I11" s="112" t="s">
        <v>406</v>
      </c>
      <c r="J11" s="112" t="s">
        <v>406</v>
      </c>
      <c r="N11" s="218" t="s">
        <v>830</v>
      </c>
      <c r="O11" s="242">
        <v>74.0</v>
      </c>
      <c r="R11" s="218" t="s">
        <v>831</v>
      </c>
      <c r="S11" s="242">
        <v>98.0</v>
      </c>
      <c r="U11" s="242">
        <v>98.0</v>
      </c>
      <c r="V11" s="242">
        <v>101.0</v>
      </c>
      <c r="W11" s="242">
        <v>105.0</v>
      </c>
      <c r="X11" s="242">
        <v>108.0</v>
      </c>
      <c r="Y11" s="215"/>
      <c r="AG11" s="3" t="s">
        <v>812</v>
      </c>
    </row>
    <row r="12">
      <c r="E12" s="114" t="s">
        <v>241</v>
      </c>
      <c r="F12" s="115" t="s">
        <v>242</v>
      </c>
      <c r="G12" s="115" t="s">
        <v>242</v>
      </c>
      <c r="H12" s="115" t="s">
        <v>194</v>
      </c>
      <c r="I12" s="115" t="s">
        <v>148</v>
      </c>
      <c r="N12" s="218" t="s">
        <v>469</v>
      </c>
      <c r="O12" s="242">
        <v>76.0</v>
      </c>
      <c r="R12" s="218" t="s">
        <v>469</v>
      </c>
      <c r="S12" s="242">
        <v>96.0</v>
      </c>
      <c r="U12" s="242">
        <v>95.0</v>
      </c>
      <c r="V12" s="242">
        <v>101.0</v>
      </c>
      <c r="W12" s="242">
        <v>105.0</v>
      </c>
      <c r="X12" s="242">
        <v>107.0</v>
      </c>
      <c r="Y12" s="215"/>
      <c r="AG12" s="3" t="s">
        <v>814</v>
      </c>
    </row>
    <row r="13">
      <c r="C13" s="4">
        <v>5.7</v>
      </c>
      <c r="D13" s="4">
        <v>6.5</v>
      </c>
      <c r="E13" s="62">
        <v>7.4</v>
      </c>
      <c r="F13" s="54">
        <v>8.1</v>
      </c>
      <c r="G13" s="54"/>
      <c r="H13" s="62"/>
      <c r="I13" s="62"/>
      <c r="J13" s="62"/>
      <c r="N13" s="218" t="s">
        <v>470</v>
      </c>
      <c r="O13" s="242">
        <v>76.0</v>
      </c>
      <c r="R13" s="218" t="s">
        <v>470</v>
      </c>
      <c r="S13" s="242">
        <v>95.0</v>
      </c>
      <c r="U13" s="300">
        <v>95.0</v>
      </c>
      <c r="V13" s="300">
        <v>101.0</v>
      </c>
      <c r="W13" s="300">
        <v>104.0</v>
      </c>
      <c r="X13" s="300">
        <v>104.0</v>
      </c>
      <c r="AG13" s="3" t="s">
        <v>815</v>
      </c>
    </row>
    <row r="14">
      <c r="D14" s="111" t="s">
        <v>241</v>
      </c>
      <c r="E14" s="117">
        <v>7.0</v>
      </c>
      <c r="F14" s="112">
        <v>7.3</v>
      </c>
      <c r="G14" s="112"/>
      <c r="H14" s="112"/>
      <c r="I14" s="117"/>
      <c r="J14" s="112"/>
      <c r="N14" s="54"/>
      <c r="O14" s="54"/>
      <c r="R14" s="54"/>
      <c r="S14" s="54"/>
      <c r="T14" s="288"/>
      <c r="U14" s="54"/>
      <c r="V14" s="54"/>
      <c r="W14" s="54"/>
      <c r="X14" s="54"/>
      <c r="AG14" s="3" t="s">
        <v>816</v>
      </c>
    </row>
    <row r="15">
      <c r="C15" s="10"/>
      <c r="D15" s="10"/>
      <c r="E15" s="10"/>
      <c r="F15" s="10"/>
      <c r="G15" s="10"/>
      <c r="H15" s="10"/>
      <c r="I15" s="10"/>
      <c r="J15" s="10"/>
      <c r="N15" s="54"/>
      <c r="O15" s="234">
        <f>AVERAGE(O11:O14)</f>
        <v>75.33333333</v>
      </c>
      <c r="R15" s="54"/>
      <c r="S15" s="234">
        <f>AVERAGE(S11:S14)</f>
        <v>96.33333333</v>
      </c>
      <c r="U15" s="234">
        <f t="shared" ref="U15:X15" si="8">AVERAGE(U11:U14)</f>
        <v>96</v>
      </c>
      <c r="V15" s="234">
        <f t="shared" si="8"/>
        <v>101</v>
      </c>
      <c r="W15" s="234">
        <f t="shared" si="8"/>
        <v>104.6666667</v>
      </c>
      <c r="X15" s="234">
        <f t="shared" si="8"/>
        <v>106.3333333</v>
      </c>
      <c r="Z15" s="31" t="s">
        <v>286</v>
      </c>
      <c r="AA15" s="61" t="s">
        <v>632</v>
      </c>
      <c r="AB15" s="61" t="s">
        <v>762</v>
      </c>
      <c r="AC15" s="61" t="s">
        <v>763</v>
      </c>
      <c r="AD15" s="61" t="s">
        <v>764</v>
      </c>
      <c r="AE15" s="61" t="s">
        <v>765</v>
      </c>
      <c r="AG15" s="3" t="s">
        <v>817</v>
      </c>
    </row>
    <row r="16">
      <c r="E16" s="118"/>
      <c r="F16" s="118"/>
      <c r="G16" s="118"/>
      <c r="H16" s="118"/>
      <c r="I16" s="118"/>
      <c r="J16" s="118"/>
      <c r="N16" s="54"/>
      <c r="Q16" s="218" t="s">
        <v>786</v>
      </c>
      <c r="R16" s="9">
        <v>7.9</v>
      </c>
      <c r="S16" s="55"/>
      <c r="Z16" s="3" t="s">
        <v>468</v>
      </c>
      <c r="AA16" s="276">
        <v>23.0</v>
      </c>
      <c r="AB16" s="276">
        <v>23.0</v>
      </c>
      <c r="AC16" s="276">
        <v>23.0</v>
      </c>
      <c r="AD16" s="276">
        <v>23.0</v>
      </c>
      <c r="AE16" s="276">
        <v>23.0</v>
      </c>
      <c r="AG16" s="3" t="s">
        <v>818</v>
      </c>
    </row>
    <row r="17">
      <c r="E17" s="118"/>
      <c r="F17" s="118"/>
      <c r="G17" s="118"/>
      <c r="H17" s="118"/>
      <c r="I17" s="118"/>
      <c r="J17" s="118"/>
      <c r="N17" s="54"/>
      <c r="Q17" s="218" t="s">
        <v>832</v>
      </c>
      <c r="R17" s="243">
        <v>8.6</v>
      </c>
      <c r="T17" s="53"/>
      <c r="U17" s="290" t="s">
        <v>786</v>
      </c>
      <c r="V17" s="225">
        <v>6.1</v>
      </c>
      <c r="W17" s="218"/>
      <c r="X17" s="218"/>
      <c r="Y17" s="218"/>
      <c r="Z17" s="3" t="s">
        <v>469</v>
      </c>
      <c r="AA17" s="280">
        <v>23.0</v>
      </c>
      <c r="AB17" s="280">
        <v>23.0</v>
      </c>
      <c r="AC17" s="280">
        <v>23.0</v>
      </c>
      <c r="AD17" s="280">
        <v>20.0</v>
      </c>
      <c r="AE17" s="280">
        <v>18.0</v>
      </c>
      <c r="AG17" s="3" t="s">
        <v>821</v>
      </c>
    </row>
    <row r="18">
      <c r="E18" s="118"/>
      <c r="F18" s="118"/>
      <c r="G18" s="118"/>
      <c r="H18" s="118"/>
      <c r="I18" s="118"/>
      <c r="J18" s="118"/>
      <c r="Q18" s="218" t="s">
        <v>469</v>
      </c>
      <c r="R18" s="243">
        <v>8.5</v>
      </c>
      <c r="T18" s="53"/>
      <c r="U18" s="291" t="s">
        <v>833</v>
      </c>
      <c r="V18" s="301">
        <v>6.5</v>
      </c>
      <c r="W18" s="218"/>
      <c r="X18" s="218"/>
      <c r="Y18" s="218"/>
      <c r="Z18" s="3" t="s">
        <v>470</v>
      </c>
      <c r="AA18" s="276">
        <v>23.0</v>
      </c>
      <c r="AB18" s="276">
        <v>23.0</v>
      </c>
      <c r="AC18" s="276">
        <v>21.0</v>
      </c>
      <c r="AD18" s="276">
        <v>19.0</v>
      </c>
      <c r="AE18" s="276">
        <v>17.0</v>
      </c>
      <c r="AG18" s="3" t="s">
        <v>823</v>
      </c>
    </row>
    <row r="19">
      <c r="E19" s="118"/>
      <c r="F19" s="118"/>
      <c r="G19" s="118"/>
      <c r="H19" s="118"/>
      <c r="I19" s="118"/>
      <c r="J19" s="118"/>
      <c r="N19" s="218"/>
      <c r="Q19" s="291" t="s">
        <v>470</v>
      </c>
      <c r="R19" s="243">
        <v>8.0</v>
      </c>
      <c r="T19" s="53"/>
      <c r="U19" s="291" t="s">
        <v>469</v>
      </c>
      <c r="V19" s="301">
        <v>6.1</v>
      </c>
      <c r="W19" s="218"/>
      <c r="X19" s="218"/>
      <c r="Y19" s="218"/>
      <c r="AA19" s="293">
        <f t="shared" ref="AA19:AE19" si="9">AVERAGE(AA16:AA18)</f>
        <v>23</v>
      </c>
      <c r="AB19" s="293">
        <f t="shared" si="9"/>
        <v>23</v>
      </c>
      <c r="AC19" s="293">
        <f t="shared" si="9"/>
        <v>22.33333333</v>
      </c>
      <c r="AD19" s="293">
        <f t="shared" si="9"/>
        <v>20.66666667</v>
      </c>
      <c r="AE19" s="293">
        <f t="shared" si="9"/>
        <v>19.33333333</v>
      </c>
    </row>
    <row r="20">
      <c r="E20" s="118"/>
      <c r="F20" s="118"/>
      <c r="G20" s="118"/>
      <c r="H20" s="118"/>
      <c r="I20" s="118"/>
      <c r="J20" s="118"/>
      <c r="R20" s="234">
        <f>AVERAGE(R17:R19)</f>
        <v>8.366666667</v>
      </c>
      <c r="T20" s="53"/>
      <c r="U20" s="291" t="s">
        <v>470</v>
      </c>
      <c r="V20" s="301">
        <v>6.1</v>
      </c>
      <c r="W20" s="218"/>
      <c r="X20" s="218"/>
      <c r="Y20" s="218"/>
    </row>
    <row r="21">
      <c r="E21" s="118"/>
      <c r="F21" s="118"/>
      <c r="G21" s="118"/>
      <c r="H21" s="118"/>
      <c r="I21" s="118"/>
      <c r="J21" s="118"/>
      <c r="O21" s="3" t="s">
        <v>791</v>
      </c>
      <c r="T21" s="55"/>
      <c r="U21" s="55"/>
      <c r="V21" s="294"/>
    </row>
    <row r="22">
      <c r="A22" s="3"/>
      <c r="B22" s="12"/>
      <c r="C22" s="12"/>
      <c r="D22" s="13"/>
      <c r="E22" s="13"/>
      <c r="F22" s="13"/>
      <c r="G22" s="13"/>
      <c r="H22" s="13"/>
      <c r="I22" s="13"/>
      <c r="J22" s="13"/>
      <c r="U22" s="295"/>
      <c r="V22" s="293">
        <f>AVERAGE(V18:V21)</f>
        <v>6.233333333</v>
      </c>
      <c r="Y22" s="32">
        <v>2025.0</v>
      </c>
    </row>
    <row r="23">
      <c r="R23" s="4"/>
      <c r="T23" s="55"/>
      <c r="X23" s="218" t="s">
        <v>786</v>
      </c>
      <c r="Y23" s="289">
        <v>-0.3</v>
      </c>
    </row>
    <row r="24">
      <c r="Q24" s="4" t="s">
        <v>350</v>
      </c>
      <c r="R24" s="4" t="s">
        <v>353</v>
      </c>
      <c r="S24" s="4" t="s">
        <v>355</v>
      </c>
      <c r="T24" s="4" t="s">
        <v>581</v>
      </c>
      <c r="X24" s="218" t="s">
        <v>834</v>
      </c>
      <c r="Y24" s="242">
        <v>2.5</v>
      </c>
    </row>
    <row r="25">
      <c r="P25" s="4" t="s">
        <v>62</v>
      </c>
      <c r="Q25" s="284">
        <v>96.5</v>
      </c>
      <c r="R25" s="236"/>
      <c r="S25" s="24"/>
      <c r="T25" s="226">
        <f t="shared" ref="T25:T27" si="10">AVERAGE(Q25:S25)</f>
        <v>96.5</v>
      </c>
      <c r="X25" s="218" t="s">
        <v>469</v>
      </c>
      <c r="Y25" s="243">
        <v>1.0</v>
      </c>
    </row>
    <row r="26">
      <c r="P26" s="4" t="s">
        <v>28</v>
      </c>
      <c r="Q26" s="284">
        <v>75.5</v>
      </c>
      <c r="R26" s="236">
        <v>72.0</v>
      </c>
      <c r="S26" s="116">
        <v>74.0</v>
      </c>
      <c r="T26" s="226">
        <f t="shared" si="10"/>
        <v>73.83333333</v>
      </c>
      <c r="X26" s="218" t="s">
        <v>470</v>
      </c>
      <c r="Y26" s="243">
        <v>0.0</v>
      </c>
    </row>
    <row r="27">
      <c r="P27" s="4" t="s">
        <v>582</v>
      </c>
      <c r="Q27" s="284">
        <v>63.9</v>
      </c>
      <c r="R27" s="236"/>
      <c r="S27" s="24"/>
      <c r="T27" s="226">
        <f t="shared" si="10"/>
        <v>63.9</v>
      </c>
      <c r="X27" s="54"/>
      <c r="Y27" s="54"/>
    </row>
    <row r="28">
      <c r="P28" s="4" t="s">
        <v>583</v>
      </c>
      <c r="Q28" s="302">
        <f>Q26-Q27</f>
        <v>11.6</v>
      </c>
      <c r="R28" s="192"/>
      <c r="S28" s="192"/>
      <c r="X28" s="54"/>
      <c r="Y28" s="234">
        <f>AVERAGE(Y24:Y27)</f>
        <v>1.166666667</v>
      </c>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4" si="11">W38*$X$36</f>
        <v>0.024</v>
      </c>
      <c r="Y38" s="212">
        <f t="shared" ref="Y38:Y44" si="12">W38*$Y$36</f>
        <v>0.072</v>
      </c>
    </row>
    <row r="39">
      <c r="N39" s="3" t="s">
        <v>595</v>
      </c>
      <c r="Q39" s="3" t="s">
        <v>596</v>
      </c>
      <c r="V39" s="99" t="s">
        <v>540</v>
      </c>
      <c r="W39" s="4">
        <v>0.055</v>
      </c>
      <c r="X39" s="212">
        <f t="shared" si="11"/>
        <v>0.0055</v>
      </c>
      <c r="Y39" s="212">
        <f t="shared" si="12"/>
        <v>0.0165</v>
      </c>
      <c r="Z39" s="49" t="s">
        <v>541</v>
      </c>
    </row>
    <row r="40">
      <c r="N40" s="3" t="s">
        <v>597</v>
      </c>
      <c r="Q40" s="3" t="s">
        <v>598</v>
      </c>
      <c r="V40" s="3" t="s">
        <v>835</v>
      </c>
      <c r="W40" s="4">
        <v>0.125</v>
      </c>
      <c r="X40" s="212">
        <f t="shared" si="11"/>
        <v>0.0125</v>
      </c>
      <c r="Y40" s="212">
        <f t="shared" si="12"/>
        <v>0.0375</v>
      </c>
      <c r="AA40" s="3" t="s">
        <v>688</v>
      </c>
    </row>
    <row r="41">
      <c r="N41" s="3" t="s">
        <v>599</v>
      </c>
      <c r="Q41" s="3" t="s">
        <v>600</v>
      </c>
      <c r="V41" s="3" t="s">
        <v>542</v>
      </c>
      <c r="W41" s="4">
        <v>0.1</v>
      </c>
      <c r="X41" s="212">
        <f t="shared" si="11"/>
        <v>0.01</v>
      </c>
      <c r="Y41" s="212">
        <f t="shared" si="12"/>
        <v>0.03</v>
      </c>
      <c r="AA41" s="3" t="s">
        <v>689</v>
      </c>
    </row>
    <row r="42">
      <c r="V42" s="3" t="s">
        <v>543</v>
      </c>
      <c r="W42" s="4">
        <f>(0.05+0.1)/2</f>
        <v>0.075</v>
      </c>
      <c r="X42" s="212">
        <f t="shared" si="11"/>
        <v>0.0075</v>
      </c>
      <c r="Y42" s="212">
        <f t="shared" si="12"/>
        <v>0.0225</v>
      </c>
      <c r="AA42" s="3" t="s">
        <v>690</v>
      </c>
    </row>
    <row r="43">
      <c r="N43" s="3" t="s">
        <v>601</v>
      </c>
      <c r="Q43" s="3" t="s">
        <v>602</v>
      </c>
      <c r="V43" s="3" t="s">
        <v>545</v>
      </c>
      <c r="W43" s="4">
        <v>0.05</v>
      </c>
      <c r="X43" s="212">
        <f t="shared" si="11"/>
        <v>0.005</v>
      </c>
      <c r="Y43" s="212">
        <f t="shared" si="12"/>
        <v>0.015</v>
      </c>
      <c r="AA43" s="3" t="s">
        <v>691</v>
      </c>
    </row>
    <row r="44">
      <c r="Q44" s="3" t="s">
        <v>603</v>
      </c>
      <c r="V44" s="3" t="s">
        <v>558</v>
      </c>
      <c r="W44" s="4">
        <v>0.2</v>
      </c>
      <c r="X44" s="212">
        <f t="shared" si="11"/>
        <v>0.02</v>
      </c>
      <c r="Y44" s="212">
        <f t="shared" si="12"/>
        <v>0.06</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836</v>
      </c>
      <c r="Q51" s="3" t="s">
        <v>837</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838</v>
      </c>
    </row>
    <row r="60">
      <c r="Q60" s="3" t="s">
        <v>623</v>
      </c>
    </row>
    <row r="61">
      <c r="Q61" s="3" t="s">
        <v>616</v>
      </c>
    </row>
    <row r="62">
      <c r="Q62" s="3" t="s">
        <v>618</v>
      </c>
    </row>
    <row r="64">
      <c r="P64" s="218" t="s">
        <v>619</v>
      </c>
      <c r="Q64" s="31" t="s">
        <v>624</v>
      </c>
    </row>
  </sheetData>
  <hyperlinks>
    <hyperlink r:id="rId1" ref="Z39"/>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45631.0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266">
        <v>100.0</v>
      </c>
      <c r="T3" s="248">
        <f t="shared" ref="T3:T7" si="2">AVERAGE(P3:S3)</f>
        <v>92.675</v>
      </c>
      <c r="U3" s="265">
        <v>101.0</v>
      </c>
      <c r="V3" s="265">
        <v>105.0</v>
      </c>
      <c r="W3" s="265">
        <v>107.0</v>
      </c>
      <c r="X3" s="266">
        <v>109.0</v>
      </c>
      <c r="Y3" s="248">
        <f t="shared" ref="Y3:Y7" si="3">AVERAGE(U3:X3)</f>
        <v>105.5</v>
      </c>
      <c r="Z3" s="3" t="s">
        <v>839</v>
      </c>
      <c r="AG3" s="3" t="s">
        <v>798</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64">
        <v>74.0</v>
      </c>
      <c r="T4" s="248">
        <f t="shared" si="2"/>
        <v>80.4</v>
      </c>
      <c r="U4" s="264">
        <v>74.0</v>
      </c>
      <c r="V4" s="264">
        <v>74.0</v>
      </c>
      <c r="W4" s="264">
        <v>73.0</v>
      </c>
      <c r="X4" s="264">
        <v>72.0</v>
      </c>
      <c r="Y4" s="248">
        <f t="shared" si="3"/>
        <v>73.25</v>
      </c>
      <c r="Z4" s="3" t="s">
        <v>840</v>
      </c>
      <c r="AG4" s="3" t="s">
        <v>800</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64">
        <f>S4-S6</f>
        <v>63</v>
      </c>
      <c r="T5" s="248">
        <f t="shared" si="2"/>
        <v>66.5</v>
      </c>
      <c r="U5" s="264">
        <f t="shared" ref="U5:X5" si="4">U4-U6</f>
        <v>63</v>
      </c>
      <c r="V5" s="264">
        <f t="shared" si="4"/>
        <v>63</v>
      </c>
      <c r="W5" s="264">
        <f t="shared" si="4"/>
        <v>62</v>
      </c>
      <c r="X5" s="264">
        <f t="shared" si="4"/>
        <v>61</v>
      </c>
      <c r="Y5" s="248">
        <f t="shared" si="3"/>
        <v>62.25</v>
      </c>
      <c r="Z5" s="3" t="s">
        <v>841</v>
      </c>
      <c r="AG5" s="3" t="s">
        <v>802</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64">
        <v>11.0</v>
      </c>
      <c r="T6" s="248">
        <f t="shared" si="2"/>
        <v>13.9</v>
      </c>
      <c r="U6" s="264">
        <v>11.0</v>
      </c>
      <c r="V6" s="264">
        <v>11.0</v>
      </c>
      <c r="W6" s="264">
        <v>11.0</v>
      </c>
      <c r="X6" s="264">
        <v>11.0</v>
      </c>
      <c r="Y6" s="248">
        <f t="shared" si="3"/>
        <v>11</v>
      </c>
      <c r="Z6" s="3" t="s">
        <v>842</v>
      </c>
      <c r="AG6" s="3" t="s">
        <v>803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67">
        <v>9.1</v>
      </c>
      <c r="T7" s="258">
        <f t="shared" si="2"/>
        <v>8.5</v>
      </c>
      <c r="U7" s="268"/>
      <c r="V7" s="268"/>
      <c r="W7" s="268"/>
      <c r="X7" s="267">
        <v>6.7</v>
      </c>
      <c r="Y7" s="258">
        <f t="shared" si="3"/>
        <v>6.7</v>
      </c>
      <c r="Z7" s="3" t="s">
        <v>843</v>
      </c>
      <c r="AA7" s="4" t="s">
        <v>844</v>
      </c>
      <c r="AB7" s="3" t="s">
        <v>81</v>
      </c>
      <c r="AC7" s="3" t="s">
        <v>286</v>
      </c>
      <c r="AD7" s="3" t="s">
        <v>845</v>
      </c>
      <c r="AG7" s="3" t="s">
        <v>805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69">
        <v>24.0</v>
      </c>
      <c r="T8" s="258">
        <v>17.5</v>
      </c>
      <c r="U8" s="270">
        <v>24.0</v>
      </c>
      <c r="V8" s="270">
        <v>24.0</v>
      </c>
      <c r="W8" s="270">
        <v>23.0</v>
      </c>
      <c r="X8" s="269">
        <v>22.0</v>
      </c>
      <c r="Y8" s="258">
        <v>23.5</v>
      </c>
      <c r="AA8" s="3">
        <v>2024.0</v>
      </c>
      <c r="AB8" s="3" t="s">
        <v>303</v>
      </c>
      <c r="AC8" s="3" t="s">
        <v>846</v>
      </c>
      <c r="AD8" s="3" t="s">
        <v>847</v>
      </c>
      <c r="AG8" s="3" t="s">
        <v>807</v>
      </c>
    </row>
    <row r="9" hidden="1">
      <c r="A9" s="252" t="s">
        <v>766</v>
      </c>
      <c r="E9" s="114"/>
      <c r="F9" s="115"/>
      <c r="G9" s="115"/>
      <c r="H9" s="115"/>
      <c r="I9" s="112"/>
      <c r="J9" s="112"/>
      <c r="T9" s="103"/>
      <c r="U9" s="54"/>
      <c r="V9" s="287" t="s">
        <v>767</v>
      </c>
      <c r="W9" s="54"/>
      <c r="X9" s="54"/>
      <c r="Y9" s="103"/>
    </row>
    <row r="10">
      <c r="E10" s="114"/>
      <c r="F10" s="115"/>
      <c r="G10" s="115"/>
      <c r="H10" s="115"/>
      <c r="I10" s="112"/>
      <c r="J10" s="112"/>
      <c r="O10" s="4" t="s">
        <v>785</v>
      </c>
      <c r="R10" s="218" t="s">
        <v>786</v>
      </c>
      <c r="S10" s="298">
        <v>100.0</v>
      </c>
      <c r="T10" s="299"/>
      <c r="U10" s="298">
        <v>102.0</v>
      </c>
      <c r="V10" s="298">
        <v>105.0</v>
      </c>
      <c r="W10" s="298">
        <v>106.0</v>
      </c>
      <c r="X10" s="298">
        <v>107.0</v>
      </c>
      <c r="Y10" s="215"/>
      <c r="AA10" s="3">
        <v>2025.0</v>
      </c>
      <c r="AB10" s="3" t="s">
        <v>203</v>
      </c>
      <c r="AG10" s="3" t="s">
        <v>808</v>
      </c>
    </row>
    <row r="11">
      <c r="E11" s="114"/>
      <c r="F11" s="115"/>
      <c r="G11" s="115"/>
      <c r="H11" s="115"/>
      <c r="I11" s="112" t="s">
        <v>406</v>
      </c>
      <c r="J11" s="112" t="s">
        <v>406</v>
      </c>
      <c r="N11" s="218" t="s">
        <v>848</v>
      </c>
      <c r="O11" s="242">
        <v>74.0</v>
      </c>
      <c r="R11" s="218" t="s">
        <v>849</v>
      </c>
      <c r="S11" s="242">
        <v>100.0</v>
      </c>
      <c r="U11" s="242">
        <v>102.0</v>
      </c>
      <c r="V11" s="242">
        <v>105.0</v>
      </c>
      <c r="W11" s="242">
        <v>108.0</v>
      </c>
      <c r="X11" s="242">
        <v>112.0</v>
      </c>
      <c r="Y11" s="215"/>
      <c r="AA11" s="3" t="s">
        <v>850</v>
      </c>
      <c r="AG11" s="3" t="s">
        <v>812</v>
      </c>
    </row>
    <row r="12">
      <c r="E12" s="114" t="s">
        <v>241</v>
      </c>
      <c r="F12" s="115" t="s">
        <v>242</v>
      </c>
      <c r="G12" s="115" t="s">
        <v>242</v>
      </c>
      <c r="H12" s="115" t="s">
        <v>194</v>
      </c>
      <c r="I12" s="115" t="s">
        <v>148</v>
      </c>
      <c r="N12" s="218" t="s">
        <v>469</v>
      </c>
      <c r="O12" s="242">
        <v>74.0</v>
      </c>
      <c r="R12" s="218" t="s">
        <v>469</v>
      </c>
      <c r="S12" s="242">
        <v>100.0</v>
      </c>
      <c r="U12" s="242">
        <v>100.0</v>
      </c>
      <c r="V12" s="242">
        <v>105.0</v>
      </c>
      <c r="W12" s="242">
        <v>106.0</v>
      </c>
      <c r="X12" s="242">
        <v>107.0</v>
      </c>
      <c r="Y12" s="215"/>
      <c r="AA12" s="3" t="s">
        <v>851</v>
      </c>
      <c r="AG12" s="3" t="s">
        <v>814</v>
      </c>
    </row>
    <row r="13">
      <c r="C13" s="4">
        <v>5.7</v>
      </c>
      <c r="D13" s="4">
        <v>6.5</v>
      </c>
      <c r="E13" s="62">
        <v>7.4</v>
      </c>
      <c r="F13" s="54">
        <v>8.1</v>
      </c>
      <c r="G13" s="54"/>
      <c r="H13" s="62"/>
      <c r="I13" s="62"/>
      <c r="J13" s="62"/>
      <c r="N13" s="218" t="s">
        <v>470</v>
      </c>
      <c r="O13" s="242">
        <v>74.0</v>
      </c>
      <c r="R13" s="218" t="s">
        <v>470</v>
      </c>
      <c r="S13" s="242">
        <v>100.0</v>
      </c>
      <c r="U13" s="300">
        <v>102.0</v>
      </c>
      <c r="V13" s="300">
        <v>105.0</v>
      </c>
      <c r="W13" s="300">
        <v>106.0</v>
      </c>
      <c r="X13" s="300">
        <v>107.0</v>
      </c>
      <c r="AA13" s="3" t="s">
        <v>852</v>
      </c>
      <c r="AG13" s="3" t="s">
        <v>815</v>
      </c>
    </row>
    <row r="14">
      <c r="D14" s="111" t="s">
        <v>241</v>
      </c>
      <c r="E14" s="117">
        <v>7.0</v>
      </c>
      <c r="F14" s="112">
        <v>7.3</v>
      </c>
      <c r="G14" s="112"/>
      <c r="H14" s="112"/>
      <c r="I14" s="117"/>
      <c r="J14" s="112"/>
      <c r="N14" s="54"/>
      <c r="O14" s="54"/>
      <c r="R14" s="54"/>
      <c r="S14" s="54"/>
      <c r="T14" s="288"/>
      <c r="U14" s="54"/>
      <c r="V14" s="54"/>
      <c r="W14" s="54"/>
      <c r="X14" s="54"/>
      <c r="AG14" s="3" t="s">
        <v>816</v>
      </c>
    </row>
    <row r="15">
      <c r="C15" s="10"/>
      <c r="D15" s="10"/>
      <c r="E15" s="10"/>
      <c r="F15" s="10"/>
      <c r="G15" s="10"/>
      <c r="H15" s="10"/>
      <c r="I15" s="10"/>
      <c r="J15" s="10"/>
      <c r="N15" s="54"/>
      <c r="O15" s="234">
        <f>AVERAGE(O11:O14)</f>
        <v>74</v>
      </c>
      <c r="R15" s="54"/>
      <c r="S15" s="234">
        <f>AVERAGE(S11:S14)</f>
        <v>100</v>
      </c>
      <c r="U15" s="234">
        <f t="shared" ref="U15:X15" si="8">AVERAGE(U11:U14)</f>
        <v>101.3333333</v>
      </c>
      <c r="V15" s="234">
        <f t="shared" si="8"/>
        <v>105</v>
      </c>
      <c r="W15" s="234">
        <f t="shared" si="8"/>
        <v>106.6666667</v>
      </c>
      <c r="X15" s="234">
        <f t="shared" si="8"/>
        <v>108.6666667</v>
      </c>
      <c r="Z15" s="31" t="s">
        <v>286</v>
      </c>
      <c r="AA15" s="61" t="s">
        <v>632</v>
      </c>
      <c r="AB15" s="61" t="s">
        <v>762</v>
      </c>
      <c r="AC15" s="61" t="s">
        <v>763</v>
      </c>
      <c r="AD15" s="61" t="s">
        <v>764</v>
      </c>
      <c r="AE15" s="61" t="s">
        <v>765</v>
      </c>
      <c r="AG15" s="3" t="s">
        <v>817</v>
      </c>
    </row>
    <row r="16">
      <c r="E16" s="118"/>
      <c r="F16" s="118"/>
      <c r="G16" s="118"/>
      <c r="H16" s="118"/>
      <c r="I16" s="118"/>
      <c r="J16" s="118"/>
      <c r="N16" s="54"/>
      <c r="Q16" s="218" t="s">
        <v>786</v>
      </c>
      <c r="R16" s="9">
        <v>8.6</v>
      </c>
      <c r="S16" s="55"/>
      <c r="Z16" s="3" t="s">
        <v>468</v>
      </c>
      <c r="AA16" s="276">
        <v>25.0</v>
      </c>
      <c r="AB16" s="276">
        <v>25.0</v>
      </c>
      <c r="AC16" s="276">
        <v>25.0</v>
      </c>
      <c r="AD16" s="276">
        <v>25.0</v>
      </c>
      <c r="AE16" s="276">
        <v>25.0</v>
      </c>
      <c r="AG16" s="3" t="s">
        <v>818</v>
      </c>
    </row>
    <row r="17">
      <c r="E17" s="118"/>
      <c r="F17" s="118"/>
      <c r="G17" s="118"/>
      <c r="H17" s="118"/>
      <c r="I17" s="118"/>
      <c r="J17" s="118"/>
      <c r="N17" s="54"/>
      <c r="Q17" s="218" t="s">
        <v>853</v>
      </c>
      <c r="R17" s="243">
        <v>9.4</v>
      </c>
      <c r="T17" s="53"/>
      <c r="U17" s="290" t="s">
        <v>786</v>
      </c>
      <c r="V17" s="225">
        <v>6.5</v>
      </c>
      <c r="W17" s="218"/>
      <c r="X17" s="218"/>
      <c r="Y17" s="218"/>
      <c r="Z17" s="3" t="s">
        <v>469</v>
      </c>
      <c r="AA17" s="280">
        <v>24.0</v>
      </c>
      <c r="AB17" s="280">
        <v>24.0</v>
      </c>
      <c r="AC17" s="280">
        <v>24.0</v>
      </c>
      <c r="AD17" s="280">
        <v>24.0</v>
      </c>
      <c r="AE17" s="280">
        <v>24.0</v>
      </c>
      <c r="AG17" s="3" t="s">
        <v>821</v>
      </c>
    </row>
    <row r="18">
      <c r="E18" s="118"/>
      <c r="F18" s="118"/>
      <c r="G18" s="118"/>
      <c r="H18" s="118"/>
      <c r="I18" s="118"/>
      <c r="J18" s="118"/>
      <c r="Q18" s="218" t="s">
        <v>469</v>
      </c>
      <c r="R18" s="243">
        <v>9.0</v>
      </c>
      <c r="T18" s="53"/>
      <c r="U18" s="291" t="s">
        <v>854</v>
      </c>
      <c r="V18" s="301">
        <v>7.1</v>
      </c>
      <c r="W18" s="218"/>
      <c r="X18" s="218"/>
      <c r="Y18" s="218"/>
      <c r="Z18" s="3" t="s">
        <v>470</v>
      </c>
      <c r="AA18" s="276">
        <v>24.0</v>
      </c>
      <c r="AB18" s="276">
        <v>24.0</v>
      </c>
      <c r="AC18" s="276">
        <v>22.0</v>
      </c>
      <c r="AD18" s="276">
        <v>20.0</v>
      </c>
      <c r="AE18" s="276">
        <v>18.0</v>
      </c>
      <c r="AG18" s="3" t="s">
        <v>823</v>
      </c>
    </row>
    <row r="19">
      <c r="E19" s="118"/>
      <c r="F19" s="118"/>
      <c r="G19" s="118"/>
      <c r="H19" s="118"/>
      <c r="I19" s="118"/>
      <c r="J19" s="118"/>
      <c r="N19" s="218"/>
      <c r="Q19" s="291" t="s">
        <v>470</v>
      </c>
      <c r="R19" s="243">
        <v>9.0</v>
      </c>
      <c r="T19" s="53"/>
      <c r="U19" s="291" t="s">
        <v>469</v>
      </c>
      <c r="V19" s="301">
        <v>6.5</v>
      </c>
      <c r="W19" s="218"/>
      <c r="X19" s="218"/>
      <c r="Y19" s="218"/>
      <c r="AA19" s="293">
        <f t="shared" ref="AA19:AE19" si="9">AVERAGE(AA16:AA18)</f>
        <v>24.33333333</v>
      </c>
      <c r="AB19" s="293">
        <f t="shared" si="9"/>
        <v>24.33333333</v>
      </c>
      <c r="AC19" s="293">
        <f t="shared" si="9"/>
        <v>23.66666667</v>
      </c>
      <c r="AD19" s="293">
        <f t="shared" si="9"/>
        <v>23</v>
      </c>
      <c r="AE19" s="293">
        <f t="shared" si="9"/>
        <v>22.33333333</v>
      </c>
    </row>
    <row r="20">
      <c r="E20" s="118"/>
      <c r="F20" s="118"/>
      <c r="G20" s="118"/>
      <c r="H20" s="118"/>
      <c r="I20" s="118"/>
      <c r="J20" s="118"/>
      <c r="R20" s="234">
        <f>AVERAGE(R17:R19)</f>
        <v>9.133333333</v>
      </c>
      <c r="T20" s="53"/>
      <c r="U20" s="291" t="s">
        <v>470</v>
      </c>
      <c r="V20" s="301">
        <v>6.5</v>
      </c>
      <c r="W20" s="218"/>
      <c r="X20" s="218"/>
      <c r="Y20" s="218"/>
    </row>
    <row r="21">
      <c r="E21" s="118"/>
      <c r="F21" s="118"/>
      <c r="G21" s="118"/>
      <c r="H21" s="118"/>
      <c r="I21" s="118"/>
      <c r="J21" s="118"/>
      <c r="O21" s="3" t="s">
        <v>791</v>
      </c>
      <c r="T21" s="55"/>
      <c r="U21" s="55"/>
      <c r="V21" s="55"/>
    </row>
    <row r="22">
      <c r="A22" s="3"/>
      <c r="B22" s="12"/>
      <c r="C22" s="12"/>
      <c r="D22" s="13"/>
      <c r="E22" s="13"/>
      <c r="F22" s="13"/>
      <c r="G22" s="13"/>
      <c r="H22" s="13"/>
      <c r="I22" s="13"/>
      <c r="J22" s="13"/>
      <c r="U22" s="295"/>
      <c r="V22" s="293">
        <f>AVERAGE(V18:V21)</f>
        <v>6.7</v>
      </c>
      <c r="Y22" s="32">
        <v>2025.0</v>
      </c>
    </row>
    <row r="23">
      <c r="R23" s="4"/>
      <c r="T23" s="55"/>
      <c r="X23" s="218" t="s">
        <v>786</v>
      </c>
      <c r="Y23" s="289">
        <v>-2.0</v>
      </c>
    </row>
    <row r="24">
      <c r="Q24" s="4" t="s">
        <v>350</v>
      </c>
      <c r="R24" s="4" t="s">
        <v>353</v>
      </c>
      <c r="S24" s="4" t="s">
        <v>355</v>
      </c>
      <c r="T24" s="4" t="s">
        <v>581</v>
      </c>
      <c r="X24" s="218" t="s">
        <v>855</v>
      </c>
      <c r="Y24" s="242">
        <v>2.5</v>
      </c>
    </row>
    <row r="25">
      <c r="P25" s="4" t="s">
        <v>62</v>
      </c>
      <c r="Q25" s="284">
        <v>96.1</v>
      </c>
      <c r="R25" s="236">
        <v>100.7</v>
      </c>
      <c r="S25" s="24">
        <v>103.0</v>
      </c>
      <c r="T25" s="226">
        <f t="shared" ref="T25:T27" si="10">AVERAGE(Q25:S25)</f>
        <v>99.93333333</v>
      </c>
      <c r="X25" s="218" t="s">
        <v>469</v>
      </c>
      <c r="Y25" s="243">
        <v>0.0</v>
      </c>
    </row>
    <row r="26">
      <c r="P26" s="4" t="s">
        <v>28</v>
      </c>
      <c r="Q26" s="284">
        <v>75.6</v>
      </c>
      <c r="R26" s="236">
        <v>74.1</v>
      </c>
      <c r="S26" s="116">
        <v>72.6</v>
      </c>
      <c r="T26" s="226">
        <f t="shared" si="10"/>
        <v>74.1</v>
      </c>
      <c r="X26" s="218" t="s">
        <v>470</v>
      </c>
      <c r="Y26" s="243">
        <v>-2.0</v>
      </c>
    </row>
    <row r="27">
      <c r="P27" s="4" t="s">
        <v>582</v>
      </c>
      <c r="Q27" s="296">
        <v>64.6</v>
      </c>
      <c r="R27" s="236">
        <v>63.8</v>
      </c>
      <c r="S27" s="24"/>
      <c r="T27" s="226">
        <f t="shared" si="10"/>
        <v>64.2</v>
      </c>
      <c r="X27" s="54"/>
      <c r="Y27" s="54"/>
    </row>
    <row r="28">
      <c r="P28" s="4" t="s">
        <v>583</v>
      </c>
      <c r="Q28" s="285">
        <f t="shared" ref="Q28:R28" si="11">Q26-Q27</f>
        <v>11</v>
      </c>
      <c r="R28" s="175">
        <f t="shared" si="11"/>
        <v>10.3</v>
      </c>
      <c r="S28" s="24"/>
      <c r="X28" s="54"/>
      <c r="Y28" s="234">
        <f>AVERAGE(Y24:Y27)</f>
        <v>0.1666666667</v>
      </c>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4" si="12">W38*$X$36</f>
        <v>0.024</v>
      </c>
      <c r="Y38" s="212">
        <f t="shared" ref="Y38:Y44" si="13">W38*$Y$36</f>
        <v>0.072</v>
      </c>
    </row>
    <row r="39">
      <c r="N39" s="3" t="s">
        <v>595</v>
      </c>
      <c r="Q39" s="3" t="s">
        <v>596</v>
      </c>
      <c r="V39" s="99" t="s">
        <v>540</v>
      </c>
      <c r="W39" s="4">
        <v>0.055</v>
      </c>
      <c r="X39" s="212">
        <f t="shared" si="12"/>
        <v>0.0055</v>
      </c>
      <c r="Y39" s="212">
        <f t="shared" si="13"/>
        <v>0.0165</v>
      </c>
      <c r="Z39" s="49" t="s">
        <v>541</v>
      </c>
    </row>
    <row r="40">
      <c r="N40" s="3" t="s">
        <v>597</v>
      </c>
      <c r="Q40" s="3" t="s">
        <v>598</v>
      </c>
      <c r="V40" s="3" t="s">
        <v>835</v>
      </c>
      <c r="W40" s="4">
        <v>0.125</v>
      </c>
      <c r="X40" s="212">
        <f t="shared" si="12"/>
        <v>0.0125</v>
      </c>
      <c r="Y40" s="212">
        <f t="shared" si="13"/>
        <v>0.0375</v>
      </c>
      <c r="AA40" s="3" t="s">
        <v>688</v>
      </c>
    </row>
    <row r="41">
      <c r="N41" s="3" t="s">
        <v>599</v>
      </c>
      <c r="Q41" s="3" t="s">
        <v>600</v>
      </c>
      <c r="V41" s="3" t="s">
        <v>542</v>
      </c>
      <c r="W41" s="4">
        <v>0.1</v>
      </c>
      <c r="X41" s="212">
        <f t="shared" si="12"/>
        <v>0.01</v>
      </c>
      <c r="Y41" s="212">
        <f t="shared" si="13"/>
        <v>0.03</v>
      </c>
      <c r="AA41" s="3" t="s">
        <v>689</v>
      </c>
    </row>
    <row r="42">
      <c r="V42" s="3" t="s">
        <v>543</v>
      </c>
      <c r="W42" s="4">
        <f>(0.05+0.1)/2</f>
        <v>0.075</v>
      </c>
      <c r="X42" s="212">
        <f t="shared" si="12"/>
        <v>0.0075</v>
      </c>
      <c r="Y42" s="212">
        <f t="shared" si="13"/>
        <v>0.0225</v>
      </c>
      <c r="AA42" s="3" t="s">
        <v>690</v>
      </c>
    </row>
    <row r="43">
      <c r="N43" s="3" t="s">
        <v>601</v>
      </c>
      <c r="Q43" s="3" t="s">
        <v>602</v>
      </c>
      <c r="V43" s="3" t="s">
        <v>545</v>
      </c>
      <c r="W43" s="4">
        <v>0.05</v>
      </c>
      <c r="X43" s="212">
        <f t="shared" si="12"/>
        <v>0.005</v>
      </c>
      <c r="Y43" s="212">
        <f t="shared" si="13"/>
        <v>0.015</v>
      </c>
      <c r="AA43" s="3" t="s">
        <v>691</v>
      </c>
    </row>
    <row r="44">
      <c r="Q44" s="3" t="s">
        <v>603</v>
      </c>
      <c r="V44" s="3" t="s">
        <v>558</v>
      </c>
      <c r="W44" s="4">
        <v>0.2</v>
      </c>
      <c r="X44" s="212">
        <f t="shared" si="12"/>
        <v>0.02</v>
      </c>
      <c r="Y44" s="212">
        <f t="shared" si="13"/>
        <v>0.06</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856</v>
      </c>
      <c r="Q51" s="3" t="s">
        <v>857</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858</v>
      </c>
    </row>
    <row r="60">
      <c r="Q60" s="3" t="s">
        <v>623</v>
      </c>
    </row>
    <row r="61">
      <c r="Q61" s="3" t="s">
        <v>616</v>
      </c>
    </row>
    <row r="62">
      <c r="Q62" s="3" t="s">
        <v>618</v>
      </c>
    </row>
    <row r="64">
      <c r="P64" s="218" t="s">
        <v>619</v>
      </c>
      <c r="Q64" s="31" t="s">
        <v>624</v>
      </c>
    </row>
  </sheetData>
  <hyperlinks>
    <hyperlink r:id="rId1" ref="Z39"/>
  </hyperlinks>
  <drawing r:id="rId2"/>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45632.0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 t="s">
        <v>859</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c r="Z2" s="6" t="s">
        <v>860</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266">
        <v>100.0</v>
      </c>
      <c r="T3" s="248">
        <f t="shared" ref="T3:T7" si="2">AVERAGE(P3:S3)</f>
        <v>92.675</v>
      </c>
      <c r="U3" s="265">
        <v>101.0</v>
      </c>
      <c r="V3" s="265">
        <v>105.0</v>
      </c>
      <c r="W3" s="265">
        <v>107.0</v>
      </c>
      <c r="X3" s="266">
        <v>109.0</v>
      </c>
      <c r="Y3" s="248">
        <f t="shared" ref="Y3:Y7" si="3">AVERAGE(U3:X3)</f>
        <v>105.5</v>
      </c>
      <c r="Z3" s="3" t="s">
        <v>839</v>
      </c>
      <c r="AG3" s="3" t="s">
        <v>798</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64">
        <v>74.0</v>
      </c>
      <c r="T4" s="248">
        <f t="shared" si="2"/>
        <v>80.4</v>
      </c>
      <c r="U4" s="264">
        <v>74.0</v>
      </c>
      <c r="V4" s="264">
        <v>74.0</v>
      </c>
      <c r="W4" s="264">
        <v>73.0</v>
      </c>
      <c r="X4" s="264">
        <v>72.0</v>
      </c>
      <c r="Y4" s="248">
        <f t="shared" si="3"/>
        <v>73.25</v>
      </c>
      <c r="Z4" s="3" t="s">
        <v>840</v>
      </c>
      <c r="AG4" s="3" t="s">
        <v>800</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64">
        <f>S4-S6</f>
        <v>63</v>
      </c>
      <c r="T5" s="248">
        <f t="shared" si="2"/>
        <v>66.5</v>
      </c>
      <c r="U5" s="264">
        <f t="shared" ref="U5:X5" si="4">U4-U6</f>
        <v>63</v>
      </c>
      <c r="V5" s="264">
        <f t="shared" si="4"/>
        <v>63</v>
      </c>
      <c r="W5" s="264">
        <f t="shared" si="4"/>
        <v>62</v>
      </c>
      <c r="X5" s="264">
        <f t="shared" si="4"/>
        <v>61</v>
      </c>
      <c r="Y5" s="248">
        <f t="shared" si="3"/>
        <v>62.25</v>
      </c>
      <c r="Z5" s="3" t="s">
        <v>841</v>
      </c>
      <c r="AG5" s="3" t="s">
        <v>802</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64">
        <v>11.0</v>
      </c>
      <c r="T6" s="248">
        <f t="shared" si="2"/>
        <v>13.9</v>
      </c>
      <c r="U6" s="264">
        <v>11.0</v>
      </c>
      <c r="V6" s="264">
        <v>11.0</v>
      </c>
      <c r="W6" s="264">
        <v>11.0</v>
      </c>
      <c r="X6" s="264">
        <v>11.0</v>
      </c>
      <c r="Y6" s="248">
        <f t="shared" si="3"/>
        <v>11</v>
      </c>
      <c r="Z6" s="3" t="s">
        <v>842</v>
      </c>
      <c r="AG6" s="3" t="s">
        <v>803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67">
        <v>9.1</v>
      </c>
      <c r="T7" s="258">
        <f t="shared" si="2"/>
        <v>8.5</v>
      </c>
      <c r="U7" s="268"/>
      <c r="V7" s="268"/>
      <c r="W7" s="268"/>
      <c r="X7" s="267">
        <v>6.7</v>
      </c>
      <c r="Y7" s="258">
        <f t="shared" si="3"/>
        <v>6.7</v>
      </c>
      <c r="Z7" s="3" t="s">
        <v>843</v>
      </c>
      <c r="AA7" s="4" t="s">
        <v>844</v>
      </c>
      <c r="AB7" s="3" t="s">
        <v>81</v>
      </c>
      <c r="AC7" s="3" t="s">
        <v>286</v>
      </c>
      <c r="AD7" s="3" t="s">
        <v>845</v>
      </c>
      <c r="AG7" s="3" t="s">
        <v>805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69">
        <v>23.0</v>
      </c>
      <c r="T8" s="258">
        <v>17.5</v>
      </c>
      <c r="U8" s="270">
        <v>23.0</v>
      </c>
      <c r="V8" s="270">
        <v>23.0</v>
      </c>
      <c r="W8" s="270">
        <v>22.0</v>
      </c>
      <c r="X8" s="269">
        <v>21.0</v>
      </c>
      <c r="Y8" s="258">
        <v>22.5</v>
      </c>
      <c r="AA8" s="3">
        <v>2024.0</v>
      </c>
      <c r="AB8" s="3" t="s">
        <v>303</v>
      </c>
      <c r="AC8" s="3" t="s">
        <v>846</v>
      </c>
      <c r="AD8" s="3" t="s">
        <v>847</v>
      </c>
      <c r="AG8" s="3" t="s">
        <v>807</v>
      </c>
    </row>
    <row r="9" hidden="1">
      <c r="A9" s="252" t="s">
        <v>766</v>
      </c>
      <c r="E9" s="114"/>
      <c r="F9" s="115"/>
      <c r="G9" s="115"/>
      <c r="H9" s="115"/>
      <c r="I9" s="112"/>
      <c r="J9" s="112"/>
      <c r="T9" s="103"/>
      <c r="U9" s="54"/>
      <c r="V9" s="287" t="s">
        <v>767</v>
      </c>
      <c r="W9" s="54"/>
      <c r="X9" s="54"/>
      <c r="Y9" s="103"/>
    </row>
    <row r="10">
      <c r="E10" s="114"/>
      <c r="F10" s="115"/>
      <c r="G10" s="115"/>
      <c r="H10" s="115"/>
      <c r="I10" s="112"/>
      <c r="J10" s="112"/>
      <c r="O10" s="4" t="s">
        <v>785</v>
      </c>
      <c r="R10" s="218" t="s">
        <v>786</v>
      </c>
      <c r="S10" s="298">
        <v>100.0</v>
      </c>
      <c r="T10" s="299"/>
      <c r="U10" s="298">
        <v>102.0</v>
      </c>
      <c r="V10" s="298">
        <v>105.0</v>
      </c>
      <c r="W10" s="298">
        <v>106.0</v>
      </c>
      <c r="X10" s="298">
        <v>107.0</v>
      </c>
      <c r="Y10" s="215"/>
      <c r="AA10" s="3">
        <v>2025.0</v>
      </c>
      <c r="AB10" s="3" t="s">
        <v>203</v>
      </c>
      <c r="AG10" s="3" t="s">
        <v>808</v>
      </c>
    </row>
    <row r="11">
      <c r="E11" s="114"/>
      <c r="F11" s="115"/>
      <c r="G11" s="115"/>
      <c r="H11" s="115"/>
      <c r="I11" s="112" t="s">
        <v>406</v>
      </c>
      <c r="J11" s="112" t="s">
        <v>406</v>
      </c>
      <c r="N11" s="218" t="s">
        <v>861</v>
      </c>
      <c r="O11" s="242">
        <v>74.0</v>
      </c>
      <c r="R11" s="218" t="s">
        <v>862</v>
      </c>
      <c r="S11" s="242">
        <v>100.0</v>
      </c>
      <c r="U11" s="242">
        <v>102.0</v>
      </c>
      <c r="V11" s="242">
        <v>105.0</v>
      </c>
      <c r="W11" s="242">
        <v>108.0</v>
      </c>
      <c r="X11" s="242">
        <v>112.0</v>
      </c>
      <c r="Y11" s="215"/>
      <c r="AA11" s="3" t="s">
        <v>850</v>
      </c>
      <c r="AG11" s="3" t="s">
        <v>812</v>
      </c>
    </row>
    <row r="12">
      <c r="E12" s="114" t="s">
        <v>241</v>
      </c>
      <c r="F12" s="115" t="s">
        <v>242</v>
      </c>
      <c r="G12" s="115" t="s">
        <v>242</v>
      </c>
      <c r="H12" s="115" t="s">
        <v>194</v>
      </c>
      <c r="I12" s="115" t="s">
        <v>148</v>
      </c>
      <c r="N12" s="218" t="s">
        <v>469</v>
      </c>
      <c r="O12" s="242">
        <v>74.0</v>
      </c>
      <c r="R12" s="218" t="s">
        <v>469</v>
      </c>
      <c r="S12" s="242">
        <v>100.0</v>
      </c>
      <c r="U12" s="242">
        <v>100.0</v>
      </c>
      <c r="V12" s="242">
        <v>105.0</v>
      </c>
      <c r="W12" s="242">
        <v>106.0</v>
      </c>
      <c r="X12" s="242">
        <v>107.0</v>
      </c>
      <c r="Y12" s="215"/>
      <c r="AA12" s="3" t="s">
        <v>851</v>
      </c>
      <c r="AG12" s="3" t="s">
        <v>814</v>
      </c>
    </row>
    <row r="13">
      <c r="C13" s="4">
        <v>5.7</v>
      </c>
      <c r="D13" s="4">
        <v>6.5</v>
      </c>
      <c r="E13" s="62">
        <v>7.4</v>
      </c>
      <c r="F13" s="54">
        <v>8.1</v>
      </c>
      <c r="G13" s="54"/>
      <c r="H13" s="62"/>
      <c r="I13" s="62"/>
      <c r="J13" s="62"/>
      <c r="N13" s="218" t="s">
        <v>470</v>
      </c>
      <c r="O13" s="242">
        <v>74.0</v>
      </c>
      <c r="R13" s="218" t="s">
        <v>470</v>
      </c>
      <c r="S13" s="242">
        <v>100.0</v>
      </c>
      <c r="U13" s="300">
        <v>102.0</v>
      </c>
      <c r="V13" s="300">
        <v>105.0</v>
      </c>
      <c r="W13" s="300">
        <v>106.0</v>
      </c>
      <c r="X13" s="300">
        <v>107.0</v>
      </c>
      <c r="AA13" s="3" t="s">
        <v>852</v>
      </c>
      <c r="AG13" s="3" t="s">
        <v>815</v>
      </c>
    </row>
    <row r="14">
      <c r="D14" s="111" t="s">
        <v>241</v>
      </c>
      <c r="E14" s="117">
        <v>7.0</v>
      </c>
      <c r="F14" s="112">
        <v>7.3</v>
      </c>
      <c r="G14" s="112"/>
      <c r="H14" s="112"/>
      <c r="I14" s="117"/>
      <c r="J14" s="112"/>
      <c r="N14" s="54"/>
      <c r="O14" s="54"/>
      <c r="R14" s="54"/>
      <c r="S14" s="54"/>
      <c r="T14" s="288"/>
      <c r="U14" s="54"/>
      <c r="V14" s="54"/>
      <c r="W14" s="54"/>
      <c r="X14" s="54"/>
      <c r="AG14" s="3" t="s">
        <v>816</v>
      </c>
    </row>
    <row r="15">
      <c r="C15" s="10"/>
      <c r="D15" s="10"/>
      <c r="E15" s="10"/>
      <c r="F15" s="10"/>
      <c r="G15" s="10"/>
      <c r="H15" s="10"/>
      <c r="I15" s="10"/>
      <c r="J15" s="10"/>
      <c r="N15" s="54"/>
      <c r="O15" s="234">
        <f>AVERAGE(O11:O14)</f>
        <v>74</v>
      </c>
      <c r="R15" s="54"/>
      <c r="S15" s="234">
        <f>AVERAGE(S11:S14)</f>
        <v>100</v>
      </c>
      <c r="U15" s="234">
        <f t="shared" ref="U15:X15" si="8">AVERAGE(U11:U14)</f>
        <v>101.3333333</v>
      </c>
      <c r="V15" s="234">
        <f t="shared" si="8"/>
        <v>105</v>
      </c>
      <c r="W15" s="234">
        <f t="shared" si="8"/>
        <v>106.6666667</v>
      </c>
      <c r="X15" s="234">
        <f t="shared" si="8"/>
        <v>108.6666667</v>
      </c>
      <c r="Z15" s="31" t="s">
        <v>286</v>
      </c>
      <c r="AA15" s="61" t="s">
        <v>632</v>
      </c>
      <c r="AB15" s="61" t="s">
        <v>762</v>
      </c>
      <c r="AC15" s="61" t="s">
        <v>763</v>
      </c>
      <c r="AD15" s="61" t="s">
        <v>764</v>
      </c>
      <c r="AE15" s="61" t="s">
        <v>765</v>
      </c>
      <c r="AG15" s="3" t="s">
        <v>817</v>
      </c>
    </row>
    <row r="16">
      <c r="E16" s="118"/>
      <c r="F16" s="118"/>
      <c r="G16" s="118"/>
      <c r="H16" s="118"/>
      <c r="I16" s="118"/>
      <c r="J16" s="118"/>
      <c r="N16" s="54"/>
      <c r="Q16" s="218" t="s">
        <v>786</v>
      </c>
      <c r="R16" s="9">
        <v>8.6</v>
      </c>
      <c r="S16" s="55"/>
      <c r="Z16" s="3" t="s">
        <v>468</v>
      </c>
      <c r="AA16" s="276">
        <v>25.0</v>
      </c>
      <c r="AB16" s="276">
        <v>25.0</v>
      </c>
      <c r="AC16" s="276">
        <v>25.0</v>
      </c>
      <c r="AD16" s="276">
        <v>25.0</v>
      </c>
      <c r="AE16" s="276">
        <v>25.0</v>
      </c>
      <c r="AG16" s="3" t="s">
        <v>818</v>
      </c>
    </row>
    <row r="17">
      <c r="E17" s="118"/>
      <c r="F17" s="118"/>
      <c r="G17" s="118"/>
      <c r="H17" s="118"/>
      <c r="I17" s="118"/>
      <c r="J17" s="118"/>
      <c r="N17" s="54"/>
      <c r="Q17" s="218" t="s">
        <v>863</v>
      </c>
      <c r="R17" s="243">
        <v>9.4</v>
      </c>
      <c r="T17" s="53"/>
      <c r="U17" s="290" t="s">
        <v>786</v>
      </c>
      <c r="V17" s="225">
        <v>6.5</v>
      </c>
      <c r="W17" s="218"/>
      <c r="X17" s="218"/>
      <c r="Y17" s="218"/>
      <c r="Z17" s="3" t="s">
        <v>469</v>
      </c>
      <c r="AA17" s="280">
        <v>24.0</v>
      </c>
      <c r="AB17" s="280">
        <v>24.0</v>
      </c>
      <c r="AC17" s="280">
        <v>24.0</v>
      </c>
      <c r="AD17" s="280">
        <v>24.0</v>
      </c>
      <c r="AE17" s="280">
        <v>24.0</v>
      </c>
      <c r="AG17" s="3" t="s">
        <v>821</v>
      </c>
    </row>
    <row r="18">
      <c r="E18" s="118"/>
      <c r="F18" s="118"/>
      <c r="G18" s="118"/>
      <c r="H18" s="118"/>
      <c r="I18" s="118"/>
      <c r="J18" s="118"/>
      <c r="Q18" s="218" t="s">
        <v>469</v>
      </c>
      <c r="R18" s="243">
        <v>9.0</v>
      </c>
      <c r="T18" s="53"/>
      <c r="U18" s="291" t="s">
        <v>864</v>
      </c>
      <c r="V18" s="301">
        <v>7.1</v>
      </c>
      <c r="W18" s="218"/>
      <c r="X18" s="218"/>
      <c r="Y18" s="218"/>
      <c r="Z18" s="3" t="s">
        <v>470</v>
      </c>
      <c r="AA18" s="276">
        <v>24.0</v>
      </c>
      <c r="AB18" s="276">
        <v>24.0</v>
      </c>
      <c r="AC18" s="276">
        <v>22.0</v>
      </c>
      <c r="AD18" s="276">
        <v>20.0</v>
      </c>
      <c r="AE18" s="276">
        <v>18.0</v>
      </c>
      <c r="AG18" s="3" t="s">
        <v>823</v>
      </c>
    </row>
    <row r="19">
      <c r="E19" s="118"/>
      <c r="F19" s="118"/>
      <c r="G19" s="118"/>
      <c r="H19" s="118"/>
      <c r="I19" s="118"/>
      <c r="J19" s="118"/>
      <c r="N19" s="218"/>
      <c r="Q19" s="291" t="s">
        <v>470</v>
      </c>
      <c r="R19" s="243">
        <v>9.0</v>
      </c>
      <c r="T19" s="53"/>
      <c r="U19" s="291" t="s">
        <v>469</v>
      </c>
      <c r="V19" s="301">
        <v>6.5</v>
      </c>
      <c r="W19" s="218"/>
      <c r="X19" s="218"/>
      <c r="Y19" s="218"/>
      <c r="AA19" s="293">
        <f t="shared" ref="AA19:AE19" si="9">AVERAGE(AA16:AA18)</f>
        <v>24.33333333</v>
      </c>
      <c r="AB19" s="293">
        <f t="shared" si="9"/>
        <v>24.33333333</v>
      </c>
      <c r="AC19" s="293">
        <f t="shared" si="9"/>
        <v>23.66666667</v>
      </c>
      <c r="AD19" s="293">
        <f t="shared" si="9"/>
        <v>23</v>
      </c>
      <c r="AE19" s="293">
        <f t="shared" si="9"/>
        <v>22.33333333</v>
      </c>
    </row>
    <row r="20">
      <c r="E20" s="118"/>
      <c r="F20" s="118"/>
      <c r="G20" s="118"/>
      <c r="H20" s="118"/>
      <c r="I20" s="118"/>
      <c r="J20" s="118"/>
      <c r="R20" s="234">
        <f>AVERAGE(R17:R19)</f>
        <v>9.133333333</v>
      </c>
      <c r="T20" s="53"/>
      <c r="U20" s="291" t="s">
        <v>470</v>
      </c>
      <c r="V20" s="301">
        <v>6.5</v>
      </c>
      <c r="W20" s="218"/>
      <c r="X20" s="218"/>
      <c r="Y20" s="218"/>
    </row>
    <row r="21">
      <c r="E21" s="118"/>
      <c r="F21" s="118"/>
      <c r="G21" s="118"/>
      <c r="H21" s="118"/>
      <c r="I21" s="118"/>
      <c r="J21" s="118"/>
      <c r="O21" s="3" t="s">
        <v>791</v>
      </c>
      <c r="T21" s="55"/>
      <c r="U21" s="55"/>
      <c r="V21" s="55"/>
    </row>
    <row r="22">
      <c r="A22" s="3"/>
      <c r="B22" s="12"/>
      <c r="C22" s="12"/>
      <c r="D22" s="13"/>
      <c r="E22" s="13"/>
      <c r="F22" s="13"/>
      <c r="G22" s="13"/>
      <c r="H22" s="13"/>
      <c r="I22" s="13"/>
      <c r="J22" s="13"/>
      <c r="U22" s="295"/>
      <c r="V22" s="293">
        <f>AVERAGE(V18:V21)</f>
        <v>6.7</v>
      </c>
      <c r="Y22" s="32">
        <v>2025.0</v>
      </c>
    </row>
    <row r="23">
      <c r="R23" s="4"/>
      <c r="T23" s="55"/>
      <c r="X23" s="218" t="s">
        <v>786</v>
      </c>
      <c r="Y23" s="289">
        <v>-2.0</v>
      </c>
    </row>
    <row r="24">
      <c r="Q24" s="4" t="s">
        <v>350</v>
      </c>
      <c r="R24" s="4" t="s">
        <v>353</v>
      </c>
      <c r="S24" s="4" t="s">
        <v>355</v>
      </c>
      <c r="T24" s="4" t="s">
        <v>581</v>
      </c>
      <c r="X24" s="218" t="s">
        <v>865</v>
      </c>
      <c r="Y24" s="242">
        <v>2.5</v>
      </c>
    </row>
    <row r="25">
      <c r="P25" s="4" t="s">
        <v>62</v>
      </c>
      <c r="Q25" s="284">
        <v>96.1</v>
      </c>
      <c r="R25" s="236">
        <v>100.7</v>
      </c>
      <c r="S25" s="24">
        <v>103.0</v>
      </c>
      <c r="T25" s="226">
        <f t="shared" ref="T25:T27" si="10">AVERAGE(Q25:S25)</f>
        <v>99.93333333</v>
      </c>
      <c r="X25" s="218" t="s">
        <v>469</v>
      </c>
      <c r="Y25" s="243">
        <v>0.0</v>
      </c>
    </row>
    <row r="26">
      <c r="P26" s="4" t="s">
        <v>28</v>
      </c>
      <c r="Q26" s="284">
        <v>75.6</v>
      </c>
      <c r="R26" s="236">
        <v>74.1</v>
      </c>
      <c r="S26" s="116">
        <v>72.6</v>
      </c>
      <c r="T26" s="226">
        <f t="shared" si="10"/>
        <v>74.1</v>
      </c>
      <c r="X26" s="218" t="s">
        <v>470</v>
      </c>
      <c r="Y26" s="243">
        <v>-2.0</v>
      </c>
    </row>
    <row r="27">
      <c r="P27" s="4" t="s">
        <v>582</v>
      </c>
      <c r="Q27" s="296">
        <v>64.6</v>
      </c>
      <c r="R27" s="236">
        <v>63.8</v>
      </c>
      <c r="S27" s="24"/>
      <c r="T27" s="226">
        <f t="shared" si="10"/>
        <v>64.2</v>
      </c>
      <c r="X27" s="54"/>
      <c r="Y27" s="54"/>
    </row>
    <row r="28">
      <c r="P28" s="4" t="s">
        <v>583</v>
      </c>
      <c r="Q28" s="285">
        <f t="shared" ref="Q28:R28" si="11">Q26-Q27</f>
        <v>11</v>
      </c>
      <c r="R28" s="175">
        <f t="shared" si="11"/>
        <v>10.3</v>
      </c>
      <c r="S28" s="24"/>
      <c r="X28" s="54"/>
      <c r="Y28" s="234">
        <f>AVERAGE(Y24:Y27)</f>
        <v>0.1666666667</v>
      </c>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4" si="12">W38*$X$36</f>
        <v>0.024</v>
      </c>
      <c r="Y38" s="212">
        <f t="shared" ref="Y38:Y44" si="13">W38*$Y$36</f>
        <v>0.072</v>
      </c>
    </row>
    <row r="39">
      <c r="N39" s="3" t="s">
        <v>595</v>
      </c>
      <c r="Q39" s="3" t="s">
        <v>596</v>
      </c>
      <c r="V39" s="99" t="s">
        <v>540</v>
      </c>
      <c r="W39" s="4">
        <v>0.055</v>
      </c>
      <c r="X39" s="212">
        <f t="shared" si="12"/>
        <v>0.0055</v>
      </c>
      <c r="Y39" s="212">
        <f t="shared" si="13"/>
        <v>0.0165</v>
      </c>
      <c r="Z39" s="49" t="s">
        <v>541</v>
      </c>
    </row>
    <row r="40">
      <c r="N40" s="3" t="s">
        <v>597</v>
      </c>
      <c r="Q40" s="3" t="s">
        <v>598</v>
      </c>
      <c r="V40" s="3" t="s">
        <v>835</v>
      </c>
      <c r="W40" s="4">
        <v>0.125</v>
      </c>
      <c r="X40" s="212">
        <f t="shared" si="12"/>
        <v>0.0125</v>
      </c>
      <c r="Y40" s="212">
        <f t="shared" si="13"/>
        <v>0.0375</v>
      </c>
      <c r="AA40" s="3" t="s">
        <v>688</v>
      </c>
    </row>
    <row r="41">
      <c r="N41" s="3" t="s">
        <v>599</v>
      </c>
      <c r="Q41" s="3" t="s">
        <v>600</v>
      </c>
      <c r="V41" s="3" t="s">
        <v>542</v>
      </c>
      <c r="W41" s="4">
        <v>0.1</v>
      </c>
      <c r="X41" s="212">
        <f t="shared" si="12"/>
        <v>0.01</v>
      </c>
      <c r="Y41" s="212">
        <f t="shared" si="13"/>
        <v>0.03</v>
      </c>
      <c r="AA41" s="3" t="s">
        <v>689</v>
      </c>
    </row>
    <row r="42">
      <c r="V42" s="3" t="s">
        <v>543</v>
      </c>
      <c r="W42" s="4">
        <f>(0.05+0.1)/2</f>
        <v>0.075</v>
      </c>
      <c r="X42" s="212">
        <f t="shared" si="12"/>
        <v>0.0075</v>
      </c>
      <c r="Y42" s="212">
        <f t="shared" si="13"/>
        <v>0.0225</v>
      </c>
      <c r="AA42" s="3" t="s">
        <v>690</v>
      </c>
    </row>
    <row r="43">
      <c r="N43" s="3" t="s">
        <v>601</v>
      </c>
      <c r="Q43" s="3" t="s">
        <v>602</v>
      </c>
      <c r="V43" s="3" t="s">
        <v>545</v>
      </c>
      <c r="W43" s="4">
        <v>0.05</v>
      </c>
      <c r="X43" s="212">
        <f t="shared" si="12"/>
        <v>0.005</v>
      </c>
      <c r="Y43" s="212">
        <f t="shared" si="13"/>
        <v>0.015</v>
      </c>
      <c r="AA43" s="3" t="s">
        <v>691</v>
      </c>
    </row>
    <row r="44">
      <c r="Q44" s="3" t="s">
        <v>603</v>
      </c>
      <c r="V44" s="3" t="s">
        <v>558</v>
      </c>
      <c r="W44" s="4">
        <v>0.2</v>
      </c>
      <c r="X44" s="212">
        <f t="shared" si="12"/>
        <v>0.02</v>
      </c>
      <c r="Y44" s="212">
        <f t="shared" si="13"/>
        <v>0.06</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866</v>
      </c>
      <c r="Q51" s="3" t="s">
        <v>867</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868</v>
      </c>
    </row>
    <row r="60">
      <c r="Q60" s="3" t="s">
        <v>623</v>
      </c>
    </row>
    <row r="61">
      <c r="Q61" s="3" t="s">
        <v>616</v>
      </c>
    </row>
    <row r="62">
      <c r="Q62" s="3" t="s">
        <v>618</v>
      </c>
    </row>
    <row r="64">
      <c r="P64" s="218" t="s">
        <v>619</v>
      </c>
      <c r="Q64" s="31" t="s">
        <v>624</v>
      </c>
    </row>
  </sheetData>
  <hyperlinks>
    <hyperlink r:id="rId1" ref="Z39"/>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92">
        <v>45645.0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 t="s">
        <v>859</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c r="Z2" s="6" t="s">
        <v>860</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266">
        <v>100.0</v>
      </c>
      <c r="T3" s="248">
        <f t="shared" ref="T3:T7" si="2">AVERAGE(P3:S3)</f>
        <v>92.675</v>
      </c>
      <c r="U3" s="265">
        <v>101.0</v>
      </c>
      <c r="V3" s="265">
        <v>105.0</v>
      </c>
      <c r="W3" s="265">
        <v>107.0</v>
      </c>
      <c r="X3" s="266">
        <v>109.0</v>
      </c>
      <c r="Y3" s="248">
        <f t="shared" ref="Y3:Y7" si="3">AVERAGE(U3:X3)</f>
        <v>105.5</v>
      </c>
      <c r="Z3" s="3" t="s">
        <v>839</v>
      </c>
      <c r="AG3" s="3" t="s">
        <v>798</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64">
        <v>74.0</v>
      </c>
      <c r="T4" s="248">
        <f t="shared" si="2"/>
        <v>80.4</v>
      </c>
      <c r="U4" s="264">
        <v>74.0</v>
      </c>
      <c r="V4" s="264">
        <v>74.0</v>
      </c>
      <c r="W4" s="264">
        <v>73.0</v>
      </c>
      <c r="X4" s="264">
        <v>72.0</v>
      </c>
      <c r="Y4" s="248">
        <f t="shared" si="3"/>
        <v>73.25</v>
      </c>
      <c r="Z4" s="3" t="s">
        <v>840</v>
      </c>
      <c r="AG4" s="3" t="s">
        <v>800</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64">
        <f>S4-S6</f>
        <v>63</v>
      </c>
      <c r="T5" s="248">
        <f t="shared" si="2"/>
        <v>66.5</v>
      </c>
      <c r="U5" s="264">
        <f t="shared" ref="U5:X5" si="4">U4-U6</f>
        <v>63</v>
      </c>
      <c r="V5" s="264">
        <f t="shared" si="4"/>
        <v>63</v>
      </c>
      <c r="W5" s="264">
        <f t="shared" si="4"/>
        <v>62</v>
      </c>
      <c r="X5" s="264">
        <f t="shared" si="4"/>
        <v>61</v>
      </c>
      <c r="Y5" s="248">
        <f t="shared" si="3"/>
        <v>62.25</v>
      </c>
      <c r="Z5" s="3" t="s">
        <v>841</v>
      </c>
      <c r="AG5" s="3" t="s">
        <v>802</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64">
        <v>11.0</v>
      </c>
      <c r="T6" s="248">
        <f t="shared" si="2"/>
        <v>13.9</v>
      </c>
      <c r="U6" s="264">
        <v>11.0</v>
      </c>
      <c r="V6" s="264">
        <v>11.0</v>
      </c>
      <c r="W6" s="264">
        <v>11.0</v>
      </c>
      <c r="X6" s="264">
        <v>11.0</v>
      </c>
      <c r="Y6" s="248">
        <f t="shared" si="3"/>
        <v>11</v>
      </c>
      <c r="Z6" s="3" t="s">
        <v>842</v>
      </c>
      <c r="AG6" s="3" t="s">
        <v>803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67">
        <v>9.8</v>
      </c>
      <c r="T7" s="258">
        <f t="shared" si="2"/>
        <v>8.675</v>
      </c>
      <c r="U7" s="268"/>
      <c r="V7" s="268"/>
      <c r="W7" s="268"/>
      <c r="X7" s="267">
        <v>6.7</v>
      </c>
      <c r="Y7" s="258">
        <f t="shared" si="3"/>
        <v>6.7</v>
      </c>
      <c r="Z7" s="3" t="s">
        <v>843</v>
      </c>
      <c r="AA7" s="4" t="s">
        <v>844</v>
      </c>
      <c r="AB7" s="3" t="s">
        <v>81</v>
      </c>
      <c r="AC7" s="3" t="s">
        <v>286</v>
      </c>
      <c r="AD7" s="3" t="s">
        <v>845</v>
      </c>
      <c r="AG7" s="3" t="s">
        <v>805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69">
        <v>23.0</v>
      </c>
      <c r="T8" s="258">
        <v>17.5</v>
      </c>
      <c r="U8" s="270">
        <v>23.0</v>
      </c>
      <c r="V8" s="270">
        <v>23.0</v>
      </c>
      <c r="W8" s="270">
        <v>22.0</v>
      </c>
      <c r="X8" s="269">
        <v>21.0</v>
      </c>
      <c r="Y8" s="258">
        <v>22.5</v>
      </c>
      <c r="AA8" s="3">
        <v>2024.0</v>
      </c>
      <c r="AB8" s="3" t="s">
        <v>303</v>
      </c>
      <c r="AC8" s="3" t="s">
        <v>846</v>
      </c>
      <c r="AD8" s="3" t="s">
        <v>847</v>
      </c>
      <c r="AG8" s="3" t="s">
        <v>807</v>
      </c>
    </row>
    <row r="9" hidden="1">
      <c r="A9" s="252" t="s">
        <v>766</v>
      </c>
      <c r="E9" s="114"/>
      <c r="F9" s="115"/>
      <c r="G9" s="115"/>
      <c r="H9" s="115"/>
      <c r="I9" s="112"/>
      <c r="J9" s="112"/>
      <c r="T9" s="103"/>
      <c r="U9" s="54"/>
      <c r="V9" s="287" t="s">
        <v>767</v>
      </c>
      <c r="W9" s="54"/>
      <c r="X9" s="54"/>
      <c r="Y9" s="103"/>
    </row>
    <row r="10">
      <c r="E10" s="114"/>
      <c r="F10" s="115"/>
      <c r="G10" s="115"/>
      <c r="H10" s="115"/>
      <c r="I10" s="112"/>
      <c r="J10" s="112"/>
      <c r="O10" s="4" t="s">
        <v>785</v>
      </c>
      <c r="R10" s="218" t="s">
        <v>786</v>
      </c>
      <c r="S10" s="298">
        <v>100.0</v>
      </c>
      <c r="T10" s="299"/>
      <c r="U10" s="298">
        <v>102.0</v>
      </c>
      <c r="V10" s="298">
        <v>105.0</v>
      </c>
      <c r="W10" s="298">
        <v>106.0</v>
      </c>
      <c r="X10" s="298">
        <v>107.0</v>
      </c>
      <c r="Y10" s="215"/>
      <c r="AA10" s="3">
        <v>2025.0</v>
      </c>
      <c r="AB10" s="3" t="s">
        <v>203</v>
      </c>
      <c r="AG10" s="3" t="s">
        <v>808</v>
      </c>
    </row>
    <row r="11">
      <c r="E11" s="114"/>
      <c r="F11" s="115"/>
      <c r="G11" s="115"/>
      <c r="H11" s="115"/>
      <c r="I11" s="112" t="s">
        <v>406</v>
      </c>
      <c r="J11" s="112" t="s">
        <v>406</v>
      </c>
      <c r="N11" s="218" t="s">
        <v>869</v>
      </c>
      <c r="O11" s="242">
        <v>74.0</v>
      </c>
      <c r="R11" s="218" t="s">
        <v>870</v>
      </c>
      <c r="S11" s="242">
        <v>100.0</v>
      </c>
      <c r="U11" s="242">
        <v>102.0</v>
      </c>
      <c r="V11" s="242">
        <v>105.0</v>
      </c>
      <c r="W11" s="242">
        <v>108.0</v>
      </c>
      <c r="X11" s="242">
        <v>112.0</v>
      </c>
      <c r="Y11" s="215"/>
      <c r="AA11" s="3" t="s">
        <v>850</v>
      </c>
      <c r="AG11" s="3" t="s">
        <v>812</v>
      </c>
    </row>
    <row r="12">
      <c r="E12" s="114" t="s">
        <v>241</v>
      </c>
      <c r="F12" s="115" t="s">
        <v>242</v>
      </c>
      <c r="G12" s="115" t="s">
        <v>242</v>
      </c>
      <c r="H12" s="115" t="s">
        <v>194</v>
      </c>
      <c r="I12" s="115" t="s">
        <v>148</v>
      </c>
      <c r="N12" s="218" t="s">
        <v>469</v>
      </c>
      <c r="O12" s="242">
        <v>74.0</v>
      </c>
      <c r="R12" s="218" t="s">
        <v>469</v>
      </c>
      <c r="S12" s="242">
        <v>100.0</v>
      </c>
      <c r="U12" s="242">
        <v>100.0</v>
      </c>
      <c r="V12" s="242">
        <v>105.0</v>
      </c>
      <c r="W12" s="242">
        <v>106.0</v>
      </c>
      <c r="X12" s="242">
        <v>107.0</v>
      </c>
      <c r="Y12" s="215"/>
      <c r="AA12" s="3" t="s">
        <v>851</v>
      </c>
      <c r="AG12" s="3" t="s">
        <v>814</v>
      </c>
    </row>
    <row r="13">
      <c r="C13" s="4">
        <v>5.7</v>
      </c>
      <c r="D13" s="4">
        <v>6.5</v>
      </c>
      <c r="E13" s="62">
        <v>7.4</v>
      </c>
      <c r="F13" s="54">
        <v>8.1</v>
      </c>
      <c r="G13" s="54"/>
      <c r="H13" s="62"/>
      <c r="I13" s="62"/>
      <c r="J13" s="62"/>
      <c r="N13" s="218" t="s">
        <v>470</v>
      </c>
      <c r="O13" s="242">
        <v>74.0</v>
      </c>
      <c r="R13" s="218" t="s">
        <v>470</v>
      </c>
      <c r="S13" s="242">
        <v>100.0</v>
      </c>
      <c r="U13" s="300">
        <v>102.0</v>
      </c>
      <c r="V13" s="300">
        <v>105.0</v>
      </c>
      <c r="W13" s="300">
        <v>106.0</v>
      </c>
      <c r="X13" s="300">
        <v>107.0</v>
      </c>
      <c r="AA13" s="3" t="s">
        <v>852</v>
      </c>
      <c r="AG13" s="3" t="s">
        <v>815</v>
      </c>
    </row>
    <row r="14">
      <c r="D14" s="111" t="s">
        <v>241</v>
      </c>
      <c r="E14" s="117">
        <v>7.0</v>
      </c>
      <c r="F14" s="112">
        <v>7.3</v>
      </c>
      <c r="G14" s="112"/>
      <c r="H14" s="112"/>
      <c r="I14" s="117"/>
      <c r="J14" s="112"/>
      <c r="N14" s="54"/>
      <c r="O14" s="54"/>
      <c r="R14" s="54"/>
      <c r="S14" s="54"/>
      <c r="T14" s="288"/>
      <c r="U14" s="54"/>
      <c r="V14" s="54"/>
      <c r="W14" s="54"/>
      <c r="X14" s="54"/>
      <c r="AG14" s="3" t="s">
        <v>816</v>
      </c>
    </row>
    <row r="15">
      <c r="C15" s="10"/>
      <c r="D15" s="10"/>
      <c r="E15" s="10"/>
      <c r="F15" s="10"/>
      <c r="G15" s="10"/>
      <c r="H15" s="10"/>
      <c r="I15" s="10"/>
      <c r="J15" s="10"/>
      <c r="N15" s="54"/>
      <c r="O15" s="234">
        <f>AVERAGE(O11:O14)</f>
        <v>74</v>
      </c>
      <c r="R15" s="54"/>
      <c r="S15" s="234">
        <f>AVERAGE(S11:S14)</f>
        <v>100</v>
      </c>
      <c r="U15" s="234">
        <f t="shared" ref="U15:X15" si="8">AVERAGE(U11:U14)</f>
        <v>101.3333333</v>
      </c>
      <c r="V15" s="234">
        <f t="shared" si="8"/>
        <v>105</v>
      </c>
      <c r="W15" s="234">
        <f t="shared" si="8"/>
        <v>106.6666667</v>
      </c>
      <c r="X15" s="234">
        <f t="shared" si="8"/>
        <v>108.6666667</v>
      </c>
      <c r="Z15" s="31" t="s">
        <v>286</v>
      </c>
      <c r="AA15" s="61" t="s">
        <v>632</v>
      </c>
      <c r="AB15" s="61" t="s">
        <v>762</v>
      </c>
      <c r="AC15" s="61" t="s">
        <v>763</v>
      </c>
      <c r="AD15" s="61" t="s">
        <v>764</v>
      </c>
      <c r="AE15" s="61" t="s">
        <v>765</v>
      </c>
      <c r="AG15" s="3" t="s">
        <v>817</v>
      </c>
    </row>
    <row r="16">
      <c r="E16" s="118"/>
      <c r="F16" s="118"/>
      <c r="G16" s="118"/>
      <c r="H16" s="118"/>
      <c r="I16" s="118"/>
      <c r="J16" s="118"/>
      <c r="N16" s="54"/>
      <c r="Q16" s="218" t="s">
        <v>786</v>
      </c>
      <c r="R16" s="9"/>
      <c r="S16" s="55"/>
      <c r="Z16" s="3" t="s">
        <v>468</v>
      </c>
      <c r="AA16" s="276">
        <v>25.0</v>
      </c>
      <c r="AB16" s="276">
        <v>25.0</v>
      </c>
      <c r="AC16" s="276">
        <v>25.0</v>
      </c>
      <c r="AD16" s="276">
        <v>25.0</v>
      </c>
      <c r="AE16" s="276">
        <v>25.0</v>
      </c>
      <c r="AG16" s="3" t="s">
        <v>818</v>
      </c>
    </row>
    <row r="17">
      <c r="E17" s="118"/>
      <c r="F17" s="118"/>
      <c r="G17" s="118"/>
      <c r="H17" s="118"/>
      <c r="I17" s="118"/>
      <c r="J17" s="118"/>
      <c r="N17" s="54"/>
      <c r="Q17" s="218" t="s">
        <v>871</v>
      </c>
      <c r="R17" s="243">
        <v>9.9</v>
      </c>
      <c r="T17" s="53"/>
      <c r="U17" s="290" t="s">
        <v>786</v>
      </c>
      <c r="V17" s="225">
        <v>6.5</v>
      </c>
      <c r="W17" s="218"/>
      <c r="X17" s="218"/>
      <c r="Y17" s="218"/>
      <c r="Z17" s="3" t="s">
        <v>469</v>
      </c>
      <c r="AA17" s="280">
        <v>24.0</v>
      </c>
      <c r="AB17" s="280">
        <v>24.0</v>
      </c>
      <c r="AC17" s="280">
        <v>24.0</v>
      </c>
      <c r="AD17" s="280">
        <v>24.0</v>
      </c>
      <c r="AE17" s="280">
        <v>24.0</v>
      </c>
      <c r="AG17" s="3" t="s">
        <v>821</v>
      </c>
    </row>
    <row r="18">
      <c r="E18" s="118"/>
      <c r="F18" s="118"/>
      <c r="G18" s="118"/>
      <c r="H18" s="118"/>
      <c r="I18" s="118"/>
      <c r="J18" s="118"/>
      <c r="Q18" s="218" t="s">
        <v>469</v>
      </c>
      <c r="R18" s="243">
        <v>9.7</v>
      </c>
      <c r="T18" s="53"/>
      <c r="U18" s="291" t="s">
        <v>872</v>
      </c>
      <c r="V18" s="301">
        <v>7.1</v>
      </c>
      <c r="W18" s="218"/>
      <c r="X18" s="218"/>
      <c r="Y18" s="218"/>
      <c r="Z18" s="3" t="s">
        <v>470</v>
      </c>
      <c r="AA18" s="276">
        <v>24.0</v>
      </c>
      <c r="AB18" s="276">
        <v>24.0</v>
      </c>
      <c r="AC18" s="276">
        <v>22.0</v>
      </c>
      <c r="AD18" s="276">
        <v>20.0</v>
      </c>
      <c r="AE18" s="276">
        <v>18.0</v>
      </c>
      <c r="AG18" s="3" t="s">
        <v>823</v>
      </c>
    </row>
    <row r="19">
      <c r="E19" s="118"/>
      <c r="F19" s="118"/>
      <c r="G19" s="118"/>
      <c r="H19" s="118"/>
      <c r="I19" s="118"/>
      <c r="J19" s="118"/>
      <c r="N19" s="218"/>
      <c r="Q19" s="291" t="s">
        <v>470</v>
      </c>
      <c r="R19" s="243">
        <v>9.7</v>
      </c>
      <c r="T19" s="53"/>
      <c r="U19" s="291" t="s">
        <v>469</v>
      </c>
      <c r="V19" s="301">
        <v>6.5</v>
      </c>
      <c r="W19" s="218"/>
      <c r="X19" s="218"/>
      <c r="Y19" s="218"/>
      <c r="AA19" s="293">
        <f t="shared" ref="AA19:AE19" si="9">AVERAGE(AA16:AA18)</f>
        <v>24.33333333</v>
      </c>
      <c r="AB19" s="293">
        <f t="shared" si="9"/>
        <v>24.33333333</v>
      </c>
      <c r="AC19" s="293">
        <f t="shared" si="9"/>
        <v>23.66666667</v>
      </c>
      <c r="AD19" s="293">
        <f t="shared" si="9"/>
        <v>23</v>
      </c>
      <c r="AE19" s="293">
        <f t="shared" si="9"/>
        <v>22.33333333</v>
      </c>
    </row>
    <row r="20">
      <c r="E20" s="118"/>
      <c r="F20" s="118"/>
      <c r="G20" s="118"/>
      <c r="H20" s="118"/>
      <c r="I20" s="118"/>
      <c r="J20" s="118"/>
      <c r="R20" s="234">
        <f>AVERAGE(R17:R19)</f>
        <v>9.766666667</v>
      </c>
      <c r="T20" s="53"/>
      <c r="U20" s="291" t="s">
        <v>470</v>
      </c>
      <c r="V20" s="301">
        <v>6.5</v>
      </c>
      <c r="W20" s="218"/>
      <c r="X20" s="218"/>
      <c r="Y20" s="218"/>
    </row>
    <row r="21">
      <c r="E21" s="118"/>
      <c r="F21" s="118"/>
      <c r="G21" s="118"/>
      <c r="H21" s="118"/>
      <c r="I21" s="118"/>
      <c r="J21" s="118"/>
      <c r="O21" s="3" t="s">
        <v>791</v>
      </c>
      <c r="T21" s="55"/>
      <c r="U21" s="55"/>
      <c r="V21" s="55"/>
    </row>
    <row r="22">
      <c r="A22" s="3"/>
      <c r="B22" s="12"/>
      <c r="C22" s="12"/>
      <c r="D22" s="13"/>
      <c r="E22" s="13"/>
      <c r="F22" s="13"/>
      <c r="G22" s="13"/>
      <c r="H22" s="13"/>
      <c r="I22" s="13"/>
      <c r="J22" s="13"/>
      <c r="U22" s="295"/>
      <c r="V22" s="293">
        <f>AVERAGE(V18:V21)</f>
        <v>6.7</v>
      </c>
      <c r="Y22" s="32">
        <v>2025.0</v>
      </c>
    </row>
    <row r="23">
      <c r="R23" s="4"/>
      <c r="T23" s="55"/>
      <c r="X23" s="218" t="s">
        <v>786</v>
      </c>
      <c r="Y23" s="289">
        <v>-2.0</v>
      </c>
    </row>
    <row r="24">
      <c r="Q24" s="4" t="s">
        <v>350</v>
      </c>
      <c r="R24" s="4" t="s">
        <v>353</v>
      </c>
      <c r="S24" s="4" t="s">
        <v>355</v>
      </c>
      <c r="T24" s="4" t="s">
        <v>581</v>
      </c>
      <c r="X24" s="218" t="s">
        <v>873</v>
      </c>
      <c r="Y24" s="242">
        <v>2.5</v>
      </c>
    </row>
    <row r="25">
      <c r="P25" s="4" t="s">
        <v>62</v>
      </c>
      <c r="Q25" s="284">
        <v>96.1</v>
      </c>
      <c r="R25" s="236">
        <v>100.7</v>
      </c>
      <c r="S25" s="24">
        <v>103.0</v>
      </c>
      <c r="T25" s="226">
        <f t="shared" ref="T25:T27" si="10">AVERAGE(Q25:S25)</f>
        <v>99.93333333</v>
      </c>
      <c r="X25" s="218" t="s">
        <v>469</v>
      </c>
      <c r="Y25" s="243">
        <v>0.0</v>
      </c>
    </row>
    <row r="26">
      <c r="P26" s="4" t="s">
        <v>28</v>
      </c>
      <c r="Q26" s="284">
        <v>75.6</v>
      </c>
      <c r="R26" s="236">
        <v>74.1</v>
      </c>
      <c r="S26" s="116">
        <v>72.6</v>
      </c>
      <c r="T26" s="226">
        <f t="shared" si="10"/>
        <v>74.1</v>
      </c>
      <c r="X26" s="218" t="s">
        <v>470</v>
      </c>
      <c r="Y26" s="243">
        <v>-2.0</v>
      </c>
    </row>
    <row r="27">
      <c r="P27" s="4" t="s">
        <v>582</v>
      </c>
      <c r="Q27" s="296">
        <v>64.6</v>
      </c>
      <c r="R27" s="236">
        <v>63.8</v>
      </c>
      <c r="S27" s="24"/>
      <c r="T27" s="226">
        <f t="shared" si="10"/>
        <v>64.2</v>
      </c>
      <c r="X27" s="54"/>
      <c r="Y27" s="54"/>
    </row>
    <row r="28">
      <c r="P28" s="4" t="s">
        <v>583</v>
      </c>
      <c r="Q28" s="285">
        <f t="shared" ref="Q28:R28" si="11">Q26-Q27</f>
        <v>11</v>
      </c>
      <c r="R28" s="175">
        <f t="shared" si="11"/>
        <v>10.3</v>
      </c>
      <c r="S28" s="24"/>
      <c r="X28" s="54"/>
      <c r="Y28" s="234">
        <f>AVERAGE(Y24:Y27)</f>
        <v>0.1666666667</v>
      </c>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4" si="12">W38*$X$36</f>
        <v>0.024</v>
      </c>
      <c r="Y38" s="212">
        <f t="shared" ref="Y38:Y44" si="13">W38*$Y$36</f>
        <v>0.072</v>
      </c>
    </row>
    <row r="39">
      <c r="N39" s="3" t="s">
        <v>595</v>
      </c>
      <c r="Q39" s="3" t="s">
        <v>596</v>
      </c>
      <c r="V39" s="99" t="s">
        <v>540</v>
      </c>
      <c r="W39" s="4">
        <v>0.055</v>
      </c>
      <c r="X39" s="212">
        <f t="shared" si="12"/>
        <v>0.0055</v>
      </c>
      <c r="Y39" s="212">
        <f t="shared" si="13"/>
        <v>0.0165</v>
      </c>
      <c r="Z39" s="49" t="s">
        <v>541</v>
      </c>
    </row>
    <row r="40">
      <c r="N40" s="3" t="s">
        <v>597</v>
      </c>
      <c r="Q40" s="3" t="s">
        <v>598</v>
      </c>
      <c r="V40" s="3" t="s">
        <v>835</v>
      </c>
      <c r="W40" s="4">
        <v>0.125</v>
      </c>
      <c r="X40" s="212">
        <f t="shared" si="12"/>
        <v>0.0125</v>
      </c>
      <c r="Y40" s="212">
        <f t="shared" si="13"/>
        <v>0.0375</v>
      </c>
      <c r="AA40" s="3" t="s">
        <v>688</v>
      </c>
    </row>
    <row r="41">
      <c r="N41" s="3" t="s">
        <v>599</v>
      </c>
      <c r="Q41" s="3" t="s">
        <v>600</v>
      </c>
      <c r="V41" s="3" t="s">
        <v>542</v>
      </c>
      <c r="W41" s="4">
        <v>0.1</v>
      </c>
      <c r="X41" s="212">
        <f t="shared" si="12"/>
        <v>0.01</v>
      </c>
      <c r="Y41" s="212">
        <f t="shared" si="13"/>
        <v>0.03</v>
      </c>
      <c r="AA41" s="3" t="s">
        <v>689</v>
      </c>
    </row>
    <row r="42">
      <c r="V42" s="3" t="s">
        <v>543</v>
      </c>
      <c r="W42" s="4">
        <f>(0.05+0.1)/2</f>
        <v>0.075</v>
      </c>
      <c r="X42" s="212">
        <f t="shared" si="12"/>
        <v>0.0075</v>
      </c>
      <c r="Y42" s="212">
        <f t="shared" si="13"/>
        <v>0.0225</v>
      </c>
      <c r="AA42" s="3" t="s">
        <v>690</v>
      </c>
    </row>
    <row r="43">
      <c r="N43" s="3" t="s">
        <v>601</v>
      </c>
      <c r="Q43" s="3" t="s">
        <v>602</v>
      </c>
      <c r="V43" s="3" t="s">
        <v>545</v>
      </c>
      <c r="W43" s="4">
        <v>0.05</v>
      </c>
      <c r="X43" s="212">
        <f t="shared" si="12"/>
        <v>0.005</v>
      </c>
      <c r="Y43" s="212">
        <f t="shared" si="13"/>
        <v>0.015</v>
      </c>
      <c r="AA43" s="3" t="s">
        <v>691</v>
      </c>
    </row>
    <row r="44">
      <c r="Q44" s="3" t="s">
        <v>603</v>
      </c>
      <c r="V44" s="3" t="s">
        <v>558</v>
      </c>
      <c r="W44" s="4">
        <v>0.2</v>
      </c>
      <c r="X44" s="212">
        <f t="shared" si="12"/>
        <v>0.02</v>
      </c>
      <c r="Y44" s="212">
        <f t="shared" si="13"/>
        <v>0.06</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874</v>
      </c>
      <c r="Q51" s="3" t="s">
        <v>875</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876</v>
      </c>
    </row>
    <row r="60">
      <c r="Q60" s="3" t="s">
        <v>623</v>
      </c>
    </row>
    <row r="61">
      <c r="Q61" s="3" t="s">
        <v>616</v>
      </c>
    </row>
    <row r="62">
      <c r="Q62" s="3" t="s">
        <v>618</v>
      </c>
    </row>
    <row r="64">
      <c r="P64" s="218" t="s">
        <v>619</v>
      </c>
      <c r="Q64" s="31" t="s">
        <v>624</v>
      </c>
    </row>
  </sheetData>
  <hyperlinks>
    <hyperlink r:id="rId1" ref="Z39"/>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60">
        <v>45649.0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224" t="s">
        <v>526</v>
      </c>
      <c r="S2" s="224" t="s">
        <v>526</v>
      </c>
      <c r="T2" s="3" t="s">
        <v>527</v>
      </c>
      <c r="U2" s="224" t="s">
        <v>526</v>
      </c>
      <c r="V2" s="224" t="s">
        <v>526</v>
      </c>
      <c r="W2" s="224" t="s">
        <v>526</v>
      </c>
      <c r="X2" s="224" t="s">
        <v>526</v>
      </c>
      <c r="Y2" s="3" t="s">
        <v>527</v>
      </c>
      <c r="Z2" s="3" t="s">
        <v>877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266">
        <v>100.0</v>
      </c>
      <c r="T3" s="248">
        <f t="shared" ref="T3:T7" si="2">AVERAGE(P3:S3)</f>
        <v>92.675</v>
      </c>
      <c r="U3" s="265">
        <v>102.0</v>
      </c>
      <c r="V3" s="265">
        <v>107.0</v>
      </c>
      <c r="W3" s="265">
        <v>110.0</v>
      </c>
      <c r="X3" s="266">
        <v>111.0</v>
      </c>
      <c r="Y3" s="248">
        <f t="shared" ref="Y3:Y7" si="3">AVERAGE(U3:X3)</f>
        <v>107.5</v>
      </c>
      <c r="Z3" s="3" t="s">
        <v>878</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64">
        <v>75.0</v>
      </c>
      <c r="T4" s="248">
        <f t="shared" si="2"/>
        <v>80.65</v>
      </c>
      <c r="U4" s="264">
        <v>74.0</v>
      </c>
      <c r="V4" s="264">
        <v>74.0</v>
      </c>
      <c r="W4" s="264">
        <v>73.0</v>
      </c>
      <c r="X4" s="264">
        <v>72.0</v>
      </c>
      <c r="Y4" s="248">
        <f t="shared" si="3"/>
        <v>73.25</v>
      </c>
      <c r="Z4" s="3" t="s">
        <v>879</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64">
        <f>S4-S6</f>
        <v>64</v>
      </c>
      <c r="T5" s="248">
        <f t="shared" si="2"/>
        <v>66.75</v>
      </c>
      <c r="U5" s="264">
        <f t="shared" ref="U5:X5" si="4">U4-U6</f>
        <v>63</v>
      </c>
      <c r="V5" s="264">
        <f t="shared" si="4"/>
        <v>63</v>
      </c>
      <c r="W5" s="264">
        <f t="shared" si="4"/>
        <v>62</v>
      </c>
      <c r="X5" s="264">
        <f t="shared" si="4"/>
        <v>61</v>
      </c>
      <c r="Y5" s="248">
        <f t="shared" si="3"/>
        <v>62.25</v>
      </c>
      <c r="Z5" s="3" t="s">
        <v>880</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64">
        <v>11.0</v>
      </c>
      <c r="T6" s="248">
        <f t="shared" si="2"/>
        <v>13.9</v>
      </c>
      <c r="U6" s="264">
        <v>11.0</v>
      </c>
      <c r="V6" s="264">
        <v>11.0</v>
      </c>
      <c r="W6" s="264">
        <v>11.0</v>
      </c>
      <c r="X6" s="264">
        <v>11.0</v>
      </c>
      <c r="Y6" s="248">
        <f t="shared" si="3"/>
        <v>11</v>
      </c>
      <c r="Z6" s="3" t="s">
        <v>881</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67">
        <v>9.8</v>
      </c>
      <c r="T7" s="258">
        <f t="shared" si="2"/>
        <v>8.675</v>
      </c>
      <c r="U7" s="268"/>
      <c r="V7" s="268"/>
      <c r="W7" s="268"/>
      <c r="X7" s="267">
        <v>8.0</v>
      </c>
      <c r="Y7" s="258">
        <f t="shared" si="3"/>
        <v>8</v>
      </c>
      <c r="Z7" s="3" t="s">
        <v>882</v>
      </c>
      <c r="AA7" s="4"/>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69">
        <v>21.0</v>
      </c>
      <c r="T8" s="258">
        <v>17.5</v>
      </c>
      <c r="U8" s="270">
        <v>21.0</v>
      </c>
      <c r="V8" s="270">
        <v>21.0</v>
      </c>
      <c r="W8" s="270">
        <v>21.0</v>
      </c>
      <c r="X8" s="269">
        <v>21.0</v>
      </c>
      <c r="Y8" s="258">
        <v>21.0</v>
      </c>
      <c r="Z8" s="3" t="s">
        <v>883</v>
      </c>
    </row>
    <row r="9" hidden="1">
      <c r="A9" s="252" t="s">
        <v>766</v>
      </c>
      <c r="E9" s="114"/>
      <c r="F9" s="115"/>
      <c r="G9" s="115"/>
      <c r="H9" s="115"/>
      <c r="I9" s="112"/>
      <c r="J9" s="112"/>
      <c r="T9" s="103"/>
      <c r="U9" s="54"/>
      <c r="V9" s="287" t="s">
        <v>767</v>
      </c>
      <c r="W9" s="54"/>
      <c r="X9" s="54"/>
      <c r="Y9" s="103"/>
      <c r="Z9" s="3" t="s">
        <v>884</v>
      </c>
    </row>
    <row r="10">
      <c r="E10" s="114"/>
      <c r="F10" s="115"/>
      <c r="G10" s="115"/>
      <c r="H10" s="115"/>
      <c r="I10" s="112"/>
      <c r="J10" s="112"/>
      <c r="O10" s="4" t="s">
        <v>785</v>
      </c>
      <c r="R10" s="218" t="s">
        <v>786</v>
      </c>
      <c r="S10" s="298">
        <v>100.0</v>
      </c>
      <c r="T10" s="299"/>
      <c r="U10" s="298">
        <v>104.0</v>
      </c>
      <c r="V10" s="298">
        <v>107.0</v>
      </c>
      <c r="W10" s="298">
        <v>110.0</v>
      </c>
      <c r="X10" s="298">
        <v>110.0</v>
      </c>
      <c r="Y10" s="215"/>
      <c r="Z10" s="3" t="s">
        <v>885</v>
      </c>
    </row>
    <row r="11">
      <c r="E11" s="114"/>
      <c r="F11" s="115"/>
      <c r="G11" s="115"/>
      <c r="H11" s="115"/>
      <c r="I11" s="112" t="s">
        <v>406</v>
      </c>
      <c r="J11" s="112" t="s">
        <v>406</v>
      </c>
      <c r="N11" s="218" t="s">
        <v>886</v>
      </c>
      <c r="O11" s="242">
        <v>74.0</v>
      </c>
      <c r="R11" s="218" t="s">
        <v>887</v>
      </c>
      <c r="S11" s="242">
        <v>100.0</v>
      </c>
      <c r="U11" s="242">
        <v>102.0</v>
      </c>
      <c r="V11" s="242">
        <v>107.0</v>
      </c>
      <c r="W11" s="242">
        <v>110.0</v>
      </c>
      <c r="X11" s="242">
        <v>112.0</v>
      </c>
      <c r="Y11" s="215"/>
      <c r="Z11" s="3" t="s">
        <v>888</v>
      </c>
    </row>
    <row r="12">
      <c r="E12" s="114" t="s">
        <v>241</v>
      </c>
      <c r="F12" s="115" t="s">
        <v>242</v>
      </c>
      <c r="G12" s="115" t="s">
        <v>242</v>
      </c>
      <c r="H12" s="115" t="s">
        <v>194</v>
      </c>
      <c r="I12" s="115" t="s">
        <v>148</v>
      </c>
      <c r="N12" s="218" t="s">
        <v>469</v>
      </c>
      <c r="O12" s="242">
        <v>74.0</v>
      </c>
      <c r="R12" s="218" t="s">
        <v>469</v>
      </c>
      <c r="S12" s="242">
        <v>100.0</v>
      </c>
      <c r="U12" s="242">
        <v>100.0</v>
      </c>
      <c r="V12" s="300">
        <v>107.0</v>
      </c>
      <c r="W12" s="300">
        <v>110.0</v>
      </c>
      <c r="X12" s="300">
        <v>110.0</v>
      </c>
      <c r="Y12" s="215"/>
      <c r="Z12" s="3" t="s">
        <v>889</v>
      </c>
    </row>
    <row r="13">
      <c r="C13" s="4">
        <v>5.7</v>
      </c>
      <c r="D13" s="4">
        <v>6.5</v>
      </c>
      <c r="E13" s="62">
        <v>7.4</v>
      </c>
      <c r="F13" s="54">
        <v>8.1</v>
      </c>
      <c r="G13" s="54"/>
      <c r="H13" s="62"/>
      <c r="I13" s="62"/>
      <c r="J13" s="62"/>
      <c r="N13" s="218" t="s">
        <v>470</v>
      </c>
      <c r="O13" s="242">
        <v>74.0</v>
      </c>
      <c r="R13" s="218" t="s">
        <v>470</v>
      </c>
      <c r="S13" s="242">
        <v>100.0</v>
      </c>
      <c r="U13" s="300">
        <v>104.0</v>
      </c>
      <c r="V13" s="300">
        <v>107.0</v>
      </c>
      <c r="W13" s="300">
        <v>110.0</v>
      </c>
      <c r="X13" s="300">
        <v>110.0</v>
      </c>
      <c r="Z13" s="3" t="s">
        <v>890</v>
      </c>
    </row>
    <row r="14">
      <c r="D14" s="111" t="s">
        <v>241</v>
      </c>
      <c r="E14" s="117">
        <v>7.0</v>
      </c>
      <c r="F14" s="112">
        <v>7.3</v>
      </c>
      <c r="G14" s="112"/>
      <c r="H14" s="112"/>
      <c r="I14" s="117"/>
      <c r="J14" s="112"/>
      <c r="N14" s="54"/>
      <c r="O14" s="54"/>
      <c r="R14" s="54"/>
      <c r="S14" s="54"/>
      <c r="T14" s="288"/>
      <c r="U14" s="54"/>
      <c r="V14" s="54"/>
      <c r="W14" s="54"/>
      <c r="X14" s="54"/>
      <c r="Z14" s="3" t="s">
        <v>891</v>
      </c>
    </row>
    <row r="15">
      <c r="C15" s="10"/>
      <c r="D15" s="10"/>
      <c r="E15" s="10"/>
      <c r="F15" s="10"/>
      <c r="G15" s="10"/>
      <c r="H15" s="10"/>
      <c r="I15" s="10"/>
      <c r="J15" s="10"/>
      <c r="N15" s="54"/>
      <c r="O15" s="234">
        <f>AVERAGE(O11:O14)</f>
        <v>74</v>
      </c>
      <c r="R15" s="54"/>
      <c r="S15" s="234">
        <f>AVERAGE(S11:S14)</f>
        <v>100</v>
      </c>
      <c r="U15" s="234">
        <f t="shared" ref="U15:X15" si="8">AVERAGE(U11:U14)</f>
        <v>102</v>
      </c>
      <c r="V15" s="234">
        <f t="shared" si="8"/>
        <v>107</v>
      </c>
      <c r="W15" s="234">
        <f t="shared" si="8"/>
        <v>110</v>
      </c>
      <c r="X15" s="234">
        <f t="shared" si="8"/>
        <v>110.6666667</v>
      </c>
    </row>
    <row r="16">
      <c r="E16" s="118"/>
      <c r="F16" s="118"/>
      <c r="G16" s="118"/>
      <c r="H16" s="118"/>
      <c r="I16" s="118"/>
      <c r="J16" s="118"/>
      <c r="N16" s="54"/>
      <c r="Q16" s="218" t="s">
        <v>786</v>
      </c>
      <c r="R16" s="9"/>
      <c r="S16" s="55"/>
    </row>
    <row r="17">
      <c r="E17" s="118"/>
      <c r="F17" s="118"/>
      <c r="G17" s="118"/>
      <c r="H17" s="118"/>
      <c r="I17" s="118"/>
      <c r="J17" s="118"/>
      <c r="N17" s="54"/>
      <c r="Q17" s="218" t="s">
        <v>892</v>
      </c>
      <c r="R17" s="243">
        <v>9.9</v>
      </c>
      <c r="T17" s="53"/>
      <c r="U17" s="290" t="s">
        <v>786</v>
      </c>
      <c r="V17" s="303">
        <v>8.0</v>
      </c>
      <c r="W17" s="218"/>
      <c r="X17" s="218"/>
      <c r="Y17" s="218"/>
      <c r="Z17" s="31" t="s">
        <v>286</v>
      </c>
      <c r="AA17" s="61" t="s">
        <v>762</v>
      </c>
      <c r="AB17" s="61" t="s">
        <v>763</v>
      </c>
      <c r="AC17" s="61" t="s">
        <v>764</v>
      </c>
      <c r="AD17" s="61" t="s">
        <v>765</v>
      </c>
    </row>
    <row r="18">
      <c r="E18" s="118"/>
      <c r="F18" s="118"/>
      <c r="G18" s="118"/>
      <c r="H18" s="118"/>
      <c r="I18" s="118"/>
      <c r="J18" s="118"/>
      <c r="Q18" s="218" t="s">
        <v>469</v>
      </c>
      <c r="R18" s="243">
        <v>9.7</v>
      </c>
      <c r="T18" s="53"/>
      <c r="U18" s="291" t="s">
        <v>893</v>
      </c>
      <c r="V18" s="301">
        <v>8.0</v>
      </c>
      <c r="W18" s="218"/>
      <c r="X18" s="218"/>
      <c r="Y18" s="218"/>
      <c r="Z18" s="3" t="s">
        <v>468</v>
      </c>
      <c r="AA18" s="276">
        <v>21.0</v>
      </c>
      <c r="AB18" s="276">
        <v>21.0</v>
      </c>
      <c r="AC18" s="276">
        <v>21.0</v>
      </c>
      <c r="AD18" s="276">
        <v>21.0</v>
      </c>
    </row>
    <row r="19">
      <c r="E19" s="118"/>
      <c r="F19" s="118"/>
      <c r="G19" s="118"/>
      <c r="H19" s="118"/>
      <c r="I19" s="118"/>
      <c r="J19" s="118"/>
      <c r="N19" s="218"/>
      <c r="Q19" s="291" t="s">
        <v>470</v>
      </c>
      <c r="R19" s="243">
        <v>9.7</v>
      </c>
      <c r="T19" s="53"/>
      <c r="U19" s="291" t="s">
        <v>469</v>
      </c>
      <c r="V19" s="301">
        <v>8.0</v>
      </c>
      <c r="W19" s="218"/>
      <c r="X19" s="218"/>
      <c r="Y19" s="218"/>
      <c r="Z19" s="3" t="s">
        <v>469</v>
      </c>
      <c r="AA19" s="280">
        <v>21.0</v>
      </c>
      <c r="AB19" s="280">
        <v>21.0</v>
      </c>
      <c r="AC19" s="280">
        <v>21.0</v>
      </c>
      <c r="AD19" s="280">
        <v>21.0</v>
      </c>
    </row>
    <row r="20">
      <c r="E20" s="118"/>
      <c r="F20" s="118"/>
      <c r="G20" s="118"/>
      <c r="H20" s="118"/>
      <c r="I20" s="118"/>
      <c r="J20" s="118"/>
      <c r="R20" s="234">
        <f>AVERAGE(R17:R19)</f>
        <v>9.766666667</v>
      </c>
      <c r="T20" s="53"/>
      <c r="U20" s="291" t="s">
        <v>470</v>
      </c>
      <c r="V20" s="301">
        <v>8.0</v>
      </c>
      <c r="W20" s="218"/>
      <c r="X20" s="218"/>
      <c r="Y20" s="218"/>
      <c r="Z20" s="3" t="s">
        <v>470</v>
      </c>
      <c r="AA20" s="276">
        <v>21.0</v>
      </c>
      <c r="AB20" s="276">
        <v>21.0</v>
      </c>
      <c r="AC20" s="276">
        <v>21.0</v>
      </c>
      <c r="AD20" s="276">
        <v>21.0</v>
      </c>
    </row>
    <row r="21">
      <c r="E21" s="118"/>
      <c r="F21" s="118"/>
      <c r="G21" s="118"/>
      <c r="H21" s="118"/>
      <c r="I21" s="118"/>
      <c r="J21" s="118"/>
      <c r="O21" s="3" t="s">
        <v>791</v>
      </c>
      <c r="T21" s="55"/>
      <c r="U21" s="55"/>
      <c r="V21" s="55"/>
      <c r="AA21" s="293">
        <f t="shared" ref="AA21:AD21" si="9">AVERAGE(AA18:AA20)</f>
        <v>21</v>
      </c>
      <c r="AB21" s="293">
        <f t="shared" si="9"/>
        <v>21</v>
      </c>
      <c r="AC21" s="293">
        <f t="shared" si="9"/>
        <v>21</v>
      </c>
      <c r="AD21" s="293">
        <f t="shared" si="9"/>
        <v>21</v>
      </c>
    </row>
    <row r="22">
      <c r="A22" s="3"/>
      <c r="B22" s="12"/>
      <c r="C22" s="12"/>
      <c r="D22" s="13"/>
      <c r="E22" s="13"/>
      <c r="F22" s="13"/>
      <c r="G22" s="13"/>
      <c r="H22" s="13"/>
      <c r="I22" s="13"/>
      <c r="J22" s="13"/>
      <c r="U22" s="295"/>
      <c r="V22" s="293">
        <f>AVERAGE(V18:V21)</f>
        <v>8</v>
      </c>
      <c r="Y22" s="32">
        <v>2025.0</v>
      </c>
    </row>
    <row r="23">
      <c r="R23" s="4"/>
      <c r="T23" s="55"/>
      <c r="X23" s="218" t="s">
        <v>786</v>
      </c>
      <c r="Y23" s="289">
        <v>-2.5</v>
      </c>
    </row>
    <row r="24">
      <c r="Q24" s="4" t="s">
        <v>350</v>
      </c>
      <c r="R24" s="4" t="s">
        <v>353</v>
      </c>
      <c r="S24" s="4" t="s">
        <v>355</v>
      </c>
      <c r="T24" s="4" t="s">
        <v>581</v>
      </c>
      <c r="X24" s="218" t="s">
        <v>894</v>
      </c>
      <c r="Y24" s="242">
        <v>2.5</v>
      </c>
    </row>
    <row r="25">
      <c r="P25" s="4" t="s">
        <v>62</v>
      </c>
      <c r="Q25" s="284">
        <v>96.1</v>
      </c>
      <c r="R25" s="284">
        <v>100.7</v>
      </c>
      <c r="S25" s="24">
        <v>103.0</v>
      </c>
      <c r="T25" s="226">
        <f t="shared" ref="T25:T28" si="10">AVERAGE(Q25:S25)</f>
        <v>99.93333333</v>
      </c>
      <c r="X25" s="218" t="s">
        <v>469</v>
      </c>
      <c r="Y25" s="243">
        <v>0.0</v>
      </c>
    </row>
    <row r="26">
      <c r="P26" s="4" t="s">
        <v>28</v>
      </c>
      <c r="Q26" s="284">
        <v>75.6</v>
      </c>
      <c r="R26" s="284">
        <v>74.1</v>
      </c>
      <c r="S26" s="116">
        <v>74.0</v>
      </c>
      <c r="T26" s="226">
        <f t="shared" si="10"/>
        <v>74.56666667</v>
      </c>
      <c r="X26" s="218" t="s">
        <v>470</v>
      </c>
      <c r="Y26" s="243">
        <v>-2.5</v>
      </c>
    </row>
    <row r="27">
      <c r="P27" s="4" t="s">
        <v>582</v>
      </c>
      <c r="Q27" s="296">
        <v>64.6</v>
      </c>
      <c r="R27" s="284">
        <v>63.8</v>
      </c>
      <c r="S27" s="24">
        <v>63.6</v>
      </c>
      <c r="T27" s="226">
        <f t="shared" si="10"/>
        <v>64</v>
      </c>
      <c r="X27" s="54"/>
      <c r="Y27" s="54"/>
    </row>
    <row r="28">
      <c r="P28" s="4" t="s">
        <v>583</v>
      </c>
      <c r="Q28" s="285">
        <f t="shared" ref="Q28:S28" si="11">Q26-Q27</f>
        <v>11</v>
      </c>
      <c r="R28" s="175">
        <f t="shared" si="11"/>
        <v>10.3</v>
      </c>
      <c r="S28" s="285">
        <f t="shared" si="11"/>
        <v>10.4</v>
      </c>
      <c r="T28" s="226">
        <f t="shared" si="10"/>
        <v>10.56666667</v>
      </c>
      <c r="X28" s="54"/>
      <c r="Y28" s="234">
        <f>AVERAGE(Y24:Y27)</f>
        <v>0</v>
      </c>
    </row>
    <row r="34">
      <c r="N34" s="31" t="s">
        <v>586</v>
      </c>
    </row>
    <row r="35">
      <c r="N35" s="3" t="s">
        <v>587</v>
      </c>
      <c r="Q35" s="3" t="s">
        <v>588</v>
      </c>
    </row>
    <row r="36">
      <c r="N36" s="3" t="s">
        <v>589</v>
      </c>
      <c r="Q36" s="3" t="s">
        <v>590</v>
      </c>
      <c r="X36" s="41">
        <v>0.1</v>
      </c>
      <c r="Y36" s="41">
        <v>0.3</v>
      </c>
    </row>
    <row r="37">
      <c r="N37" s="3" t="s">
        <v>591</v>
      </c>
      <c r="Q37" s="3" t="s">
        <v>592</v>
      </c>
      <c r="V37" s="3" t="s">
        <v>536</v>
      </c>
      <c r="X37" s="3" t="s">
        <v>537</v>
      </c>
    </row>
    <row r="38">
      <c r="N38" s="3" t="s">
        <v>593</v>
      </c>
      <c r="Q38" s="3" t="s">
        <v>594</v>
      </c>
      <c r="V38" s="3" t="s">
        <v>538</v>
      </c>
      <c r="W38" s="4">
        <v>0.24</v>
      </c>
      <c r="X38" s="212">
        <f t="shared" ref="X38:X44" si="12">W38*$X$36</f>
        <v>0.024</v>
      </c>
      <c r="Y38" s="212">
        <f t="shared" ref="Y38:Y44" si="13">W38*$Y$36</f>
        <v>0.072</v>
      </c>
    </row>
    <row r="39">
      <c r="N39" s="3" t="s">
        <v>595</v>
      </c>
      <c r="Q39" s="3" t="s">
        <v>596</v>
      </c>
      <c r="V39" s="99" t="s">
        <v>540</v>
      </c>
      <c r="W39" s="4">
        <v>0.055</v>
      </c>
      <c r="X39" s="212">
        <f t="shared" si="12"/>
        <v>0.0055</v>
      </c>
      <c r="Y39" s="212">
        <f t="shared" si="13"/>
        <v>0.0165</v>
      </c>
      <c r="Z39" s="49" t="s">
        <v>541</v>
      </c>
    </row>
    <row r="40">
      <c r="N40" s="3" t="s">
        <v>597</v>
      </c>
      <c r="Q40" s="3" t="s">
        <v>598</v>
      </c>
      <c r="V40" s="3" t="s">
        <v>835</v>
      </c>
      <c r="W40" s="4">
        <v>0.125</v>
      </c>
      <c r="X40" s="212">
        <f t="shared" si="12"/>
        <v>0.0125</v>
      </c>
      <c r="Y40" s="212">
        <f t="shared" si="13"/>
        <v>0.0375</v>
      </c>
      <c r="AA40" s="3" t="s">
        <v>688</v>
      </c>
    </row>
    <row r="41">
      <c r="N41" s="3" t="s">
        <v>599</v>
      </c>
      <c r="Q41" s="3" t="s">
        <v>600</v>
      </c>
      <c r="V41" s="3" t="s">
        <v>542</v>
      </c>
      <c r="W41" s="4">
        <v>0.1</v>
      </c>
      <c r="X41" s="212">
        <f t="shared" si="12"/>
        <v>0.01</v>
      </c>
      <c r="Y41" s="212">
        <f t="shared" si="13"/>
        <v>0.03</v>
      </c>
      <c r="AA41" s="3" t="s">
        <v>689</v>
      </c>
    </row>
    <row r="42">
      <c r="V42" s="3" t="s">
        <v>543</v>
      </c>
      <c r="W42" s="4">
        <f>(0.05+0.1)/2</f>
        <v>0.075</v>
      </c>
      <c r="X42" s="212">
        <f t="shared" si="12"/>
        <v>0.0075</v>
      </c>
      <c r="Y42" s="212">
        <f t="shared" si="13"/>
        <v>0.0225</v>
      </c>
      <c r="AA42" s="3" t="s">
        <v>690</v>
      </c>
    </row>
    <row r="43">
      <c r="N43" s="3" t="s">
        <v>601</v>
      </c>
      <c r="Q43" s="3" t="s">
        <v>602</v>
      </c>
      <c r="V43" s="3" t="s">
        <v>545</v>
      </c>
      <c r="W43" s="4">
        <v>0.05</v>
      </c>
      <c r="X43" s="212">
        <f t="shared" si="12"/>
        <v>0.005</v>
      </c>
      <c r="Y43" s="212">
        <f t="shared" si="13"/>
        <v>0.015</v>
      </c>
      <c r="AA43" s="3" t="s">
        <v>691</v>
      </c>
    </row>
    <row r="44">
      <c r="Q44" s="3" t="s">
        <v>603</v>
      </c>
      <c r="V44" s="3" t="s">
        <v>558</v>
      </c>
      <c r="W44" s="4">
        <v>0.2</v>
      </c>
      <c r="X44" s="212">
        <f t="shared" si="12"/>
        <v>0.02</v>
      </c>
      <c r="Y44" s="212">
        <f t="shared" si="13"/>
        <v>0.06</v>
      </c>
    </row>
    <row r="45">
      <c r="N45" s="3" t="s">
        <v>604</v>
      </c>
    </row>
    <row r="46">
      <c r="R46" s="3" t="s">
        <v>605</v>
      </c>
    </row>
    <row r="47">
      <c r="N47" s="3" t="s">
        <v>606</v>
      </c>
      <c r="R47" s="3" t="s">
        <v>607</v>
      </c>
    </row>
    <row r="48">
      <c r="N48" s="65">
        <f>60%*47.5</f>
        <v>28.5</v>
      </c>
      <c r="O48" s="3" t="s">
        <v>608</v>
      </c>
      <c r="R48" s="65">
        <f>60%*55</f>
        <v>33</v>
      </c>
      <c r="S48" s="3" t="s">
        <v>608</v>
      </c>
    </row>
    <row r="49">
      <c r="N49" s="65">
        <f>N48*72%</f>
        <v>20.52</v>
      </c>
      <c r="O49" s="3" t="s">
        <v>609</v>
      </c>
      <c r="R49" s="65">
        <f>R48*83%</f>
        <v>27.39</v>
      </c>
      <c r="S49" s="3" t="s">
        <v>609</v>
      </c>
    </row>
    <row r="50">
      <c r="N50" s="65">
        <f>N48-N49</f>
        <v>7.98</v>
      </c>
      <c r="O50" s="3" t="s">
        <v>610</v>
      </c>
      <c r="R50" s="65">
        <f>R48-R49</f>
        <v>5.61</v>
      </c>
      <c r="S50" s="3" t="s">
        <v>610</v>
      </c>
    </row>
    <row r="51">
      <c r="N51" s="3" t="s">
        <v>895</v>
      </c>
      <c r="Q51" s="3" t="s">
        <v>896</v>
      </c>
    </row>
    <row r="52">
      <c r="N52" s="3" t="s">
        <v>613</v>
      </c>
      <c r="Q52" s="3" t="s">
        <v>614</v>
      </c>
    </row>
    <row r="53">
      <c r="N53" s="3" t="s">
        <v>615</v>
      </c>
      <c r="Q53" s="3" t="s">
        <v>616</v>
      </c>
    </row>
    <row r="54">
      <c r="N54" s="3" t="s">
        <v>617</v>
      </c>
      <c r="Q54" s="3" t="s">
        <v>618</v>
      </c>
    </row>
    <row r="56">
      <c r="M56" s="3" t="s">
        <v>619</v>
      </c>
      <c r="N56" s="31" t="s">
        <v>620</v>
      </c>
      <c r="P56" s="218" t="s">
        <v>619</v>
      </c>
      <c r="Q56" s="31" t="s">
        <v>621</v>
      </c>
    </row>
    <row r="59">
      <c r="Q59" s="3" t="s">
        <v>897</v>
      </c>
    </row>
    <row r="60">
      <c r="Q60" s="3" t="s">
        <v>623</v>
      </c>
    </row>
    <row r="61">
      <c r="Q61" s="3" t="s">
        <v>616</v>
      </c>
    </row>
    <row r="62">
      <c r="Q62" s="3" t="s">
        <v>618</v>
      </c>
    </row>
    <row r="64">
      <c r="P64" s="218" t="s">
        <v>619</v>
      </c>
      <c r="Q64" s="31" t="s">
        <v>624</v>
      </c>
    </row>
  </sheetData>
  <hyperlinks>
    <hyperlink r:id="rId1" ref="Z39"/>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60">
        <v>45686.0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93.0</v>
      </c>
      <c r="T3" s="248">
        <f t="shared" ref="T3:T7" si="2">AVERAGE(P3:S3)</f>
        <v>90.925</v>
      </c>
      <c r="U3" s="265">
        <v>102.0</v>
      </c>
      <c r="V3" s="265">
        <v>106.0</v>
      </c>
      <c r="W3" s="265">
        <v>111.0</v>
      </c>
      <c r="X3" s="266">
        <v>111.0</v>
      </c>
      <c r="Y3" s="248">
        <f t="shared" ref="Y3:Y7" si="3">AVERAGE(U3:X3)</f>
        <v>107.5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264">
        <v>77.0</v>
      </c>
      <c r="V4" s="264">
        <v>75.0</v>
      </c>
      <c r="W4" s="264">
        <v>74.0</v>
      </c>
      <c r="X4" s="264">
        <v>72.0</v>
      </c>
      <c r="Y4" s="248">
        <f t="shared" si="3"/>
        <v>74.5</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264">
        <f t="shared" ref="U5:X5" si="4">U4-U6</f>
        <v>63</v>
      </c>
      <c r="V5" s="264">
        <f t="shared" si="4"/>
        <v>61</v>
      </c>
      <c r="W5" s="264">
        <f t="shared" si="4"/>
        <v>62</v>
      </c>
      <c r="X5" s="264">
        <f t="shared" si="4"/>
        <v>60</v>
      </c>
      <c r="Y5" s="248">
        <f t="shared" si="3"/>
        <v>61.5</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55">
        <v>10.0</v>
      </c>
      <c r="T6" s="248">
        <f t="shared" si="2"/>
        <v>13.65</v>
      </c>
      <c r="U6" s="264">
        <v>14.0</v>
      </c>
      <c r="V6" s="264">
        <v>14.0</v>
      </c>
      <c r="W6" s="264">
        <v>12.0</v>
      </c>
      <c r="X6" s="264">
        <v>12.0</v>
      </c>
      <c r="Y6" s="248">
        <f t="shared" si="3"/>
        <v>13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82">
        <v>9.5</v>
      </c>
      <c r="T7" s="258">
        <f t="shared" si="2"/>
        <v>8.6</v>
      </c>
      <c r="U7" s="268">
        <v>10.4</v>
      </c>
      <c r="V7" s="268">
        <v>10.0</v>
      </c>
      <c r="W7" s="268">
        <v>9.8</v>
      </c>
      <c r="X7" s="267">
        <v>8.1</v>
      </c>
      <c r="Y7" s="258">
        <f t="shared" si="3"/>
        <v>9.575</v>
      </c>
      <c r="AA7" s="4"/>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71">
        <v>21.0</v>
      </c>
      <c r="T8" s="258">
        <v>17.5</v>
      </c>
      <c r="U8" s="270">
        <v>21.0</v>
      </c>
      <c r="V8" s="270">
        <v>21.0</v>
      </c>
      <c r="W8" s="270">
        <v>21.0</v>
      </c>
      <c r="X8" s="269">
        <v>21.0</v>
      </c>
      <c r="Y8" s="258">
        <v>21.0</v>
      </c>
      <c r="Z8" s="3" t="s">
        <v>898</v>
      </c>
    </row>
    <row r="9" hidden="1">
      <c r="A9" s="252" t="s">
        <v>766</v>
      </c>
      <c r="E9" s="114"/>
      <c r="F9" s="115"/>
      <c r="G9" s="115"/>
      <c r="H9" s="115"/>
      <c r="I9" s="112"/>
      <c r="J9" s="112"/>
      <c r="T9" s="103"/>
      <c r="U9" s="54"/>
      <c r="V9" s="287" t="s">
        <v>767</v>
      </c>
      <c r="W9" s="54"/>
      <c r="X9" s="54"/>
      <c r="Y9" s="103"/>
      <c r="Z9" s="3" t="s">
        <v>899</v>
      </c>
    </row>
    <row r="10">
      <c r="E10" s="114"/>
      <c r="F10" s="115"/>
      <c r="G10" s="115"/>
      <c r="H10" s="115"/>
      <c r="I10" s="112"/>
      <c r="J10" s="112"/>
      <c r="O10" s="4"/>
      <c r="S10" s="298"/>
      <c r="T10" s="218"/>
      <c r="U10" s="61" t="s">
        <v>762</v>
      </c>
      <c r="V10" s="61" t="s">
        <v>763</v>
      </c>
      <c r="W10" s="61" t="s">
        <v>764</v>
      </c>
      <c r="X10" s="61" t="s">
        <v>765</v>
      </c>
      <c r="Y10" s="215"/>
      <c r="Z10" s="3"/>
    </row>
    <row r="11">
      <c r="E11" s="114"/>
      <c r="F11" s="115"/>
      <c r="G11" s="115"/>
      <c r="H11" s="115"/>
      <c r="I11" s="112"/>
      <c r="J11" s="112"/>
      <c r="O11" s="4" t="s">
        <v>785</v>
      </c>
      <c r="S11" s="298"/>
      <c r="T11" s="218" t="s">
        <v>786</v>
      </c>
      <c r="U11" s="298">
        <v>103.5</v>
      </c>
      <c r="V11" s="298">
        <v>107.0</v>
      </c>
      <c r="W11" s="298">
        <v>111.0</v>
      </c>
      <c r="X11" s="298">
        <v>111.0</v>
      </c>
      <c r="Y11" s="215"/>
      <c r="Z11" s="3" t="s">
        <v>900</v>
      </c>
    </row>
    <row r="12">
      <c r="E12" s="114"/>
      <c r="F12" s="115"/>
      <c r="G12" s="115"/>
      <c r="H12" s="115"/>
      <c r="I12" s="112" t="s">
        <v>406</v>
      </c>
      <c r="J12" s="112" t="s">
        <v>406</v>
      </c>
      <c r="N12" s="218" t="s">
        <v>901</v>
      </c>
      <c r="O12" s="242">
        <v>74.0</v>
      </c>
      <c r="S12" s="298"/>
      <c r="T12" s="218" t="s">
        <v>902</v>
      </c>
      <c r="U12" s="242">
        <v>100.0</v>
      </c>
      <c r="V12" s="242">
        <v>105.0</v>
      </c>
      <c r="W12" s="242">
        <v>110.0</v>
      </c>
      <c r="X12" s="242">
        <v>112.0</v>
      </c>
      <c r="Y12" s="215"/>
      <c r="Z12" s="3" t="s">
        <v>903</v>
      </c>
    </row>
    <row r="13">
      <c r="E13" s="114" t="s">
        <v>241</v>
      </c>
      <c r="F13" s="115" t="s">
        <v>242</v>
      </c>
      <c r="G13" s="115" t="s">
        <v>242</v>
      </c>
      <c r="H13" s="115" t="s">
        <v>194</v>
      </c>
      <c r="I13" s="115" t="s">
        <v>148</v>
      </c>
      <c r="N13" s="218" t="s">
        <v>469</v>
      </c>
      <c r="O13" s="242">
        <v>74.0</v>
      </c>
      <c r="S13" s="298"/>
      <c r="T13" s="218" t="s">
        <v>469</v>
      </c>
      <c r="U13" s="242">
        <v>100.0</v>
      </c>
      <c r="V13" s="300">
        <v>107.0</v>
      </c>
      <c r="W13" s="300">
        <v>110.0</v>
      </c>
      <c r="X13" s="300">
        <v>110.0</v>
      </c>
      <c r="Y13" s="215"/>
      <c r="Z13" s="3" t="s">
        <v>904</v>
      </c>
    </row>
    <row r="14">
      <c r="C14" s="4">
        <v>5.7</v>
      </c>
      <c r="D14" s="4">
        <v>6.5</v>
      </c>
      <c r="E14" s="62">
        <v>7.4</v>
      </c>
      <c r="F14" s="54">
        <v>8.1</v>
      </c>
      <c r="G14" s="54"/>
      <c r="H14" s="62"/>
      <c r="I14" s="62"/>
      <c r="J14" s="62"/>
      <c r="N14" s="218" t="s">
        <v>470</v>
      </c>
      <c r="O14" s="242">
        <v>74.0</v>
      </c>
      <c r="S14" s="298"/>
      <c r="T14" s="218" t="s">
        <v>470</v>
      </c>
      <c r="U14" s="300">
        <v>104.0</v>
      </c>
      <c r="V14" s="300">
        <v>107.0</v>
      </c>
      <c r="W14" s="300">
        <v>111.0</v>
      </c>
      <c r="X14" s="300">
        <v>111.0</v>
      </c>
      <c r="Z14" s="3" t="s">
        <v>905</v>
      </c>
    </row>
    <row r="15">
      <c r="D15" s="111"/>
      <c r="E15" s="117"/>
      <c r="F15" s="112"/>
      <c r="G15" s="112"/>
      <c r="H15" s="112"/>
      <c r="I15" s="117"/>
      <c r="J15" s="112"/>
      <c r="N15" s="54"/>
      <c r="O15" s="54"/>
      <c r="S15" s="298"/>
      <c r="T15" s="288" t="s">
        <v>906</v>
      </c>
      <c r="U15" s="300">
        <v>102.0</v>
      </c>
      <c r="V15" s="300">
        <v>107.0</v>
      </c>
      <c r="W15" s="300">
        <v>111.0</v>
      </c>
      <c r="X15" s="300">
        <v>111.0</v>
      </c>
      <c r="Z15" s="3" t="s">
        <v>907</v>
      </c>
    </row>
    <row r="16">
      <c r="D16" s="111"/>
      <c r="E16" s="117"/>
      <c r="F16" s="112"/>
      <c r="G16" s="112"/>
      <c r="H16" s="112"/>
      <c r="I16" s="117"/>
      <c r="J16" s="112"/>
      <c r="N16" s="54"/>
      <c r="O16" s="54"/>
      <c r="S16" s="298"/>
      <c r="T16" s="288" t="s">
        <v>908</v>
      </c>
      <c r="U16" s="300">
        <v>102.0</v>
      </c>
      <c r="V16" s="300">
        <v>106.0</v>
      </c>
      <c r="W16" s="300">
        <v>111.0</v>
      </c>
      <c r="X16" s="300">
        <v>112.0</v>
      </c>
      <c r="Z16" s="3" t="s">
        <v>909</v>
      </c>
    </row>
    <row r="17">
      <c r="D17" s="111" t="s">
        <v>241</v>
      </c>
      <c r="E17" s="117">
        <v>7.0</v>
      </c>
      <c r="F17" s="112">
        <v>7.3</v>
      </c>
      <c r="G17" s="112"/>
      <c r="H17" s="112"/>
      <c r="I17" s="117"/>
      <c r="J17" s="112"/>
      <c r="N17" s="54"/>
      <c r="O17" s="54"/>
      <c r="R17" s="54"/>
      <c r="S17" s="298"/>
      <c r="T17" s="288" t="s">
        <v>910</v>
      </c>
      <c r="U17" s="234">
        <f t="shared" ref="U17:X17" si="8">AVERAGE(U12:U14)</f>
        <v>101.3333333</v>
      </c>
      <c r="V17" s="234">
        <f t="shared" si="8"/>
        <v>106.3333333</v>
      </c>
      <c r="W17" s="234">
        <f t="shared" si="8"/>
        <v>110.3333333</v>
      </c>
      <c r="X17" s="234">
        <f t="shared" si="8"/>
        <v>111</v>
      </c>
      <c r="Z17" s="3" t="s">
        <v>911</v>
      </c>
    </row>
    <row r="18">
      <c r="C18" s="10"/>
      <c r="D18" s="10"/>
      <c r="E18" s="10"/>
      <c r="F18" s="10"/>
      <c r="G18" s="10"/>
      <c r="H18" s="10"/>
      <c r="I18" s="10"/>
      <c r="J18" s="10"/>
      <c r="N18" s="54"/>
      <c r="O18" s="234">
        <f>AVERAGE(O12:O17)</f>
        <v>74</v>
      </c>
      <c r="R18" s="54"/>
      <c r="S18" s="298"/>
      <c r="T18" s="218" t="s">
        <v>912</v>
      </c>
      <c r="U18" s="234">
        <f t="shared" ref="U18:X18" si="9">AVERAGE(U12:U16)</f>
        <v>101.6</v>
      </c>
      <c r="V18" s="234">
        <f t="shared" si="9"/>
        <v>106.4</v>
      </c>
      <c r="W18" s="234">
        <f t="shared" si="9"/>
        <v>110.6</v>
      </c>
      <c r="X18" s="234">
        <f t="shared" si="9"/>
        <v>111.2</v>
      </c>
      <c r="Z18" s="3" t="s">
        <v>913</v>
      </c>
    </row>
    <row r="19">
      <c r="E19" s="118"/>
      <c r="F19" s="118"/>
      <c r="G19" s="118"/>
      <c r="H19" s="118"/>
      <c r="I19" s="118"/>
      <c r="J19" s="118"/>
      <c r="N19" s="54"/>
      <c r="R19" s="54"/>
      <c r="S19" s="298"/>
    </row>
    <row r="20">
      <c r="E20" s="118"/>
      <c r="F20" s="118"/>
      <c r="G20" s="118"/>
      <c r="H20" s="118"/>
      <c r="I20" s="118"/>
      <c r="J20" s="118"/>
      <c r="N20" s="54"/>
      <c r="R20" s="54"/>
      <c r="T20" s="53"/>
      <c r="U20" s="290" t="s">
        <v>786</v>
      </c>
      <c r="V20" s="303">
        <v>8.1</v>
      </c>
      <c r="W20" s="218"/>
      <c r="X20" s="218"/>
      <c r="Y20" s="218"/>
      <c r="Z20" s="31" t="s">
        <v>286</v>
      </c>
      <c r="AA20" s="61" t="s">
        <v>762</v>
      </c>
      <c r="AB20" s="61" t="s">
        <v>763</v>
      </c>
      <c r="AC20" s="61" t="s">
        <v>764</v>
      </c>
      <c r="AD20" s="61" t="s">
        <v>765</v>
      </c>
    </row>
    <row r="21">
      <c r="E21" s="118"/>
      <c r="F21" s="118"/>
      <c r="G21" s="118"/>
      <c r="H21" s="118"/>
      <c r="I21" s="118"/>
      <c r="J21" s="118"/>
      <c r="R21" s="54"/>
      <c r="T21" s="53"/>
      <c r="U21" s="291" t="s">
        <v>914</v>
      </c>
      <c r="V21" s="301">
        <v>8.1</v>
      </c>
      <c r="W21" s="99" t="s">
        <v>915</v>
      </c>
      <c r="X21" s="218"/>
      <c r="Y21" s="218"/>
      <c r="Z21" s="3" t="s">
        <v>468</v>
      </c>
      <c r="AA21" s="276">
        <v>21.0</v>
      </c>
      <c r="AB21" s="276">
        <v>21.0</v>
      </c>
      <c r="AC21" s="276">
        <v>21.0</v>
      </c>
      <c r="AD21" s="276">
        <v>21.0</v>
      </c>
    </row>
    <row r="22">
      <c r="E22" s="118"/>
      <c r="F22" s="118"/>
      <c r="G22" s="118"/>
      <c r="H22" s="118"/>
      <c r="I22" s="118"/>
      <c r="J22" s="118"/>
      <c r="N22" s="218"/>
      <c r="R22" s="54"/>
      <c r="T22" s="53"/>
      <c r="U22" s="291" t="s">
        <v>469</v>
      </c>
      <c r="V22" s="301">
        <v>8.1</v>
      </c>
      <c r="W22" s="99" t="s">
        <v>916</v>
      </c>
      <c r="X22" s="218"/>
      <c r="Y22" s="218"/>
      <c r="Z22" s="3" t="s">
        <v>469</v>
      </c>
      <c r="AA22" s="280">
        <v>21.0</v>
      </c>
      <c r="AB22" s="280">
        <v>21.0</v>
      </c>
      <c r="AC22" s="280">
        <v>21.0</v>
      </c>
      <c r="AD22" s="280">
        <v>21.0</v>
      </c>
    </row>
    <row r="23">
      <c r="E23" s="118"/>
      <c r="F23" s="118"/>
      <c r="G23" s="118"/>
      <c r="H23" s="118"/>
      <c r="I23" s="118"/>
      <c r="J23" s="118"/>
      <c r="R23" s="54"/>
      <c r="T23" s="53"/>
      <c r="U23" s="291" t="s">
        <v>470</v>
      </c>
      <c r="V23" s="301">
        <v>8.1</v>
      </c>
      <c r="W23" s="218"/>
      <c r="X23" s="218"/>
      <c r="Y23" s="218"/>
      <c r="Z23" s="3" t="s">
        <v>470</v>
      </c>
      <c r="AA23" s="276">
        <v>21.0</v>
      </c>
      <c r="AB23" s="276">
        <v>21.0</v>
      </c>
      <c r="AC23" s="276">
        <v>21.0</v>
      </c>
      <c r="AD23" s="276">
        <v>21.0</v>
      </c>
    </row>
    <row r="24">
      <c r="E24" s="118"/>
      <c r="F24" s="118"/>
      <c r="G24" s="118"/>
      <c r="H24" s="118"/>
      <c r="I24" s="118"/>
      <c r="J24" s="118"/>
      <c r="O24" s="3"/>
      <c r="T24" s="55"/>
      <c r="U24" s="288" t="s">
        <v>906</v>
      </c>
      <c r="V24" s="301">
        <v>8.1</v>
      </c>
      <c r="Z24" s="287" t="s">
        <v>906</v>
      </c>
      <c r="AA24" s="280">
        <v>21.0</v>
      </c>
      <c r="AB24" s="280">
        <v>21.0</v>
      </c>
      <c r="AC24" s="280">
        <v>21.0</v>
      </c>
      <c r="AD24" s="305">
        <v>20.0</v>
      </c>
      <c r="AE24" s="3" t="s">
        <v>917</v>
      </c>
    </row>
    <row r="25">
      <c r="E25" s="118"/>
      <c r="F25" s="118"/>
      <c r="G25" s="118"/>
      <c r="H25" s="118"/>
      <c r="I25" s="118"/>
      <c r="J25" s="118"/>
      <c r="O25" s="3"/>
      <c r="T25" s="55"/>
      <c r="U25" s="288" t="s">
        <v>908</v>
      </c>
      <c r="V25" s="301">
        <v>8.1</v>
      </c>
      <c r="Z25" s="287" t="s">
        <v>908</v>
      </c>
      <c r="AA25" s="276">
        <v>21.0</v>
      </c>
      <c r="AB25" s="276">
        <v>21.0</v>
      </c>
      <c r="AC25" s="276">
        <v>21.0</v>
      </c>
      <c r="AD25" s="306">
        <v>19.0</v>
      </c>
    </row>
    <row r="26">
      <c r="E26" s="118"/>
      <c r="F26" s="118"/>
      <c r="G26" s="118"/>
      <c r="H26" s="118"/>
      <c r="I26" s="118"/>
      <c r="J26" s="118"/>
      <c r="T26" s="55"/>
      <c r="U26" s="55"/>
      <c r="V26" s="293">
        <f>AVERAGE(V21:V25)</f>
        <v>8.1</v>
      </c>
      <c r="Z26" s="288" t="s">
        <v>910</v>
      </c>
      <c r="AA26" s="234">
        <f t="shared" ref="AA26:AD26" si="10">AVERAGE(AA21:AA23)</f>
        <v>21</v>
      </c>
      <c r="AB26" s="234">
        <f t="shared" si="10"/>
        <v>21</v>
      </c>
      <c r="AC26" s="234">
        <f t="shared" si="10"/>
        <v>21</v>
      </c>
      <c r="AD26" s="234">
        <f t="shared" si="10"/>
        <v>21</v>
      </c>
    </row>
    <row r="27">
      <c r="A27" s="3"/>
      <c r="B27" s="12"/>
      <c r="C27" s="12"/>
      <c r="D27" s="13"/>
      <c r="E27" s="13"/>
      <c r="F27" s="13"/>
      <c r="G27" s="13"/>
      <c r="H27" s="13"/>
      <c r="I27" s="13"/>
      <c r="J27" s="13"/>
      <c r="U27" s="295"/>
      <c r="Y27" s="32">
        <v>2025.0</v>
      </c>
      <c r="Z27" s="218" t="s">
        <v>912</v>
      </c>
      <c r="AA27" s="293">
        <f t="shared" ref="AA27:AD27" si="11">AVERAGE(AA21:AA25)</f>
        <v>21</v>
      </c>
      <c r="AB27" s="293">
        <f t="shared" si="11"/>
        <v>21</v>
      </c>
      <c r="AC27" s="293">
        <f t="shared" si="11"/>
        <v>21</v>
      </c>
      <c r="AD27" s="293">
        <f t="shared" si="11"/>
        <v>20.4</v>
      </c>
    </row>
    <row r="28">
      <c r="N28" s="3" t="s">
        <v>918</v>
      </c>
      <c r="R28" s="4"/>
      <c r="T28" s="55"/>
      <c r="X28" s="218" t="s">
        <v>786</v>
      </c>
      <c r="Y28" s="289">
        <v>-2.5</v>
      </c>
    </row>
    <row r="29">
      <c r="N29" s="307" t="s">
        <v>652</v>
      </c>
      <c r="Q29" s="4" t="s">
        <v>652</v>
      </c>
      <c r="R29" s="4" t="s">
        <v>335</v>
      </c>
      <c r="S29" s="4" t="s">
        <v>338</v>
      </c>
      <c r="T29" s="4" t="s">
        <v>581</v>
      </c>
      <c r="X29" s="218" t="s">
        <v>919</v>
      </c>
      <c r="Y29" s="242">
        <v>2.5</v>
      </c>
    </row>
    <row r="30">
      <c r="M30" s="308" t="s">
        <v>62</v>
      </c>
      <c r="N30" s="308">
        <v>100.8</v>
      </c>
      <c r="P30" s="4" t="s">
        <v>62</v>
      </c>
      <c r="Q30" s="236">
        <v>100.8</v>
      </c>
      <c r="R30" s="236">
        <v>98.5</v>
      </c>
      <c r="S30" s="24">
        <v>101.0</v>
      </c>
      <c r="T30" s="226">
        <f t="shared" ref="T30:T33" si="12">AVERAGE(Q30:S30)</f>
        <v>100.1</v>
      </c>
      <c r="X30" s="218" t="s">
        <v>469</v>
      </c>
      <c r="Y30" s="243">
        <v>0.0</v>
      </c>
    </row>
    <row r="31">
      <c r="M31" s="309" t="s">
        <v>920</v>
      </c>
      <c r="N31" s="308">
        <v>13.71</v>
      </c>
      <c r="P31" s="4" t="s">
        <v>28</v>
      </c>
      <c r="Q31" s="236">
        <v>80.0</v>
      </c>
      <c r="R31" s="236">
        <v>77.0</v>
      </c>
      <c r="S31" s="116">
        <v>75.0</v>
      </c>
      <c r="T31" s="226">
        <f t="shared" si="12"/>
        <v>77.33333333</v>
      </c>
      <c r="X31" s="218" t="s">
        <v>470</v>
      </c>
      <c r="Y31" s="243">
        <v>-2.5</v>
      </c>
    </row>
    <row r="32">
      <c r="M32" s="309" t="s">
        <v>921</v>
      </c>
      <c r="N32" s="310">
        <v>7.3</v>
      </c>
      <c r="P32" s="4" t="s">
        <v>582</v>
      </c>
      <c r="Q32" s="311">
        <v>67.0</v>
      </c>
      <c r="R32" s="312">
        <f t="shared" ref="R32:S32" si="13">R31-R33</f>
        <v>62</v>
      </c>
      <c r="S32" s="313">
        <f t="shared" si="13"/>
        <v>60</v>
      </c>
      <c r="T32" s="226">
        <f t="shared" si="12"/>
        <v>63</v>
      </c>
      <c r="X32" s="288" t="s">
        <v>906</v>
      </c>
      <c r="Y32" s="301"/>
    </row>
    <row r="33">
      <c r="M33" s="309" t="s">
        <v>24</v>
      </c>
      <c r="N33" s="308">
        <v>104.3</v>
      </c>
      <c r="P33" s="4" t="s">
        <v>583</v>
      </c>
      <c r="Q33" s="117">
        <f>Q31-Q32</f>
        <v>13</v>
      </c>
      <c r="R33" s="24">
        <v>15.0</v>
      </c>
      <c r="S33" s="24">
        <v>15.0</v>
      </c>
      <c r="T33" s="226">
        <f t="shared" si="12"/>
        <v>14.33333333</v>
      </c>
      <c r="X33" s="288" t="s">
        <v>908</v>
      </c>
      <c r="Y33" s="301"/>
    </row>
    <row r="34">
      <c r="M34" s="309" t="s">
        <v>922</v>
      </c>
      <c r="N34" s="308">
        <v>1.035</v>
      </c>
      <c r="Y34" s="234">
        <f>AVERAGE(Y29:Y33)</f>
        <v>0</v>
      </c>
    </row>
    <row r="35">
      <c r="M35" s="308" t="s">
        <v>28</v>
      </c>
      <c r="N35" s="308">
        <v>80.0</v>
      </c>
    </row>
    <row r="36">
      <c r="M36" s="308" t="s">
        <v>582</v>
      </c>
      <c r="N36" s="309">
        <v>67.6</v>
      </c>
    </row>
    <row r="39">
      <c r="N39" s="31" t="s">
        <v>586</v>
      </c>
    </row>
    <row r="40">
      <c r="N40" s="3" t="s">
        <v>587</v>
      </c>
      <c r="Q40" s="3" t="s">
        <v>588</v>
      </c>
    </row>
    <row r="41">
      <c r="N41" s="3" t="s">
        <v>589</v>
      </c>
      <c r="Q41" s="3" t="s">
        <v>590</v>
      </c>
      <c r="X41" s="41">
        <v>0.1</v>
      </c>
      <c r="Y41" s="41">
        <v>0.3</v>
      </c>
    </row>
    <row r="42">
      <c r="N42" s="3" t="s">
        <v>591</v>
      </c>
      <c r="Q42" s="3" t="s">
        <v>592</v>
      </c>
      <c r="V42" s="3" t="s">
        <v>536</v>
      </c>
      <c r="X42" s="3" t="s">
        <v>537</v>
      </c>
    </row>
    <row r="43">
      <c r="N43" s="3" t="s">
        <v>593</v>
      </c>
      <c r="Q43" s="3" t="s">
        <v>594</v>
      </c>
      <c r="V43" s="3" t="s">
        <v>538</v>
      </c>
      <c r="W43" s="4">
        <v>0.24</v>
      </c>
      <c r="X43" s="212">
        <f t="shared" ref="X43:X49" si="14">W43*$X$41</f>
        <v>0.024</v>
      </c>
      <c r="Y43" s="212">
        <f t="shared" ref="Y43:Y49" si="15">W43*$Y$41</f>
        <v>0.072</v>
      </c>
    </row>
    <row r="44">
      <c r="N44" s="3" t="s">
        <v>595</v>
      </c>
      <c r="Q44" s="3" t="s">
        <v>596</v>
      </c>
      <c r="V44" s="99" t="s">
        <v>540</v>
      </c>
      <c r="W44" s="4">
        <v>0.055</v>
      </c>
      <c r="X44" s="212">
        <f t="shared" si="14"/>
        <v>0.0055</v>
      </c>
      <c r="Y44" s="212">
        <f t="shared" si="15"/>
        <v>0.0165</v>
      </c>
      <c r="Z44" s="49" t="s">
        <v>541</v>
      </c>
    </row>
    <row r="45">
      <c r="N45" s="3" t="s">
        <v>597</v>
      </c>
      <c r="Q45" s="3" t="s">
        <v>598</v>
      </c>
      <c r="V45" s="3" t="s">
        <v>835</v>
      </c>
      <c r="W45" s="4">
        <v>0.125</v>
      </c>
      <c r="X45" s="212">
        <f t="shared" si="14"/>
        <v>0.0125</v>
      </c>
      <c r="Y45" s="212">
        <f t="shared" si="15"/>
        <v>0.0375</v>
      </c>
      <c r="AA45" s="3" t="s">
        <v>688</v>
      </c>
    </row>
    <row r="46">
      <c r="N46" s="3" t="s">
        <v>599</v>
      </c>
      <c r="Q46" s="3" t="s">
        <v>600</v>
      </c>
      <c r="V46" s="3" t="s">
        <v>542</v>
      </c>
      <c r="W46" s="4">
        <v>0.1</v>
      </c>
      <c r="X46" s="212">
        <f t="shared" si="14"/>
        <v>0.01</v>
      </c>
      <c r="Y46" s="212">
        <f t="shared" si="15"/>
        <v>0.03</v>
      </c>
      <c r="AA46" s="3" t="s">
        <v>689</v>
      </c>
    </row>
    <row r="47">
      <c r="V47" s="3" t="s">
        <v>543</v>
      </c>
      <c r="W47" s="4">
        <f>(0.05+0.1)/2</f>
        <v>0.075</v>
      </c>
      <c r="X47" s="212">
        <f t="shared" si="14"/>
        <v>0.0075</v>
      </c>
      <c r="Y47" s="212">
        <f t="shared" si="15"/>
        <v>0.0225</v>
      </c>
      <c r="AA47" s="3" t="s">
        <v>690</v>
      </c>
    </row>
    <row r="48">
      <c r="N48" s="3" t="s">
        <v>601</v>
      </c>
      <c r="Q48" s="3" t="s">
        <v>602</v>
      </c>
      <c r="V48" s="3" t="s">
        <v>545</v>
      </c>
      <c r="W48" s="4">
        <v>0.05</v>
      </c>
      <c r="X48" s="212">
        <f t="shared" si="14"/>
        <v>0.005</v>
      </c>
      <c r="Y48" s="212">
        <f t="shared" si="15"/>
        <v>0.015</v>
      </c>
      <c r="AA48" s="3" t="s">
        <v>691</v>
      </c>
    </row>
    <row r="49">
      <c r="Q49" s="3" t="s">
        <v>603</v>
      </c>
      <c r="V49" s="3" t="s">
        <v>558</v>
      </c>
      <c r="W49" s="4">
        <v>0.2</v>
      </c>
      <c r="X49" s="212">
        <f t="shared" si="14"/>
        <v>0.02</v>
      </c>
      <c r="Y49" s="212">
        <f t="shared" si="15"/>
        <v>0.06</v>
      </c>
    </row>
    <row r="50">
      <c r="N50" s="3" t="s">
        <v>604</v>
      </c>
    </row>
    <row r="51">
      <c r="R51" s="3" t="s">
        <v>605</v>
      </c>
    </row>
    <row r="52">
      <c r="N52" s="3" t="s">
        <v>606</v>
      </c>
      <c r="R52" s="3" t="s">
        <v>607</v>
      </c>
    </row>
    <row r="53">
      <c r="N53" s="65">
        <f>60%*47.5</f>
        <v>28.5</v>
      </c>
      <c r="O53" s="3" t="s">
        <v>608</v>
      </c>
      <c r="R53" s="65">
        <f>60%*55</f>
        <v>33</v>
      </c>
      <c r="S53" s="3" t="s">
        <v>608</v>
      </c>
    </row>
    <row r="54">
      <c r="N54" s="65">
        <f>N53*72%</f>
        <v>20.52</v>
      </c>
      <c r="O54" s="3" t="s">
        <v>609</v>
      </c>
      <c r="R54" s="65">
        <f>R53*83%</f>
        <v>27.39</v>
      </c>
      <c r="S54" s="3" t="s">
        <v>609</v>
      </c>
    </row>
    <row r="55">
      <c r="N55" s="65">
        <f>N53-N54</f>
        <v>7.98</v>
      </c>
      <c r="O55" s="3" t="s">
        <v>610</v>
      </c>
      <c r="R55" s="65">
        <f>R53-R54</f>
        <v>5.61</v>
      </c>
      <c r="S55" s="3" t="s">
        <v>610</v>
      </c>
    </row>
    <row r="56">
      <c r="N56" s="3" t="s">
        <v>923</v>
      </c>
      <c r="Q56" s="3" t="s">
        <v>924</v>
      </c>
    </row>
    <row r="57">
      <c r="N57" s="3" t="s">
        <v>613</v>
      </c>
      <c r="Q57" s="3" t="s">
        <v>614</v>
      </c>
    </row>
    <row r="58">
      <c r="N58" s="3" t="s">
        <v>615</v>
      </c>
      <c r="Q58" s="3" t="s">
        <v>616</v>
      </c>
    </row>
    <row r="59">
      <c r="N59" s="3" t="s">
        <v>617</v>
      </c>
      <c r="Q59" s="3" t="s">
        <v>618</v>
      </c>
    </row>
    <row r="61">
      <c r="M61" s="3" t="s">
        <v>619</v>
      </c>
      <c r="N61" s="31" t="s">
        <v>620</v>
      </c>
      <c r="P61" s="218" t="s">
        <v>619</v>
      </c>
      <c r="Q61" s="31" t="s">
        <v>621</v>
      </c>
    </row>
    <row r="64">
      <c r="Q64" s="3" t="s">
        <v>925</v>
      </c>
    </row>
    <row r="65">
      <c r="Q65" s="3" t="s">
        <v>623</v>
      </c>
    </row>
    <row r="66">
      <c r="Q66" s="3" t="s">
        <v>616</v>
      </c>
    </row>
    <row r="67">
      <c r="Q67" s="3" t="s">
        <v>618</v>
      </c>
    </row>
    <row r="69">
      <c r="P69" s="218" t="s">
        <v>619</v>
      </c>
      <c r="Q69" s="31" t="s">
        <v>624</v>
      </c>
    </row>
  </sheetData>
  <hyperlinks>
    <hyperlink r:id="rId1" ref="Z44"/>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60">
        <v>45702.0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93.0</v>
      </c>
      <c r="T3" s="248">
        <f t="shared" ref="T3:T7" si="2">AVERAGE(P3:S3)</f>
        <v>90.925</v>
      </c>
      <c r="U3" s="265">
        <v>97.0</v>
      </c>
      <c r="V3" s="265">
        <v>100.0</v>
      </c>
      <c r="W3" s="265">
        <v>105.0</v>
      </c>
      <c r="X3" s="266">
        <v>106.0</v>
      </c>
      <c r="Y3" s="248">
        <f t="shared" ref="Y3:Y7" si="3">AVERAGE(U3:X3)</f>
        <v>102</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264">
        <v>77.0</v>
      </c>
      <c r="V4" s="264">
        <v>75.0</v>
      </c>
      <c r="W4" s="264">
        <v>74.0</v>
      </c>
      <c r="X4" s="264">
        <v>72.0</v>
      </c>
      <c r="Y4" s="248">
        <f t="shared" si="3"/>
        <v>74.5</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264">
        <f t="shared" ref="U5:X5" si="4">U4-U6</f>
        <v>63</v>
      </c>
      <c r="V5" s="264">
        <f t="shared" si="4"/>
        <v>61</v>
      </c>
      <c r="W5" s="264">
        <f t="shared" si="4"/>
        <v>62</v>
      </c>
      <c r="X5" s="264">
        <f t="shared" si="4"/>
        <v>60</v>
      </c>
      <c r="Y5" s="248">
        <f t="shared" si="3"/>
        <v>61.5</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55">
        <v>10.0</v>
      </c>
      <c r="T6" s="248">
        <f t="shared" si="2"/>
        <v>13.65</v>
      </c>
      <c r="U6" s="264">
        <v>14.0</v>
      </c>
      <c r="V6" s="264">
        <v>14.0</v>
      </c>
      <c r="W6" s="264">
        <v>12.0</v>
      </c>
      <c r="X6" s="264">
        <v>12.0</v>
      </c>
      <c r="Y6" s="248">
        <f t="shared" si="3"/>
        <v>13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82">
        <v>9.5</v>
      </c>
      <c r="T7" s="258">
        <f t="shared" si="2"/>
        <v>8.6</v>
      </c>
      <c r="U7" s="268">
        <v>10.4</v>
      </c>
      <c r="V7" s="268">
        <v>9.8</v>
      </c>
      <c r="W7" s="268">
        <v>9.4</v>
      </c>
      <c r="X7" s="267">
        <v>7.2</v>
      </c>
      <c r="Y7" s="258">
        <f t="shared" si="3"/>
        <v>9.2</v>
      </c>
      <c r="AA7" s="4"/>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71">
        <v>21.0</v>
      </c>
      <c r="T8" s="258">
        <v>17.5</v>
      </c>
      <c r="U8" s="270">
        <v>21.0</v>
      </c>
      <c r="V8" s="270">
        <v>21.0</v>
      </c>
      <c r="W8" s="270">
        <v>21.0</v>
      </c>
      <c r="X8" s="269">
        <v>21.0</v>
      </c>
      <c r="Y8" s="258"/>
      <c r="Z8" s="3" t="s">
        <v>898</v>
      </c>
    </row>
    <row r="9" hidden="1">
      <c r="A9" s="252" t="s">
        <v>766</v>
      </c>
      <c r="E9" s="114"/>
      <c r="F9" s="115"/>
      <c r="G9" s="115"/>
      <c r="H9" s="115"/>
      <c r="I9" s="112"/>
      <c r="J9" s="112"/>
      <c r="T9" s="103"/>
      <c r="U9" s="54"/>
      <c r="V9" s="287" t="s">
        <v>767</v>
      </c>
      <c r="W9" s="54"/>
      <c r="X9" s="54"/>
      <c r="Y9" s="103"/>
      <c r="Z9" s="3" t="s">
        <v>899</v>
      </c>
    </row>
    <row r="10">
      <c r="E10" s="114"/>
      <c r="F10" s="115"/>
      <c r="G10" s="115"/>
      <c r="H10" s="115"/>
      <c r="I10" s="112"/>
      <c r="J10" s="112"/>
      <c r="O10" s="4"/>
      <c r="S10" s="298"/>
      <c r="T10" s="314"/>
      <c r="U10" s="61" t="s">
        <v>762</v>
      </c>
      <c r="V10" s="61" t="s">
        <v>763</v>
      </c>
      <c r="W10" s="61" t="s">
        <v>764</v>
      </c>
      <c r="X10" s="61" t="s">
        <v>765</v>
      </c>
      <c r="Y10" s="215"/>
      <c r="Z10" s="3"/>
    </row>
    <row r="11">
      <c r="E11" s="114"/>
      <c r="F11" s="115"/>
      <c r="G11" s="115"/>
      <c r="H11" s="115"/>
      <c r="I11" s="112"/>
      <c r="J11" s="112"/>
      <c r="O11" s="4" t="s">
        <v>785</v>
      </c>
      <c r="S11" s="298"/>
      <c r="T11" s="314" t="s">
        <v>786</v>
      </c>
      <c r="U11" s="315">
        <v>98.0</v>
      </c>
      <c r="V11" s="315">
        <v>101.0</v>
      </c>
      <c r="W11" s="315">
        <v>106.0</v>
      </c>
      <c r="X11" s="315">
        <v>105.0</v>
      </c>
      <c r="Y11" s="215"/>
      <c r="Z11" s="3" t="s">
        <v>900</v>
      </c>
    </row>
    <row r="12">
      <c r="E12" s="114"/>
      <c r="F12" s="115"/>
      <c r="G12" s="115"/>
      <c r="H12" s="115"/>
      <c r="I12" s="112" t="s">
        <v>406</v>
      </c>
      <c r="J12" s="112" t="s">
        <v>406</v>
      </c>
      <c r="N12" s="218" t="s">
        <v>926</v>
      </c>
      <c r="O12" s="242"/>
      <c r="S12" s="298"/>
      <c r="T12" s="218" t="s">
        <v>927</v>
      </c>
      <c r="U12" s="242">
        <v>95.0</v>
      </c>
      <c r="V12" s="242">
        <v>99.0</v>
      </c>
      <c r="W12" s="242">
        <v>103.0</v>
      </c>
      <c r="X12" s="242">
        <v>105.0</v>
      </c>
      <c r="Y12" s="215"/>
      <c r="Z12" s="3" t="s">
        <v>903</v>
      </c>
    </row>
    <row r="13">
      <c r="E13" s="114" t="s">
        <v>241</v>
      </c>
      <c r="F13" s="115" t="s">
        <v>242</v>
      </c>
      <c r="G13" s="115" t="s">
        <v>242</v>
      </c>
      <c r="H13" s="115" t="s">
        <v>194</v>
      </c>
      <c r="I13" s="115" t="s">
        <v>148</v>
      </c>
      <c r="N13" s="218" t="s">
        <v>469</v>
      </c>
      <c r="O13" s="242"/>
      <c r="S13" s="298"/>
      <c r="T13" s="218" t="s">
        <v>469</v>
      </c>
      <c r="U13" s="242">
        <v>98.0</v>
      </c>
      <c r="V13" s="300">
        <v>100.0</v>
      </c>
      <c r="W13" s="300">
        <v>105.0</v>
      </c>
      <c r="X13" s="300">
        <v>107.0</v>
      </c>
      <c r="Y13" s="215"/>
      <c r="Z13" s="3" t="s">
        <v>904</v>
      </c>
    </row>
    <row r="14">
      <c r="C14" s="4">
        <v>5.7</v>
      </c>
      <c r="D14" s="4">
        <v>6.5</v>
      </c>
      <c r="E14" s="62">
        <v>7.4</v>
      </c>
      <c r="F14" s="54">
        <v>8.1</v>
      </c>
      <c r="G14" s="54"/>
      <c r="H14" s="62"/>
      <c r="I14" s="62"/>
      <c r="J14" s="62"/>
      <c r="N14" s="218" t="s">
        <v>470</v>
      </c>
      <c r="O14" s="242"/>
      <c r="S14" s="298"/>
      <c r="T14" s="218" t="s">
        <v>470</v>
      </c>
      <c r="U14" s="300">
        <v>98.0</v>
      </c>
      <c r="V14" s="300">
        <v>101.0</v>
      </c>
      <c r="W14" s="300">
        <v>106.0</v>
      </c>
      <c r="X14" s="300">
        <v>105.0</v>
      </c>
      <c r="Z14" s="3" t="s">
        <v>905</v>
      </c>
    </row>
    <row r="15">
      <c r="D15" s="111"/>
      <c r="E15" s="117"/>
      <c r="F15" s="112"/>
      <c r="G15" s="112"/>
      <c r="H15" s="112"/>
      <c r="I15" s="117"/>
      <c r="J15" s="112"/>
      <c r="N15" s="54"/>
      <c r="O15" s="54"/>
      <c r="S15" s="298"/>
      <c r="T15" s="288" t="s">
        <v>906</v>
      </c>
      <c r="U15" s="300">
        <v>98.0</v>
      </c>
      <c r="V15" s="300">
        <v>101.0</v>
      </c>
      <c r="W15" s="300">
        <v>106.0</v>
      </c>
      <c r="X15" s="300">
        <v>105.0</v>
      </c>
      <c r="Z15" s="3" t="s">
        <v>907</v>
      </c>
    </row>
    <row r="16">
      <c r="D16" s="111"/>
      <c r="E16" s="117"/>
      <c r="F16" s="112"/>
      <c r="G16" s="112"/>
      <c r="H16" s="112"/>
      <c r="I16" s="117"/>
      <c r="J16" s="112"/>
      <c r="N16" s="54"/>
      <c r="O16" s="54"/>
      <c r="S16" s="298"/>
      <c r="T16" s="288" t="s">
        <v>908</v>
      </c>
      <c r="U16" s="300"/>
      <c r="V16" s="300"/>
      <c r="W16" s="300"/>
      <c r="X16" s="300"/>
      <c r="Z16" s="3" t="s">
        <v>909</v>
      </c>
    </row>
    <row r="17">
      <c r="D17" s="111" t="s">
        <v>241</v>
      </c>
      <c r="E17" s="117">
        <v>7.0</v>
      </c>
      <c r="F17" s="112">
        <v>7.3</v>
      </c>
      <c r="G17" s="112"/>
      <c r="H17" s="112"/>
      <c r="I17" s="117"/>
      <c r="J17" s="112"/>
      <c r="N17" s="54"/>
      <c r="O17" s="54"/>
      <c r="R17" s="54"/>
      <c r="S17" s="298"/>
      <c r="T17" s="288" t="s">
        <v>910</v>
      </c>
      <c r="U17" s="316">
        <f t="shared" ref="U17:X17" si="8">AVERAGE(U12:U14)</f>
        <v>97</v>
      </c>
      <c r="V17" s="316">
        <f t="shared" si="8"/>
        <v>100</v>
      </c>
      <c r="W17" s="316">
        <f t="shared" si="8"/>
        <v>104.6666667</v>
      </c>
      <c r="X17" s="316">
        <f t="shared" si="8"/>
        <v>105.6666667</v>
      </c>
      <c r="Z17" s="3" t="s">
        <v>911</v>
      </c>
    </row>
    <row r="18">
      <c r="C18" s="10"/>
      <c r="D18" s="10"/>
      <c r="E18" s="10"/>
      <c r="F18" s="10"/>
      <c r="G18" s="10"/>
      <c r="H18" s="10"/>
      <c r="I18" s="10"/>
      <c r="J18" s="10"/>
      <c r="N18" s="54"/>
      <c r="O18" s="234" t="str">
        <f>AVERAGE(O12:O17)</f>
        <v>#DIV/0!</v>
      </c>
      <c r="R18" s="54"/>
      <c r="S18" s="298"/>
      <c r="T18" s="218" t="s">
        <v>912</v>
      </c>
      <c r="U18" s="234">
        <f t="shared" ref="U18:X18" si="9">AVERAGE(U12:U16)</f>
        <v>97.25</v>
      </c>
      <c r="V18" s="234">
        <f t="shared" si="9"/>
        <v>100.25</v>
      </c>
      <c r="W18" s="234">
        <f t="shared" si="9"/>
        <v>105</v>
      </c>
      <c r="X18" s="234">
        <f t="shared" si="9"/>
        <v>105.5</v>
      </c>
      <c r="Z18" s="3" t="s">
        <v>913</v>
      </c>
    </row>
    <row r="19">
      <c r="E19" s="118"/>
      <c r="F19" s="118"/>
      <c r="G19" s="118"/>
      <c r="H19" s="118"/>
      <c r="I19" s="118"/>
      <c r="J19" s="118"/>
      <c r="N19" s="54"/>
      <c r="R19" s="54"/>
      <c r="S19" s="298"/>
    </row>
    <row r="20">
      <c r="E20" s="118"/>
      <c r="F20" s="118"/>
      <c r="G20" s="118"/>
      <c r="H20" s="118"/>
      <c r="I20" s="118"/>
      <c r="J20" s="118"/>
      <c r="N20" s="54"/>
      <c r="R20" s="54"/>
      <c r="T20" s="53"/>
      <c r="U20" s="317" t="s">
        <v>786</v>
      </c>
      <c r="V20" s="318">
        <v>6.8</v>
      </c>
      <c r="W20" s="218"/>
      <c r="X20" s="218"/>
      <c r="Y20" s="218"/>
      <c r="Z20" s="31" t="s">
        <v>286</v>
      </c>
      <c r="AA20" s="61" t="s">
        <v>762</v>
      </c>
      <c r="AB20" s="61" t="s">
        <v>763</v>
      </c>
      <c r="AC20" s="61" t="s">
        <v>764</v>
      </c>
      <c r="AD20" s="61" t="s">
        <v>765</v>
      </c>
    </row>
    <row r="21">
      <c r="E21" s="118"/>
      <c r="F21" s="118"/>
      <c r="G21" s="118"/>
      <c r="H21" s="118"/>
      <c r="I21" s="118"/>
      <c r="J21" s="118"/>
      <c r="R21" s="54"/>
      <c r="T21" s="53"/>
      <c r="U21" s="291" t="s">
        <v>928</v>
      </c>
      <c r="V21" s="301">
        <v>8.0</v>
      </c>
      <c r="W21" s="99" t="s">
        <v>929</v>
      </c>
      <c r="X21" s="218"/>
      <c r="Y21" s="218"/>
      <c r="Z21" s="3" t="s">
        <v>468</v>
      </c>
      <c r="AA21" s="276"/>
      <c r="AB21" s="276"/>
      <c r="AC21" s="276"/>
      <c r="AD21" s="276"/>
    </row>
    <row r="22">
      <c r="E22" s="118"/>
      <c r="F22" s="118"/>
      <c r="G22" s="118"/>
      <c r="H22" s="118"/>
      <c r="I22" s="118"/>
      <c r="J22" s="118"/>
      <c r="N22" s="218"/>
      <c r="R22" s="54"/>
      <c r="T22" s="53"/>
      <c r="U22" s="291" t="s">
        <v>469</v>
      </c>
      <c r="V22" s="301">
        <v>7.0</v>
      </c>
      <c r="W22" s="99" t="s">
        <v>930</v>
      </c>
      <c r="X22" s="218"/>
      <c r="Y22" s="218"/>
      <c r="Z22" s="3" t="s">
        <v>469</v>
      </c>
      <c r="AA22" s="280">
        <v>21.0</v>
      </c>
      <c r="AB22" s="280">
        <v>21.0</v>
      </c>
      <c r="AC22" s="280">
        <v>21.0</v>
      </c>
      <c r="AD22" s="280">
        <v>21.0</v>
      </c>
    </row>
    <row r="23">
      <c r="E23" s="118"/>
      <c r="F23" s="118"/>
      <c r="G23" s="118"/>
      <c r="H23" s="118"/>
      <c r="I23" s="118"/>
      <c r="J23" s="118"/>
      <c r="R23" s="54"/>
      <c r="T23" s="53"/>
      <c r="U23" s="291" t="s">
        <v>470</v>
      </c>
      <c r="V23" s="301">
        <v>6.5</v>
      </c>
      <c r="W23" s="218"/>
      <c r="X23" s="218"/>
      <c r="Y23" s="218"/>
      <c r="Z23" s="3" t="s">
        <v>470</v>
      </c>
      <c r="AA23" s="276"/>
      <c r="AB23" s="276"/>
      <c r="AC23" s="276"/>
      <c r="AD23" s="276"/>
    </row>
    <row r="24">
      <c r="E24" s="118"/>
      <c r="F24" s="118"/>
      <c r="G24" s="118"/>
      <c r="H24" s="118"/>
      <c r="I24" s="118"/>
      <c r="J24" s="118"/>
      <c r="O24" s="3"/>
      <c r="T24" s="55"/>
      <c r="U24" s="288" t="s">
        <v>906</v>
      </c>
      <c r="V24" s="301">
        <v>7.2</v>
      </c>
      <c r="Z24" s="287" t="s">
        <v>906</v>
      </c>
      <c r="AA24" s="280"/>
      <c r="AB24" s="280"/>
      <c r="AC24" s="280"/>
      <c r="AD24" s="305"/>
      <c r="AE24" s="3" t="s">
        <v>917</v>
      </c>
    </row>
    <row r="25">
      <c r="E25" s="118"/>
      <c r="F25" s="118"/>
      <c r="G25" s="118"/>
      <c r="H25" s="118"/>
      <c r="I25" s="118"/>
      <c r="J25" s="118"/>
      <c r="O25" s="3"/>
      <c r="T25" s="55"/>
      <c r="U25" s="288" t="s">
        <v>908</v>
      </c>
      <c r="V25" s="301"/>
      <c r="Z25" s="287" t="s">
        <v>908</v>
      </c>
      <c r="AA25" s="276"/>
      <c r="AB25" s="276"/>
      <c r="AC25" s="276"/>
      <c r="AD25" s="306"/>
    </row>
    <row r="26">
      <c r="E26" s="118"/>
      <c r="F26" s="118"/>
      <c r="G26" s="118"/>
      <c r="H26" s="118"/>
      <c r="I26" s="118"/>
      <c r="J26" s="118"/>
      <c r="T26" s="55"/>
      <c r="U26" s="319" t="s">
        <v>910</v>
      </c>
      <c r="V26" s="316">
        <f>AVERAGE(V21:V23)</f>
        <v>7.166666667</v>
      </c>
      <c r="Z26" s="319" t="s">
        <v>910</v>
      </c>
      <c r="AA26" s="316">
        <f t="shared" ref="AA26:AD26" si="10">AVERAGE(AA21:AA23)</f>
        <v>21</v>
      </c>
      <c r="AB26" s="316">
        <f t="shared" si="10"/>
        <v>21</v>
      </c>
      <c r="AC26" s="316">
        <f t="shared" si="10"/>
        <v>21</v>
      </c>
      <c r="AD26" s="316">
        <f t="shared" si="10"/>
        <v>21</v>
      </c>
    </row>
    <row r="27">
      <c r="A27" s="3"/>
      <c r="B27" s="12"/>
      <c r="C27" s="12"/>
      <c r="D27" s="13"/>
      <c r="E27" s="13"/>
      <c r="F27" s="13"/>
      <c r="G27" s="13"/>
      <c r="H27" s="13"/>
      <c r="I27" s="13"/>
      <c r="J27" s="13"/>
      <c r="U27" s="218" t="s">
        <v>912</v>
      </c>
      <c r="V27" s="293">
        <f>AVERAGE(V21:V25)</f>
        <v>7.175</v>
      </c>
      <c r="Y27" s="32">
        <v>2025.0</v>
      </c>
      <c r="Z27" s="218" t="s">
        <v>912</v>
      </c>
      <c r="AA27" s="293">
        <f t="shared" ref="AA27:AD27" si="11">AVERAGE(AA21:AA25)</f>
        <v>21</v>
      </c>
      <c r="AB27" s="293">
        <f t="shared" si="11"/>
        <v>21</v>
      </c>
      <c r="AC27" s="293">
        <f t="shared" si="11"/>
        <v>21</v>
      </c>
      <c r="AD27" s="293">
        <f t="shared" si="11"/>
        <v>21</v>
      </c>
    </row>
    <row r="28">
      <c r="N28" s="3" t="s">
        <v>918</v>
      </c>
      <c r="R28" s="4"/>
      <c r="T28" s="55"/>
      <c r="X28" s="218" t="s">
        <v>786</v>
      </c>
      <c r="Y28" s="289">
        <v>-2.5</v>
      </c>
    </row>
    <row r="29">
      <c r="N29" s="307" t="s">
        <v>652</v>
      </c>
      <c r="Q29" s="4" t="s">
        <v>652</v>
      </c>
      <c r="R29" s="4" t="s">
        <v>335</v>
      </c>
      <c r="S29" s="4" t="s">
        <v>338</v>
      </c>
      <c r="T29" s="4" t="s">
        <v>581</v>
      </c>
      <c r="X29" s="218" t="s">
        <v>931</v>
      </c>
      <c r="Y29" s="242"/>
    </row>
    <row r="30">
      <c r="M30" s="308" t="s">
        <v>62</v>
      </c>
      <c r="N30" s="308">
        <v>100.8</v>
      </c>
      <c r="P30" s="4" t="s">
        <v>62</v>
      </c>
      <c r="Q30" s="236">
        <v>100.8</v>
      </c>
      <c r="R30" s="236">
        <v>98.5</v>
      </c>
      <c r="S30" s="24">
        <v>101.0</v>
      </c>
      <c r="T30" s="226">
        <f t="shared" ref="T30:T33" si="12">AVERAGE(Q30:S30)</f>
        <v>100.1</v>
      </c>
      <c r="X30" s="218" t="s">
        <v>469</v>
      </c>
      <c r="Y30" s="243">
        <v>0.0</v>
      </c>
    </row>
    <row r="31">
      <c r="M31" s="309" t="s">
        <v>920</v>
      </c>
      <c r="N31" s="308">
        <v>13.71</v>
      </c>
      <c r="P31" s="4" t="s">
        <v>28</v>
      </c>
      <c r="Q31" s="236">
        <v>80.0</v>
      </c>
      <c r="R31" s="236">
        <v>77.0</v>
      </c>
      <c r="S31" s="116">
        <v>75.0</v>
      </c>
      <c r="T31" s="226">
        <f t="shared" si="12"/>
        <v>77.33333333</v>
      </c>
      <c r="X31" s="218" t="s">
        <v>470</v>
      </c>
      <c r="Y31" s="243"/>
    </row>
    <row r="32">
      <c r="M32" s="309" t="s">
        <v>921</v>
      </c>
      <c r="N32" s="310">
        <v>7.3</v>
      </c>
      <c r="P32" s="4" t="s">
        <v>582</v>
      </c>
      <c r="Q32" s="311">
        <v>67.0</v>
      </c>
      <c r="R32" s="312">
        <f t="shared" ref="R32:S32" si="13">R31-R33</f>
        <v>62</v>
      </c>
      <c r="S32" s="313">
        <f t="shared" si="13"/>
        <v>60</v>
      </c>
      <c r="T32" s="226">
        <f t="shared" si="12"/>
        <v>63</v>
      </c>
      <c r="X32" s="288" t="s">
        <v>906</v>
      </c>
      <c r="Y32" s="301"/>
    </row>
    <row r="33">
      <c r="M33" s="309" t="s">
        <v>24</v>
      </c>
      <c r="N33" s="308">
        <v>104.3</v>
      </c>
      <c r="P33" s="4" t="s">
        <v>583</v>
      </c>
      <c r="Q33" s="117">
        <f>Q31-Q32</f>
        <v>13</v>
      </c>
      <c r="R33" s="24">
        <v>15.0</v>
      </c>
      <c r="S33" s="24">
        <v>15.0</v>
      </c>
      <c r="T33" s="226">
        <f t="shared" si="12"/>
        <v>14.33333333</v>
      </c>
      <c r="X33" s="288" t="s">
        <v>908</v>
      </c>
      <c r="Y33" s="301"/>
    </row>
    <row r="34">
      <c r="M34" s="309" t="s">
        <v>922</v>
      </c>
      <c r="N34" s="308">
        <v>1.035</v>
      </c>
      <c r="Y34" s="234">
        <f>AVERAGE(Y29:Y33)</f>
        <v>0</v>
      </c>
    </row>
    <row r="35">
      <c r="M35" s="308" t="s">
        <v>28</v>
      </c>
      <c r="N35" s="308">
        <v>80.0</v>
      </c>
    </row>
    <row r="36">
      <c r="M36" s="308" t="s">
        <v>582</v>
      </c>
      <c r="N36" s="309">
        <v>67.6</v>
      </c>
    </row>
    <row r="39">
      <c r="N39" s="31" t="s">
        <v>586</v>
      </c>
    </row>
    <row r="40">
      <c r="N40" s="3" t="s">
        <v>587</v>
      </c>
      <c r="Q40" s="3" t="s">
        <v>588</v>
      </c>
    </row>
    <row r="41">
      <c r="N41" s="3" t="s">
        <v>589</v>
      </c>
      <c r="Q41" s="3" t="s">
        <v>590</v>
      </c>
      <c r="X41" s="41">
        <v>0.1</v>
      </c>
      <c r="Y41" s="41">
        <v>0.3</v>
      </c>
    </row>
    <row r="42">
      <c r="N42" s="3" t="s">
        <v>591</v>
      </c>
      <c r="Q42" s="3" t="s">
        <v>592</v>
      </c>
      <c r="V42" s="3" t="s">
        <v>536</v>
      </c>
      <c r="X42" s="3" t="s">
        <v>537</v>
      </c>
    </row>
    <row r="43">
      <c r="N43" s="3" t="s">
        <v>593</v>
      </c>
      <c r="Q43" s="3" t="s">
        <v>594</v>
      </c>
      <c r="V43" s="3" t="s">
        <v>538</v>
      </c>
      <c r="W43" s="4">
        <v>0.24</v>
      </c>
      <c r="X43" s="212">
        <f t="shared" ref="X43:X49" si="14">W43*$X$41</f>
        <v>0.024</v>
      </c>
      <c r="Y43" s="212">
        <f t="shared" ref="Y43:Y49" si="15">W43*$Y$41</f>
        <v>0.072</v>
      </c>
    </row>
    <row r="44">
      <c r="N44" s="3" t="s">
        <v>595</v>
      </c>
      <c r="Q44" s="3" t="s">
        <v>596</v>
      </c>
      <c r="V44" s="99" t="s">
        <v>540</v>
      </c>
      <c r="W44" s="4">
        <v>0.055</v>
      </c>
      <c r="X44" s="212">
        <f t="shared" si="14"/>
        <v>0.0055</v>
      </c>
      <c r="Y44" s="212">
        <f t="shared" si="15"/>
        <v>0.0165</v>
      </c>
      <c r="Z44" s="49" t="s">
        <v>541</v>
      </c>
    </row>
    <row r="45">
      <c r="N45" s="3" t="s">
        <v>597</v>
      </c>
      <c r="Q45" s="3" t="s">
        <v>598</v>
      </c>
      <c r="V45" s="3" t="s">
        <v>835</v>
      </c>
      <c r="W45" s="4">
        <v>0.125</v>
      </c>
      <c r="X45" s="212">
        <f t="shared" si="14"/>
        <v>0.0125</v>
      </c>
      <c r="Y45" s="212">
        <f t="shared" si="15"/>
        <v>0.0375</v>
      </c>
      <c r="AA45" s="3" t="s">
        <v>688</v>
      </c>
    </row>
    <row r="46">
      <c r="N46" s="3" t="s">
        <v>599</v>
      </c>
      <c r="Q46" s="3" t="s">
        <v>600</v>
      </c>
      <c r="V46" s="3" t="s">
        <v>542</v>
      </c>
      <c r="W46" s="4">
        <v>0.1</v>
      </c>
      <c r="X46" s="212">
        <f t="shared" si="14"/>
        <v>0.01</v>
      </c>
      <c r="Y46" s="212">
        <f t="shared" si="15"/>
        <v>0.03</v>
      </c>
      <c r="AA46" s="3" t="s">
        <v>689</v>
      </c>
    </row>
    <row r="47">
      <c r="V47" s="3" t="s">
        <v>543</v>
      </c>
      <c r="W47" s="4">
        <f>(0.05+0.1)/2</f>
        <v>0.075</v>
      </c>
      <c r="X47" s="212">
        <f t="shared" si="14"/>
        <v>0.0075</v>
      </c>
      <c r="Y47" s="212">
        <f t="shared" si="15"/>
        <v>0.0225</v>
      </c>
      <c r="AA47" s="3" t="s">
        <v>690</v>
      </c>
    </row>
    <row r="48">
      <c r="N48" s="3" t="s">
        <v>601</v>
      </c>
      <c r="Q48" s="3" t="s">
        <v>602</v>
      </c>
      <c r="V48" s="3" t="s">
        <v>545</v>
      </c>
      <c r="W48" s="4">
        <v>0.05</v>
      </c>
      <c r="X48" s="212">
        <f t="shared" si="14"/>
        <v>0.005</v>
      </c>
      <c r="Y48" s="212">
        <f t="shared" si="15"/>
        <v>0.015</v>
      </c>
      <c r="AA48" s="3" t="s">
        <v>691</v>
      </c>
    </row>
    <row r="49">
      <c r="Q49" s="3" t="s">
        <v>603</v>
      </c>
      <c r="V49" s="3" t="s">
        <v>558</v>
      </c>
      <c r="W49" s="4">
        <v>0.2</v>
      </c>
      <c r="X49" s="212">
        <f t="shared" si="14"/>
        <v>0.02</v>
      </c>
      <c r="Y49" s="212">
        <f t="shared" si="15"/>
        <v>0.06</v>
      </c>
    </row>
    <row r="50">
      <c r="N50" s="3" t="s">
        <v>604</v>
      </c>
    </row>
    <row r="51">
      <c r="R51" s="3" t="s">
        <v>605</v>
      </c>
    </row>
    <row r="52">
      <c r="N52" s="3" t="s">
        <v>606</v>
      </c>
      <c r="R52" s="3" t="s">
        <v>607</v>
      </c>
    </row>
    <row r="53">
      <c r="N53" s="65">
        <f>60%*47.5</f>
        <v>28.5</v>
      </c>
      <c r="O53" s="3" t="s">
        <v>608</v>
      </c>
      <c r="R53" s="65">
        <f>60%*55</f>
        <v>33</v>
      </c>
      <c r="S53" s="3" t="s">
        <v>608</v>
      </c>
    </row>
    <row r="54">
      <c r="N54" s="65">
        <f>N53*72%</f>
        <v>20.52</v>
      </c>
      <c r="O54" s="3" t="s">
        <v>609</v>
      </c>
      <c r="R54" s="65">
        <f>R53*83%</f>
        <v>27.39</v>
      </c>
      <c r="S54" s="3" t="s">
        <v>609</v>
      </c>
    </row>
    <row r="55">
      <c r="N55" s="65">
        <f>N53-N54</f>
        <v>7.98</v>
      </c>
      <c r="O55" s="3" t="s">
        <v>610</v>
      </c>
      <c r="R55" s="65">
        <f>R53-R54</f>
        <v>5.61</v>
      </c>
      <c r="S55" s="3" t="s">
        <v>610</v>
      </c>
    </row>
    <row r="56">
      <c r="N56" s="3" t="s">
        <v>932</v>
      </c>
      <c r="Q56" s="3" t="s">
        <v>933</v>
      </c>
    </row>
    <row r="57">
      <c r="N57" s="3" t="s">
        <v>613</v>
      </c>
      <c r="Q57" s="3" t="s">
        <v>614</v>
      </c>
    </row>
    <row r="58">
      <c r="N58" s="3" t="s">
        <v>615</v>
      </c>
      <c r="Q58" s="3" t="s">
        <v>616</v>
      </c>
    </row>
    <row r="59">
      <c r="N59" s="3" t="s">
        <v>617</v>
      </c>
      <c r="Q59" s="3" t="s">
        <v>618</v>
      </c>
    </row>
    <row r="61">
      <c r="M61" s="3" t="s">
        <v>619</v>
      </c>
      <c r="N61" s="31" t="s">
        <v>620</v>
      </c>
      <c r="P61" s="218" t="s">
        <v>619</v>
      </c>
      <c r="Q61" s="31" t="s">
        <v>621</v>
      </c>
    </row>
    <row r="64">
      <c r="Q64" s="3" t="s">
        <v>934</v>
      </c>
    </row>
    <row r="65">
      <c r="Q65" s="3" t="s">
        <v>623</v>
      </c>
    </row>
    <row r="66">
      <c r="Q66" s="3" t="s">
        <v>616</v>
      </c>
    </row>
    <row r="67">
      <c r="Q67" s="3" t="s">
        <v>618</v>
      </c>
    </row>
    <row r="69">
      <c r="P69" s="218" t="s">
        <v>619</v>
      </c>
      <c r="Q69" s="31" t="s">
        <v>624</v>
      </c>
    </row>
  </sheetData>
  <hyperlinks>
    <hyperlink r:id="rId1" ref="Z44"/>
  </hyperlinks>
  <drawing r:id="rId2"/>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5"/>
    <col hidden="1" min="2" max="7" width="12.63"/>
    <col customWidth="1" hidden="1" min="8" max="9" width="12.5"/>
    <col customWidth="1" hidden="1" min="10" max="10" width="11.75"/>
    <col customWidth="1" hidden="1" min="11" max="15" width="14.5"/>
    <col customWidth="1" hidden="1" min="16" max="16" width="19.13"/>
    <col customWidth="1" hidden="1" min="17" max="17" width="12.25"/>
    <col customWidth="1" hidden="1" min="18" max="18" width="12.38"/>
    <col hidden="1" min="19" max="19" width="12.63"/>
    <col customWidth="1" min="21" max="21" width="13.13"/>
    <col customWidth="1" min="22" max="26" width="11.63"/>
    <col customWidth="1" hidden="1" min="27" max="27" width="20.63"/>
  </cols>
  <sheetData>
    <row r="1">
      <c r="A1" s="92">
        <v>45707.0</v>
      </c>
      <c r="B1" s="2"/>
      <c r="C1" s="61" t="s">
        <v>0</v>
      </c>
      <c r="D1" s="61" t="s">
        <v>1</v>
      </c>
      <c r="E1" s="61" t="s">
        <v>2</v>
      </c>
      <c r="F1" s="61" t="s">
        <v>3</v>
      </c>
      <c r="G1" s="61" t="s">
        <v>4</v>
      </c>
      <c r="H1" s="61" t="s">
        <v>5</v>
      </c>
      <c r="I1" s="61" t="s">
        <v>6</v>
      </c>
      <c r="J1" s="61" t="s">
        <v>7</v>
      </c>
      <c r="K1" s="61" t="s">
        <v>625</v>
      </c>
      <c r="L1" s="61" t="s">
        <v>626</v>
      </c>
      <c r="M1" s="61" t="s">
        <v>627</v>
      </c>
      <c r="N1" s="61" t="s">
        <v>628</v>
      </c>
      <c r="O1" s="61">
        <v>2023.0</v>
      </c>
      <c r="P1" s="2" t="s">
        <v>8</v>
      </c>
      <c r="Q1" s="61" t="s">
        <v>629</v>
      </c>
      <c r="R1" s="61" t="s">
        <v>630</v>
      </c>
      <c r="S1" s="61" t="s">
        <v>631</v>
      </c>
      <c r="T1" s="61" t="s">
        <v>632</v>
      </c>
      <c r="U1" s="61">
        <v>2024.0</v>
      </c>
      <c r="V1" s="61" t="s">
        <v>762</v>
      </c>
      <c r="W1" s="61" t="s">
        <v>763</v>
      </c>
      <c r="X1" s="61" t="s">
        <v>764</v>
      </c>
      <c r="Y1" s="61" t="s">
        <v>765</v>
      </c>
      <c r="Z1" s="61">
        <v>2025.0</v>
      </c>
      <c r="AA1" s="2"/>
    </row>
    <row r="2">
      <c r="A2" s="191"/>
      <c r="B2" s="54"/>
      <c r="C2" s="4"/>
      <c r="D2" s="4"/>
      <c r="E2" s="54"/>
      <c r="F2" s="54"/>
      <c r="G2" s="54"/>
      <c r="H2" s="54"/>
      <c r="J2" s="5"/>
      <c r="K2" s="4" t="s">
        <v>525</v>
      </c>
      <c r="L2" s="4" t="s">
        <v>525</v>
      </c>
      <c r="M2" s="4" t="s">
        <v>525</v>
      </c>
      <c r="N2" s="4" t="s">
        <v>525</v>
      </c>
      <c r="O2" s="3" t="s">
        <v>527</v>
      </c>
      <c r="Q2" s="4" t="s">
        <v>525</v>
      </c>
      <c r="R2" s="4" t="s">
        <v>525</v>
      </c>
      <c r="S2" s="4" t="s">
        <v>525</v>
      </c>
      <c r="T2" s="4" t="s">
        <v>525</v>
      </c>
      <c r="U2" s="3" t="s">
        <v>935</v>
      </c>
      <c r="V2" s="4" t="s">
        <v>525</v>
      </c>
      <c r="W2" s="4" t="s">
        <v>526</v>
      </c>
      <c r="X2" s="4" t="s">
        <v>526</v>
      </c>
      <c r="Y2" s="4" t="s">
        <v>526</v>
      </c>
      <c r="Z2" s="3" t="s">
        <v>935</v>
      </c>
      <c r="AA2" s="52"/>
    </row>
    <row r="3">
      <c r="A3" s="245" t="s">
        <v>528</v>
      </c>
      <c r="B3" s="4"/>
      <c r="C3" s="4" t="s">
        <v>16</v>
      </c>
      <c r="D3" s="4" t="s">
        <v>16</v>
      </c>
      <c r="E3" s="54" t="s">
        <v>152</v>
      </c>
      <c r="F3" s="54" t="s">
        <v>293</v>
      </c>
      <c r="G3" s="54" t="s">
        <v>18</v>
      </c>
      <c r="H3" s="54" t="s">
        <v>18</v>
      </c>
      <c r="I3" s="112" t="s">
        <v>416</v>
      </c>
      <c r="J3" s="112" t="s">
        <v>397</v>
      </c>
      <c r="K3" s="263">
        <v>73.0</v>
      </c>
      <c r="L3" s="263">
        <v>81.0</v>
      </c>
      <c r="M3" s="263">
        <v>94.0</v>
      </c>
      <c r="N3" s="246">
        <v>92.9</v>
      </c>
      <c r="O3" s="248">
        <f>AVERAGE(K3:N3)</f>
        <v>85.225</v>
      </c>
      <c r="P3" s="249"/>
      <c r="Q3" s="263">
        <v>91.0</v>
      </c>
      <c r="R3" s="246">
        <v>90.7</v>
      </c>
      <c r="S3" s="320">
        <v>89.0</v>
      </c>
      <c r="T3" s="321">
        <v>100.0</v>
      </c>
      <c r="U3" s="248">
        <f t="shared" ref="U3:U11" si="2">AVERAGE(Q3:T3)</f>
        <v>92.675</v>
      </c>
      <c r="V3" s="320">
        <v>95.0</v>
      </c>
      <c r="W3" s="322">
        <v>96.0</v>
      </c>
      <c r="X3" s="322">
        <v>100.0</v>
      </c>
      <c r="Y3" s="322">
        <v>101.0</v>
      </c>
      <c r="Z3" s="248">
        <f t="shared" ref="Z3:Z11" si="4">AVERAGE(V3:Y3)</f>
        <v>98</v>
      </c>
      <c r="AA3" s="245" t="s">
        <v>528</v>
      </c>
      <c r="AB3" s="4"/>
      <c r="AC3" s="4"/>
    </row>
    <row r="4" ht="25.5" customHeight="1">
      <c r="A4" s="323" t="s">
        <v>920</v>
      </c>
      <c r="B4" s="4"/>
      <c r="C4" s="4"/>
      <c r="D4" s="4"/>
      <c r="E4" s="54"/>
      <c r="F4" s="54"/>
      <c r="G4" s="54"/>
      <c r="H4" s="54"/>
      <c r="I4" s="112"/>
      <c r="J4" s="112"/>
      <c r="K4" s="256">
        <f t="shared" ref="K4:O4" si="1">K3/K5</f>
        <v>10.68814056</v>
      </c>
      <c r="L4" s="256">
        <f t="shared" si="1"/>
        <v>11.57142857</v>
      </c>
      <c r="M4" s="256">
        <f t="shared" si="1"/>
        <v>13.06160259</v>
      </c>
      <c r="N4" s="256">
        <f t="shared" si="1"/>
        <v>12.99300699</v>
      </c>
      <c r="O4" s="258">
        <f t="shared" si="1"/>
        <v>12.0986632</v>
      </c>
      <c r="P4" s="249"/>
      <c r="Q4" s="256">
        <v>12.5</v>
      </c>
      <c r="R4" s="256">
        <v>12.5</v>
      </c>
      <c r="S4" s="256">
        <v>12.2</v>
      </c>
      <c r="T4" s="256">
        <v>13.8</v>
      </c>
      <c r="U4" s="258">
        <f t="shared" si="2"/>
        <v>12.75</v>
      </c>
      <c r="V4" s="324">
        <f t="shared" ref="V4:Y4" si="3">V3/V5</f>
        <v>13.01369863</v>
      </c>
      <c r="W4" s="325">
        <f t="shared" si="3"/>
        <v>13.06122449</v>
      </c>
      <c r="X4" s="325">
        <f t="shared" si="3"/>
        <v>13.51351351</v>
      </c>
      <c r="Y4" s="325">
        <f t="shared" si="3"/>
        <v>13.55704698</v>
      </c>
      <c r="Z4" s="258">
        <f t="shared" si="4"/>
        <v>13.2863709</v>
      </c>
      <c r="AA4" s="323" t="s">
        <v>920</v>
      </c>
      <c r="AB4" s="4"/>
      <c r="AC4" s="4"/>
    </row>
    <row r="5" ht="28.5" hidden="1" customHeight="1">
      <c r="A5" s="245" t="s">
        <v>921</v>
      </c>
      <c r="B5" s="4"/>
      <c r="C5" s="4"/>
      <c r="D5" s="4"/>
      <c r="E5" s="54"/>
      <c r="F5" s="54"/>
      <c r="G5" s="54"/>
      <c r="H5" s="54"/>
      <c r="I5" s="112"/>
      <c r="J5" s="112"/>
      <c r="K5" s="263">
        <v>6.83</v>
      </c>
      <c r="L5" s="256">
        <v>7.0</v>
      </c>
      <c r="M5" s="260">
        <f>(7.12+7.18+7.29)/3</f>
        <v>7.196666667</v>
      </c>
      <c r="N5" s="263">
        <v>7.15</v>
      </c>
      <c r="O5" s="258">
        <f>AVERAGE(K5:N5)</f>
        <v>7.044166667</v>
      </c>
      <c r="P5" s="249"/>
      <c r="Q5" s="263">
        <v>7.19</v>
      </c>
      <c r="R5" s="263">
        <v>7.26</v>
      </c>
      <c r="S5" s="263">
        <v>7.17</v>
      </c>
      <c r="T5" s="260">
        <v>7.19</v>
      </c>
      <c r="U5" s="326">
        <f t="shared" si="2"/>
        <v>7.2025</v>
      </c>
      <c r="V5" s="260">
        <v>7.3</v>
      </c>
      <c r="W5" s="253">
        <v>7.35</v>
      </c>
      <c r="X5" s="253">
        <v>7.4</v>
      </c>
      <c r="Y5" s="253">
        <v>7.45</v>
      </c>
      <c r="Z5" s="326">
        <f t="shared" si="4"/>
        <v>7.375</v>
      </c>
      <c r="AA5" s="245" t="s">
        <v>921</v>
      </c>
    </row>
    <row r="6" ht="24.75" customHeight="1">
      <c r="A6" s="327" t="s">
        <v>24</v>
      </c>
      <c r="B6" s="4"/>
      <c r="C6" s="4"/>
      <c r="D6" s="4"/>
      <c r="E6" s="54"/>
      <c r="F6" s="54"/>
      <c r="G6" s="54"/>
      <c r="H6" s="54"/>
      <c r="I6" s="112"/>
      <c r="J6" s="112"/>
      <c r="K6" s="246">
        <f t="shared" ref="K6:O6" si="5">K3*K7</f>
        <v>78.475</v>
      </c>
      <c r="L6" s="246">
        <f t="shared" si="5"/>
        <v>89.1</v>
      </c>
      <c r="M6" s="246">
        <f t="shared" si="5"/>
        <v>102.3033333</v>
      </c>
      <c r="N6" s="246">
        <f t="shared" si="5"/>
        <v>101.1061667</v>
      </c>
      <c r="O6" s="248">
        <f t="shared" si="5"/>
        <v>92.71769792</v>
      </c>
      <c r="P6" s="249"/>
      <c r="Q6" s="246">
        <v>98.8</v>
      </c>
      <c r="R6" s="246">
        <v>97.6</v>
      </c>
      <c r="S6" s="246">
        <v>98.0</v>
      </c>
      <c r="T6" s="246">
        <v>106.6</v>
      </c>
      <c r="U6" s="248">
        <f t="shared" si="2"/>
        <v>100.25</v>
      </c>
      <c r="V6" s="246">
        <f t="shared" ref="V6:Y6" si="6">V3*V7</f>
        <v>98.8</v>
      </c>
      <c r="W6" s="328">
        <f t="shared" si="6"/>
        <v>99.84</v>
      </c>
      <c r="X6" s="328">
        <f t="shared" si="6"/>
        <v>104</v>
      </c>
      <c r="Y6" s="328">
        <f t="shared" si="6"/>
        <v>105.04</v>
      </c>
      <c r="Z6" s="248">
        <f t="shared" si="4"/>
        <v>101.92</v>
      </c>
      <c r="AA6" s="245" t="s">
        <v>24</v>
      </c>
    </row>
    <row r="7" ht="26.25" hidden="1" customHeight="1">
      <c r="A7" s="245" t="s">
        <v>922</v>
      </c>
      <c r="B7" s="4"/>
      <c r="C7" s="4"/>
      <c r="D7" s="4"/>
      <c r="E7" s="54"/>
      <c r="F7" s="54"/>
      <c r="G7" s="54"/>
      <c r="H7" s="54"/>
      <c r="I7" s="112"/>
      <c r="J7" s="112"/>
      <c r="K7" s="263">
        <v>1.075</v>
      </c>
      <c r="L7" s="260">
        <v>1.1</v>
      </c>
      <c r="M7" s="329">
        <f t="shared" ref="M7:N7" si="7">(1.105+1.09+1.07)/3</f>
        <v>1.088333333</v>
      </c>
      <c r="N7" s="329">
        <f t="shared" si="7"/>
        <v>1.088333333</v>
      </c>
      <c r="O7" s="258">
        <f>AVERAGE(K7:N7)</f>
        <v>1.087916667</v>
      </c>
      <c r="P7" s="249"/>
      <c r="Q7" s="263">
        <v>1.09</v>
      </c>
      <c r="R7" s="263">
        <v>1.08</v>
      </c>
      <c r="S7" s="260">
        <v>1.1</v>
      </c>
      <c r="T7" s="260">
        <v>1.065</v>
      </c>
      <c r="U7" s="326">
        <f t="shared" si="2"/>
        <v>1.08375</v>
      </c>
      <c r="V7" s="263">
        <v>1.04</v>
      </c>
      <c r="W7" s="253">
        <v>1.04</v>
      </c>
      <c r="X7" s="253">
        <v>1.04</v>
      </c>
      <c r="Y7" s="253">
        <v>1.04</v>
      </c>
      <c r="Z7" s="326">
        <f t="shared" si="4"/>
        <v>1.04</v>
      </c>
      <c r="AA7" s="245" t="s">
        <v>922</v>
      </c>
    </row>
    <row r="8">
      <c r="A8" s="323" t="s">
        <v>936</v>
      </c>
      <c r="B8" s="4"/>
      <c r="C8" s="4" t="s">
        <v>29</v>
      </c>
      <c r="D8" s="4" t="s">
        <v>139</v>
      </c>
      <c r="E8" s="54" t="s">
        <v>199</v>
      </c>
      <c r="F8" s="54" t="s">
        <v>298</v>
      </c>
      <c r="G8" s="54" t="s">
        <v>391</v>
      </c>
      <c r="H8" s="54" t="s">
        <v>392</v>
      </c>
      <c r="I8" s="112" t="s">
        <v>410</v>
      </c>
      <c r="J8" s="112" t="s">
        <v>411</v>
      </c>
      <c r="K8" s="263">
        <v>82.0</v>
      </c>
      <c r="L8" s="263">
        <v>78.0</v>
      </c>
      <c r="M8" s="263">
        <v>86.0</v>
      </c>
      <c r="N8" s="246">
        <v>83.8</v>
      </c>
      <c r="O8" s="248">
        <v>82.0</v>
      </c>
      <c r="P8" s="249"/>
      <c r="Q8" s="263">
        <v>83.0</v>
      </c>
      <c r="R8" s="246">
        <v>84.6</v>
      </c>
      <c r="S8" s="263">
        <v>80.0</v>
      </c>
      <c r="T8" s="256">
        <v>74.5</v>
      </c>
      <c r="U8" s="248">
        <f t="shared" si="2"/>
        <v>80.525</v>
      </c>
      <c r="V8" s="263">
        <v>77.0</v>
      </c>
      <c r="W8" s="330">
        <v>75.0</v>
      </c>
      <c r="X8" s="330">
        <v>73.0</v>
      </c>
      <c r="Y8" s="330">
        <v>71.0</v>
      </c>
      <c r="Z8" s="248">
        <f t="shared" si="4"/>
        <v>74</v>
      </c>
      <c r="AA8" s="323" t="s">
        <v>529</v>
      </c>
    </row>
    <row r="9" ht="42.0" hidden="1" customHeight="1">
      <c r="A9" s="252" t="s">
        <v>530</v>
      </c>
      <c r="B9" s="4"/>
      <c r="C9" s="4"/>
      <c r="D9" s="54"/>
      <c r="E9" s="54"/>
      <c r="F9" s="54"/>
      <c r="G9" s="54"/>
      <c r="H9" s="54"/>
      <c r="I9" s="112"/>
      <c r="J9" s="112"/>
      <c r="K9" s="263">
        <v>53.0</v>
      </c>
      <c r="L9" s="263">
        <v>54.0</v>
      </c>
      <c r="M9" s="331">
        <v>63.0</v>
      </c>
      <c r="N9" s="331">
        <v>70.0</v>
      </c>
      <c r="O9" s="248">
        <f>AVERAGE(K9:N9)</f>
        <v>60</v>
      </c>
      <c r="P9" s="253"/>
      <c r="Q9" s="246">
        <v>67.5</v>
      </c>
      <c r="R9" s="263">
        <v>71.1</v>
      </c>
      <c r="S9" s="322">
        <v>65.0</v>
      </c>
      <c r="T9" s="332">
        <f>T8-T10</f>
        <v>63.5</v>
      </c>
      <c r="U9" s="248">
        <f t="shared" si="2"/>
        <v>66.775</v>
      </c>
      <c r="V9" s="263">
        <f t="shared" ref="V9:Y9" si="8">V8-V10</f>
        <v>66</v>
      </c>
      <c r="W9" s="253">
        <f t="shared" si="8"/>
        <v>64</v>
      </c>
      <c r="X9" s="253">
        <f t="shared" si="8"/>
        <v>62</v>
      </c>
      <c r="Y9" s="253">
        <f t="shared" si="8"/>
        <v>60</v>
      </c>
      <c r="Z9" s="248">
        <f t="shared" si="4"/>
        <v>63</v>
      </c>
      <c r="AA9" s="252" t="s">
        <v>530</v>
      </c>
    </row>
    <row r="10" ht="26.25" hidden="1" customHeight="1">
      <c r="A10" s="245" t="s">
        <v>531</v>
      </c>
      <c r="B10" s="4"/>
      <c r="C10" s="4"/>
      <c r="D10" s="54"/>
      <c r="E10" s="54"/>
      <c r="F10" s="54"/>
      <c r="G10" s="54"/>
      <c r="H10" s="54"/>
      <c r="I10" s="112"/>
      <c r="J10" s="112"/>
      <c r="K10" s="263">
        <f t="shared" ref="K10:O10" si="9">K8-K9</f>
        <v>29</v>
      </c>
      <c r="L10" s="263">
        <f t="shared" si="9"/>
        <v>24</v>
      </c>
      <c r="M10" s="331">
        <f t="shared" si="9"/>
        <v>23</v>
      </c>
      <c r="N10" s="333">
        <f t="shared" si="9"/>
        <v>13.8</v>
      </c>
      <c r="O10" s="248">
        <f t="shared" si="9"/>
        <v>22</v>
      </c>
      <c r="P10" s="253"/>
      <c r="Q10" s="246">
        <f t="shared" ref="Q10:R10" si="10">Q8-Q9</f>
        <v>15.5</v>
      </c>
      <c r="R10" s="246">
        <f t="shared" si="10"/>
        <v>13.5</v>
      </c>
      <c r="S10" s="331">
        <v>15.0</v>
      </c>
      <c r="T10" s="331">
        <v>11.0</v>
      </c>
      <c r="U10" s="248">
        <f t="shared" si="2"/>
        <v>13.75</v>
      </c>
      <c r="V10" s="263">
        <v>11.0</v>
      </c>
      <c r="W10" s="331">
        <v>11.0</v>
      </c>
      <c r="X10" s="331">
        <v>11.0</v>
      </c>
      <c r="Y10" s="331">
        <v>11.0</v>
      </c>
      <c r="Z10" s="248">
        <f t="shared" si="4"/>
        <v>11</v>
      </c>
      <c r="AA10" s="245" t="s">
        <v>531</v>
      </c>
    </row>
    <row r="11" ht="26.25" customHeight="1">
      <c r="A11" s="252" t="s">
        <v>937</v>
      </c>
      <c r="B11" s="4"/>
      <c r="C11" s="4">
        <v>5.7</v>
      </c>
      <c r="D11" s="54" t="s">
        <v>144</v>
      </c>
      <c r="E11" s="54" t="s">
        <v>201</v>
      </c>
      <c r="F11" s="54" t="s">
        <v>299</v>
      </c>
      <c r="G11" s="54" t="s">
        <v>319</v>
      </c>
      <c r="H11" s="54" t="s">
        <v>304</v>
      </c>
      <c r="I11" s="112" t="s">
        <v>400</v>
      </c>
      <c r="J11" s="112" t="s">
        <v>420</v>
      </c>
      <c r="K11" s="263">
        <v>3.5</v>
      </c>
      <c r="L11" s="263">
        <v>3.3</v>
      </c>
      <c r="M11" s="256">
        <v>6.0</v>
      </c>
      <c r="N11" s="256">
        <v>7.4</v>
      </c>
      <c r="O11" s="258">
        <f>AVERAGE(K11:N11)</f>
        <v>5.05</v>
      </c>
      <c r="P11" s="253" t="s">
        <v>533</v>
      </c>
      <c r="Q11" s="256">
        <v>7.7</v>
      </c>
      <c r="R11" s="256">
        <v>8.6</v>
      </c>
      <c r="S11" s="256">
        <v>8.6</v>
      </c>
      <c r="T11" s="256">
        <v>9.5</v>
      </c>
      <c r="U11" s="258">
        <f t="shared" si="2"/>
        <v>8.6</v>
      </c>
      <c r="V11" s="256">
        <v>10.3</v>
      </c>
      <c r="W11" s="332">
        <v>9.8</v>
      </c>
      <c r="X11" s="332">
        <v>9.2</v>
      </c>
      <c r="Y11" s="332">
        <v>6.7</v>
      </c>
      <c r="Z11" s="258">
        <f t="shared" si="4"/>
        <v>9</v>
      </c>
      <c r="AA11" s="252" t="s">
        <v>532</v>
      </c>
    </row>
    <row r="12">
      <c r="A12" s="334" t="s">
        <v>938</v>
      </c>
      <c r="B12" s="4"/>
      <c r="C12" s="4">
        <v>4.5</v>
      </c>
      <c r="D12" s="54">
        <v>5.5</v>
      </c>
      <c r="E12" s="54" t="s">
        <v>194</v>
      </c>
      <c r="F12" s="54">
        <v>8.5</v>
      </c>
      <c r="G12" s="54" t="s">
        <v>387</v>
      </c>
      <c r="H12" s="54" t="s">
        <v>387</v>
      </c>
      <c r="I12" s="207">
        <v>44780.0</v>
      </c>
      <c r="J12" s="112">
        <v>7.5</v>
      </c>
      <c r="K12" s="260">
        <v>7.5</v>
      </c>
      <c r="L12" s="260">
        <v>7.5</v>
      </c>
      <c r="M12" s="260">
        <v>13.0</v>
      </c>
      <c r="N12" s="260">
        <v>16.0</v>
      </c>
      <c r="O12" s="258">
        <v>9.9</v>
      </c>
      <c r="P12" s="249"/>
      <c r="Q12" s="260">
        <v>16.0</v>
      </c>
      <c r="R12" s="260">
        <v>16.0</v>
      </c>
      <c r="S12" s="260">
        <v>19.0</v>
      </c>
      <c r="T12" s="260">
        <v>21.0</v>
      </c>
      <c r="U12" s="258">
        <v>17.5</v>
      </c>
      <c r="V12" s="260">
        <v>21.0</v>
      </c>
      <c r="W12" s="335">
        <v>21.0</v>
      </c>
      <c r="X12" s="335">
        <v>21.0</v>
      </c>
      <c r="Y12" s="335">
        <v>20.0</v>
      </c>
      <c r="Z12" s="258">
        <v>21.0</v>
      </c>
      <c r="AA12" s="334" t="s">
        <v>534</v>
      </c>
      <c r="AB12" s="41"/>
      <c r="AC12" s="41"/>
    </row>
    <row r="13" ht="25.5" customHeight="1">
      <c r="A13" s="3" t="s">
        <v>939</v>
      </c>
      <c r="E13" s="114"/>
      <c r="F13" s="115"/>
      <c r="G13" s="115"/>
      <c r="H13" s="115"/>
      <c r="I13" s="112"/>
      <c r="J13" s="112"/>
      <c r="L13" s="218"/>
      <c r="M13" s="4">
        <v>1950.0</v>
      </c>
      <c r="N13" s="4">
        <v>1970.0</v>
      </c>
      <c r="Q13" s="4">
        <v>2000.0</v>
      </c>
      <c r="R13" s="4">
        <v>2050.0</v>
      </c>
      <c r="S13" s="4">
        <v>2100.0</v>
      </c>
      <c r="T13" s="225">
        <v>2150.0</v>
      </c>
      <c r="V13" s="3"/>
      <c r="W13" s="3"/>
      <c r="X13" s="3"/>
      <c r="Y13" s="3"/>
      <c r="Z13" s="3"/>
      <c r="AA13" s="3"/>
    </row>
    <row r="14">
      <c r="E14" s="114"/>
      <c r="F14" s="115"/>
      <c r="G14" s="115"/>
      <c r="H14" s="115"/>
      <c r="I14" s="112"/>
      <c r="J14" s="112"/>
      <c r="L14" s="218"/>
      <c r="M14" s="4"/>
      <c r="N14" s="4"/>
      <c r="Q14" s="4"/>
      <c r="T14" s="55"/>
    </row>
    <row r="15">
      <c r="E15" s="114"/>
      <c r="F15" s="115"/>
      <c r="G15" s="115"/>
      <c r="H15" s="115"/>
      <c r="I15" s="112" t="s">
        <v>406</v>
      </c>
      <c r="J15" s="112" t="s">
        <v>406</v>
      </c>
      <c r="L15" s="218"/>
      <c r="M15" s="4"/>
      <c r="N15" s="4"/>
      <c r="Q15" s="4"/>
      <c r="Y15" s="52" t="s">
        <v>940</v>
      </c>
    </row>
    <row r="16">
      <c r="E16" s="114" t="s">
        <v>241</v>
      </c>
      <c r="F16" s="115" t="s">
        <v>242</v>
      </c>
      <c r="G16" s="115" t="s">
        <v>242</v>
      </c>
      <c r="H16" s="115" t="s">
        <v>194</v>
      </c>
      <c r="I16" s="115" t="s">
        <v>148</v>
      </c>
      <c r="L16" s="218"/>
      <c r="M16" s="4"/>
      <c r="N16" s="4"/>
      <c r="X16" s="4" t="s">
        <v>652</v>
      </c>
      <c r="Y16" s="4" t="s">
        <v>335</v>
      </c>
      <c r="Z16" s="4" t="s">
        <v>338</v>
      </c>
      <c r="AA16" s="4" t="s">
        <v>581</v>
      </c>
      <c r="AB16" s="4" t="s">
        <v>941</v>
      </c>
    </row>
    <row r="17">
      <c r="W17" s="99" t="s">
        <v>62</v>
      </c>
      <c r="X17" s="284">
        <v>100.3</v>
      </c>
      <c r="Y17" s="284">
        <v>93.0</v>
      </c>
      <c r="Z17" s="175">
        <v>94.0</v>
      </c>
      <c r="AA17" s="226">
        <f t="shared" ref="AA17:AA24" si="11">AVERAGE(X17:Z17)</f>
        <v>95.76666667</v>
      </c>
      <c r="AB17" s="244">
        <f t="shared" ref="AB17:AB23" si="12">AVERAGE(X17:Z17)</f>
        <v>95.76666667</v>
      </c>
    </row>
    <row r="18">
      <c r="W18" s="336" t="s">
        <v>920</v>
      </c>
      <c r="X18" s="175">
        <v>13.62</v>
      </c>
      <c r="Y18" s="337">
        <v>13.16</v>
      </c>
      <c r="Z18" s="175"/>
      <c r="AA18" s="226">
        <f t="shared" si="11"/>
        <v>13.39</v>
      </c>
      <c r="AB18" s="244">
        <f t="shared" si="12"/>
        <v>13.39</v>
      </c>
    </row>
    <row r="19">
      <c r="W19" s="338" t="s">
        <v>921</v>
      </c>
      <c r="X19" s="337">
        <v>7.3</v>
      </c>
      <c r="Y19" s="337">
        <v>7.28</v>
      </c>
      <c r="Z19" s="175"/>
      <c r="AA19" s="339">
        <f t="shared" si="11"/>
        <v>7.29</v>
      </c>
      <c r="AB19" s="244">
        <f t="shared" si="12"/>
        <v>7.29</v>
      </c>
    </row>
    <row r="20">
      <c r="W20" s="338" t="s">
        <v>24</v>
      </c>
      <c r="X20" s="175">
        <v>104.0</v>
      </c>
      <c r="Y20" s="337">
        <v>100.9</v>
      </c>
      <c r="Z20" s="175"/>
      <c r="AA20" s="226">
        <f t="shared" si="11"/>
        <v>102.45</v>
      </c>
      <c r="AB20" s="244">
        <f t="shared" si="12"/>
        <v>102.45</v>
      </c>
    </row>
    <row r="21">
      <c r="W21" s="338" t="s">
        <v>922</v>
      </c>
      <c r="X21" s="175">
        <v>1.035</v>
      </c>
      <c r="Y21" s="337">
        <v>1.036</v>
      </c>
      <c r="Z21" s="175"/>
      <c r="AA21" s="340">
        <f t="shared" si="11"/>
        <v>1.0355</v>
      </c>
      <c r="AB21" s="244">
        <f t="shared" si="12"/>
        <v>1.0355</v>
      </c>
    </row>
    <row r="22">
      <c r="W22" s="99" t="s">
        <v>28</v>
      </c>
      <c r="X22" s="284">
        <v>79.1</v>
      </c>
      <c r="Y22" s="284">
        <v>76.2</v>
      </c>
      <c r="Z22" s="175"/>
      <c r="AA22" s="226">
        <f t="shared" si="11"/>
        <v>77.65</v>
      </c>
      <c r="AB22" s="244">
        <f t="shared" si="12"/>
        <v>77.65</v>
      </c>
    </row>
    <row r="23">
      <c r="W23" s="99" t="s">
        <v>582</v>
      </c>
      <c r="X23" s="284">
        <v>65.4</v>
      </c>
      <c r="Y23" s="284">
        <v>62.9</v>
      </c>
      <c r="Z23" s="175"/>
      <c r="AA23" s="226">
        <f t="shared" si="11"/>
        <v>64.15</v>
      </c>
      <c r="AB23" s="244">
        <f t="shared" si="12"/>
        <v>64.15</v>
      </c>
      <c r="AD23" s="3" t="s">
        <v>918</v>
      </c>
    </row>
    <row r="24">
      <c r="W24" s="3" t="s">
        <v>942</v>
      </c>
      <c r="X24" s="5">
        <f t="shared" ref="X24:Z24" si="13">X22-X23</f>
        <v>13.7</v>
      </c>
      <c r="Y24" s="5">
        <f t="shared" si="13"/>
        <v>13.3</v>
      </c>
      <c r="Z24" s="5">
        <f t="shared" si="13"/>
        <v>0</v>
      </c>
      <c r="AA24" s="226">
        <f t="shared" si="11"/>
        <v>9</v>
      </c>
      <c r="AD24" s="307" t="s">
        <v>652</v>
      </c>
    </row>
    <row r="25">
      <c r="AC25" s="308" t="s">
        <v>62</v>
      </c>
      <c r="AD25" s="308">
        <v>100.8</v>
      </c>
    </row>
    <row r="26">
      <c r="AC26" s="309" t="s">
        <v>920</v>
      </c>
      <c r="AD26" s="308">
        <v>13.71</v>
      </c>
    </row>
    <row r="27">
      <c r="X27" s="4" t="s">
        <v>355</v>
      </c>
      <c r="Y27" s="4" t="s">
        <v>652</v>
      </c>
      <c r="AC27" s="309" t="s">
        <v>921</v>
      </c>
      <c r="AD27" s="310">
        <v>7.3</v>
      </c>
    </row>
    <row r="28">
      <c r="W28" s="99" t="s">
        <v>62</v>
      </c>
      <c r="X28" s="233"/>
      <c r="Y28" s="233"/>
      <c r="AC28" s="309" t="s">
        <v>24</v>
      </c>
      <c r="AD28" s="308">
        <v>104.3</v>
      </c>
    </row>
    <row r="29">
      <c r="W29" s="336" t="s">
        <v>920</v>
      </c>
      <c r="X29" s="54"/>
      <c r="Y29" s="341"/>
      <c r="AC29" s="309" t="s">
        <v>922</v>
      </c>
      <c r="AD29" s="308">
        <v>1.035</v>
      </c>
    </row>
    <row r="30">
      <c r="W30" s="338" t="s">
        <v>921</v>
      </c>
      <c r="X30" s="54"/>
      <c r="Y30" s="341"/>
      <c r="AC30" s="308" t="s">
        <v>28</v>
      </c>
      <c r="AD30" s="308">
        <v>80.0</v>
      </c>
    </row>
    <row r="31">
      <c r="W31" s="338" t="s">
        <v>24</v>
      </c>
      <c r="X31" s="54"/>
      <c r="Y31" s="341"/>
      <c r="AC31" s="308" t="s">
        <v>582</v>
      </c>
      <c r="AD31" s="309">
        <v>67.6</v>
      </c>
    </row>
    <row r="32">
      <c r="W32" s="338" t="s">
        <v>922</v>
      </c>
      <c r="X32" s="54"/>
      <c r="Y32" s="341"/>
    </row>
    <row r="33">
      <c r="W33" s="99" t="s">
        <v>28</v>
      </c>
      <c r="X33" s="233"/>
      <c r="Y33" s="233"/>
    </row>
    <row r="34">
      <c r="W34" s="99" t="s">
        <v>582</v>
      </c>
      <c r="X34" s="342"/>
      <c r="Y34" s="233"/>
    </row>
  </sheetData>
  <printOptions gridLines="1" horizontalCentered="1"/>
  <pageMargins bottom="0.75" footer="0.0" header="0.0" left="0.7" right="0.7" top="0.75"/>
  <pageSetup fitToHeight="0" paperSize="9" cellComments="atEnd" orientation="landscape" pageOrder="overThenDown"/>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60">
        <v>45707.0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224" t="s">
        <v>526</v>
      </c>
      <c r="V2" s="224" t="s">
        <v>526</v>
      </c>
      <c r="W2" s="224" t="s">
        <v>526</v>
      </c>
      <c r="X2" s="224" t="s">
        <v>526</v>
      </c>
      <c r="Y2" s="3" t="s">
        <v>527</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265">
        <v>95.0</v>
      </c>
      <c r="V3" s="265">
        <v>96.0</v>
      </c>
      <c r="W3" s="265">
        <v>100.0</v>
      </c>
      <c r="X3" s="266">
        <v>101.0</v>
      </c>
      <c r="Y3" s="248">
        <f t="shared" ref="Y3:Y7" si="3">AVERAGE(U3:X3)</f>
        <v>98</v>
      </c>
      <c r="AA3" s="3" t="s">
        <v>943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264">
        <v>7.0</v>
      </c>
      <c r="V4" s="264">
        <v>75.0</v>
      </c>
      <c r="W4" s="264">
        <v>73.0</v>
      </c>
      <c r="X4" s="264">
        <v>71.0</v>
      </c>
      <c r="Y4" s="248">
        <f t="shared" si="3"/>
        <v>56.5</v>
      </c>
      <c r="AA4" s="3" t="s">
        <v>944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264">
        <f t="shared" ref="U5:X5" si="4">U4-U6</f>
        <v>-6</v>
      </c>
      <c r="V5" s="264">
        <f t="shared" si="4"/>
        <v>63</v>
      </c>
      <c r="W5" s="264">
        <f t="shared" si="4"/>
        <v>62</v>
      </c>
      <c r="X5" s="264">
        <f t="shared" si="4"/>
        <v>61</v>
      </c>
      <c r="Y5" s="248">
        <f t="shared" si="3"/>
        <v>45</v>
      </c>
      <c r="AA5" s="3" t="s">
        <v>945</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55">
        <v>10.0</v>
      </c>
      <c r="T6" s="248">
        <f t="shared" si="2"/>
        <v>13.65</v>
      </c>
      <c r="U6" s="264">
        <v>13.0</v>
      </c>
      <c r="V6" s="264">
        <v>12.0</v>
      </c>
      <c r="W6" s="264">
        <v>11.0</v>
      </c>
      <c r="X6" s="264">
        <v>10.0</v>
      </c>
      <c r="Y6" s="248">
        <f t="shared" si="3"/>
        <v>11.5</v>
      </c>
      <c r="AA6" s="3" t="s">
        <v>946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82">
        <v>9.5</v>
      </c>
      <c r="T7" s="258">
        <f t="shared" si="2"/>
        <v>8.6</v>
      </c>
      <c r="U7" s="259"/>
      <c r="V7" s="259"/>
      <c r="W7" s="259"/>
      <c r="X7" s="267">
        <v>6.7</v>
      </c>
      <c r="Y7" s="258">
        <f t="shared" si="3"/>
        <v>6.7</v>
      </c>
      <c r="AA7" s="99" t="s">
        <v>947</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71">
        <v>21.0</v>
      </c>
      <c r="T8" s="258">
        <v>17.5</v>
      </c>
      <c r="U8" s="270">
        <v>21.0</v>
      </c>
      <c r="V8" s="270">
        <v>21.0</v>
      </c>
      <c r="W8" s="270">
        <v>21.0</v>
      </c>
      <c r="X8" s="269">
        <v>20.0</v>
      </c>
      <c r="Y8" s="258">
        <v>21.0</v>
      </c>
    </row>
    <row r="9" hidden="1">
      <c r="A9" s="252" t="s">
        <v>766</v>
      </c>
      <c r="E9" s="114"/>
      <c r="F9" s="115"/>
      <c r="G9" s="115"/>
      <c r="H9" s="115"/>
      <c r="I9" s="112"/>
      <c r="J9" s="112"/>
      <c r="T9" s="103"/>
      <c r="U9" s="54"/>
      <c r="V9" s="287" t="s">
        <v>767</v>
      </c>
      <c r="W9" s="54"/>
      <c r="X9" s="54"/>
      <c r="Y9" s="103"/>
    </row>
    <row r="10">
      <c r="E10" s="114"/>
      <c r="F10" s="115"/>
      <c r="G10" s="115"/>
      <c r="H10" s="115"/>
      <c r="I10" s="112"/>
      <c r="J10" s="112"/>
      <c r="S10" s="298"/>
      <c r="T10" s="314"/>
      <c r="U10" s="61" t="s">
        <v>762</v>
      </c>
      <c r="V10" s="61" t="s">
        <v>763</v>
      </c>
      <c r="W10" s="61" t="s">
        <v>764</v>
      </c>
      <c r="X10" s="61" t="s">
        <v>765</v>
      </c>
      <c r="Y10" s="215"/>
      <c r="AA10" s="3"/>
    </row>
    <row r="11">
      <c r="E11" s="114"/>
      <c r="F11" s="115"/>
      <c r="G11" s="115"/>
      <c r="H11" s="115"/>
      <c r="I11" s="112"/>
      <c r="J11" s="112"/>
      <c r="S11" s="298"/>
      <c r="T11" s="314" t="s">
        <v>786</v>
      </c>
      <c r="U11" s="315">
        <v>95.0</v>
      </c>
      <c r="V11" s="315">
        <v>96.0</v>
      </c>
      <c r="W11" s="315">
        <v>103.0</v>
      </c>
      <c r="X11" s="315">
        <v>102.0</v>
      </c>
      <c r="Y11" s="215"/>
      <c r="AA11" s="3" t="s">
        <v>948</v>
      </c>
    </row>
    <row r="12">
      <c r="E12" s="114"/>
      <c r="F12" s="115"/>
      <c r="G12" s="115"/>
      <c r="H12" s="115"/>
      <c r="I12" s="112" t="s">
        <v>406</v>
      </c>
      <c r="J12" s="112" t="s">
        <v>406</v>
      </c>
      <c r="R12" s="4" t="s">
        <v>949</v>
      </c>
      <c r="S12" s="298"/>
      <c r="T12" s="218" t="s">
        <v>950</v>
      </c>
      <c r="U12" s="242">
        <v>94.0</v>
      </c>
      <c r="V12" s="242">
        <v>94.0</v>
      </c>
      <c r="W12" s="242">
        <v>96.0</v>
      </c>
      <c r="X12" s="242">
        <v>99.0</v>
      </c>
      <c r="Y12" s="215"/>
      <c r="AA12" s="3" t="s">
        <v>951</v>
      </c>
    </row>
    <row r="13">
      <c r="E13" s="114" t="s">
        <v>241</v>
      </c>
      <c r="F13" s="115" t="s">
        <v>242</v>
      </c>
      <c r="G13" s="115" t="s">
        <v>242</v>
      </c>
      <c r="H13" s="115" t="s">
        <v>194</v>
      </c>
      <c r="I13" s="115" t="s">
        <v>148</v>
      </c>
      <c r="Q13" s="218" t="s">
        <v>952</v>
      </c>
      <c r="R13" s="242">
        <v>72.0</v>
      </c>
      <c r="S13" s="298"/>
      <c r="T13" s="218" t="s">
        <v>469</v>
      </c>
      <c r="U13" s="242">
        <v>95.0</v>
      </c>
      <c r="V13" s="300">
        <v>97.0</v>
      </c>
      <c r="W13" s="300">
        <v>100.0</v>
      </c>
      <c r="X13" s="300">
        <v>103.0</v>
      </c>
      <c r="Y13" s="215"/>
      <c r="AA13" s="3" t="s">
        <v>953</v>
      </c>
    </row>
    <row r="14">
      <c r="C14" s="4">
        <v>5.7</v>
      </c>
      <c r="D14" s="4">
        <v>6.5</v>
      </c>
      <c r="E14" s="62">
        <v>7.4</v>
      </c>
      <c r="F14" s="54">
        <v>8.1</v>
      </c>
      <c r="G14" s="54"/>
      <c r="H14" s="62"/>
      <c r="I14" s="62"/>
      <c r="J14" s="62"/>
      <c r="Q14" s="218" t="s">
        <v>469</v>
      </c>
      <c r="R14" s="242">
        <v>70.0</v>
      </c>
      <c r="S14" s="298"/>
      <c r="T14" s="218" t="s">
        <v>470</v>
      </c>
      <c r="U14" s="300">
        <v>95.0</v>
      </c>
      <c r="V14" s="300">
        <v>96.0</v>
      </c>
      <c r="W14" s="300">
        <v>103.0</v>
      </c>
      <c r="X14" s="300">
        <v>102.0</v>
      </c>
      <c r="AA14" s="3" t="s">
        <v>954</v>
      </c>
    </row>
    <row r="15">
      <c r="D15" s="111"/>
      <c r="E15" s="117"/>
      <c r="F15" s="112"/>
      <c r="G15" s="112"/>
      <c r="H15" s="112"/>
      <c r="I15" s="117"/>
      <c r="J15" s="112"/>
      <c r="Q15" s="218" t="s">
        <v>470</v>
      </c>
      <c r="R15" s="242">
        <v>70.0</v>
      </c>
      <c r="S15" s="298"/>
      <c r="T15" s="288" t="s">
        <v>906</v>
      </c>
      <c r="U15" s="300">
        <v>95.0</v>
      </c>
      <c r="V15" s="300">
        <v>96.0</v>
      </c>
      <c r="W15" s="300">
        <v>102.0</v>
      </c>
      <c r="X15" s="300">
        <v>103.0</v>
      </c>
      <c r="AA15" s="3" t="s">
        <v>955</v>
      </c>
    </row>
    <row r="16">
      <c r="D16" s="111"/>
      <c r="E16" s="117"/>
      <c r="F16" s="112"/>
      <c r="G16" s="112"/>
      <c r="H16" s="112"/>
      <c r="I16" s="117"/>
      <c r="J16" s="112"/>
      <c r="Q16" s="54"/>
      <c r="R16" s="54"/>
      <c r="S16" s="298"/>
      <c r="T16" s="288" t="s">
        <v>908</v>
      </c>
      <c r="U16" s="300">
        <v>95.0</v>
      </c>
      <c r="V16" s="300">
        <v>96.0</v>
      </c>
      <c r="W16" s="300">
        <v>102.0</v>
      </c>
      <c r="X16" s="300">
        <v>103.0</v>
      </c>
      <c r="AA16" s="3" t="s">
        <v>956</v>
      </c>
    </row>
    <row r="17">
      <c r="D17" s="111" t="s">
        <v>241</v>
      </c>
      <c r="E17" s="117">
        <v>7.0</v>
      </c>
      <c r="F17" s="112">
        <v>7.3</v>
      </c>
      <c r="G17" s="112"/>
      <c r="H17" s="112"/>
      <c r="I17" s="117"/>
      <c r="J17" s="112"/>
      <c r="Q17" s="54"/>
      <c r="R17" s="54"/>
      <c r="S17" s="298"/>
      <c r="T17" s="288" t="s">
        <v>910</v>
      </c>
      <c r="U17" s="316">
        <f t="shared" ref="U17:X17" si="8">AVERAGE(U12:U14)</f>
        <v>94.66666667</v>
      </c>
      <c r="V17" s="316">
        <f t="shared" si="8"/>
        <v>95.66666667</v>
      </c>
      <c r="W17" s="316">
        <f t="shared" si="8"/>
        <v>99.66666667</v>
      </c>
      <c r="X17" s="316">
        <f t="shared" si="8"/>
        <v>101.3333333</v>
      </c>
      <c r="AA17" s="3" t="s">
        <v>957</v>
      </c>
    </row>
    <row r="18">
      <c r="C18" s="10"/>
      <c r="D18" s="10"/>
      <c r="E18" s="10"/>
      <c r="F18" s="10"/>
      <c r="G18" s="10"/>
      <c r="H18" s="10"/>
      <c r="I18" s="10"/>
      <c r="J18" s="10"/>
      <c r="Q18" s="54"/>
      <c r="R18" s="54"/>
      <c r="S18" s="298"/>
      <c r="T18" s="218" t="s">
        <v>912</v>
      </c>
      <c r="U18" s="234">
        <f t="shared" ref="U18:X18" si="9">AVERAGE(U12:U16)</f>
        <v>94.8</v>
      </c>
      <c r="V18" s="234">
        <f t="shared" si="9"/>
        <v>95.8</v>
      </c>
      <c r="W18" s="234">
        <f t="shared" si="9"/>
        <v>100.6</v>
      </c>
      <c r="X18" s="234">
        <f t="shared" si="9"/>
        <v>102</v>
      </c>
    </row>
    <row r="19">
      <c r="E19" s="118"/>
      <c r="F19" s="118"/>
      <c r="G19" s="118"/>
      <c r="H19" s="118"/>
      <c r="I19" s="118"/>
      <c r="J19" s="118"/>
      <c r="Q19" s="54"/>
      <c r="R19" s="234">
        <f>AVERAGE(R13:R18)</f>
        <v>70.66666667</v>
      </c>
      <c r="S19" s="298"/>
      <c r="Z19" s="3" t="s">
        <v>958</v>
      </c>
      <c r="AA19" s="4">
        <v>21.0</v>
      </c>
      <c r="AB19" s="4">
        <v>21.0</v>
      </c>
      <c r="AC19" s="4">
        <v>21.0</v>
      </c>
      <c r="AD19" s="4">
        <v>21.0</v>
      </c>
    </row>
    <row r="20">
      <c r="E20" s="118"/>
      <c r="F20" s="118"/>
      <c r="G20" s="118"/>
      <c r="H20" s="118"/>
      <c r="I20" s="118"/>
      <c r="J20" s="118"/>
      <c r="N20" s="54"/>
      <c r="Q20" s="54"/>
      <c r="T20" s="53"/>
      <c r="U20" s="317" t="s">
        <v>786</v>
      </c>
      <c r="V20" s="318">
        <v>5.5</v>
      </c>
      <c r="W20" s="99" t="s">
        <v>959</v>
      </c>
      <c r="X20" s="218"/>
      <c r="Y20" s="218"/>
      <c r="Z20" s="31" t="s">
        <v>286</v>
      </c>
      <c r="AA20" s="61" t="s">
        <v>762</v>
      </c>
      <c r="AB20" s="61" t="s">
        <v>763</v>
      </c>
      <c r="AC20" s="61" t="s">
        <v>764</v>
      </c>
      <c r="AD20" s="61" t="s">
        <v>765</v>
      </c>
    </row>
    <row r="21">
      <c r="E21" s="118"/>
      <c r="F21" s="118"/>
      <c r="G21" s="118"/>
      <c r="H21" s="118"/>
      <c r="I21" s="118"/>
      <c r="J21" s="118"/>
      <c r="R21" s="54"/>
      <c r="T21" s="53"/>
      <c r="U21" s="291" t="s">
        <v>960</v>
      </c>
      <c r="V21" s="301">
        <v>8.0</v>
      </c>
      <c r="W21" s="99" t="s">
        <v>961</v>
      </c>
      <c r="X21" s="218"/>
      <c r="Y21" s="218"/>
      <c r="Z21" s="3" t="s">
        <v>468</v>
      </c>
      <c r="AA21" s="276">
        <v>21.0</v>
      </c>
      <c r="AB21" s="276">
        <v>21.0</v>
      </c>
      <c r="AC21" s="276">
        <v>21.0</v>
      </c>
      <c r="AD21" s="276">
        <v>21.0</v>
      </c>
    </row>
    <row r="22">
      <c r="E22" s="118"/>
      <c r="F22" s="118"/>
      <c r="G22" s="118"/>
      <c r="H22" s="118"/>
      <c r="I22" s="118"/>
      <c r="J22" s="118"/>
      <c r="N22" s="218"/>
      <c r="R22" s="54"/>
      <c r="T22" s="53"/>
      <c r="U22" s="291" t="s">
        <v>469</v>
      </c>
      <c r="V22" s="301">
        <v>6.5</v>
      </c>
      <c r="W22" s="99" t="s">
        <v>962</v>
      </c>
      <c r="X22" s="218"/>
      <c r="Y22" s="218"/>
      <c r="Z22" s="3" t="s">
        <v>469</v>
      </c>
      <c r="AA22" s="280">
        <v>21.0</v>
      </c>
      <c r="AB22" s="280">
        <v>21.0</v>
      </c>
      <c r="AC22" s="280">
        <v>21.0</v>
      </c>
      <c r="AD22" s="280">
        <v>21.0</v>
      </c>
    </row>
    <row r="23">
      <c r="E23" s="118"/>
      <c r="F23" s="118"/>
      <c r="G23" s="118"/>
      <c r="H23" s="118"/>
      <c r="I23" s="118"/>
      <c r="J23" s="118"/>
      <c r="R23" s="54"/>
      <c r="T23" s="53"/>
      <c r="U23" s="291" t="s">
        <v>470</v>
      </c>
      <c r="V23" s="301">
        <v>5.5</v>
      </c>
      <c r="W23" s="218"/>
      <c r="X23" s="218"/>
      <c r="Y23" s="218"/>
      <c r="Z23" s="3" t="s">
        <v>470</v>
      </c>
      <c r="AA23" s="276">
        <v>21.0</v>
      </c>
      <c r="AB23" s="276">
        <v>21.0</v>
      </c>
      <c r="AC23" s="276">
        <v>20.0</v>
      </c>
      <c r="AD23" s="276">
        <v>18.0</v>
      </c>
    </row>
    <row r="24">
      <c r="E24" s="118"/>
      <c r="F24" s="118"/>
      <c r="G24" s="118"/>
      <c r="H24" s="118"/>
      <c r="I24" s="118"/>
      <c r="J24" s="118"/>
      <c r="O24" s="3"/>
      <c r="T24" s="55"/>
      <c r="U24" s="288" t="s">
        <v>906</v>
      </c>
      <c r="V24" s="301">
        <v>6.2</v>
      </c>
      <c r="Z24" s="287" t="s">
        <v>906</v>
      </c>
      <c r="AA24" s="280">
        <v>21.0</v>
      </c>
      <c r="AB24" s="280">
        <v>21.0</v>
      </c>
      <c r="AC24" s="280">
        <v>21.0</v>
      </c>
      <c r="AD24" s="280">
        <v>19.0</v>
      </c>
    </row>
    <row r="25">
      <c r="E25" s="118"/>
      <c r="F25" s="118"/>
      <c r="G25" s="118"/>
      <c r="H25" s="118"/>
      <c r="I25" s="118"/>
      <c r="J25" s="118"/>
      <c r="O25" s="3"/>
      <c r="T25" s="55"/>
      <c r="U25" s="288" t="s">
        <v>908</v>
      </c>
      <c r="V25" s="301">
        <v>6.5</v>
      </c>
      <c r="Z25" s="287" t="s">
        <v>908</v>
      </c>
      <c r="AA25" s="276">
        <v>21.0</v>
      </c>
      <c r="AB25" s="276">
        <v>21.0</v>
      </c>
      <c r="AC25" s="276">
        <v>20.0</v>
      </c>
      <c r="AD25" s="276">
        <v>18.0</v>
      </c>
    </row>
    <row r="26">
      <c r="E26" s="118"/>
      <c r="F26" s="118"/>
      <c r="G26" s="118"/>
      <c r="H26" s="118"/>
      <c r="I26" s="118"/>
      <c r="J26" s="118"/>
      <c r="T26" s="55"/>
      <c r="U26" s="319" t="s">
        <v>910</v>
      </c>
      <c r="V26" s="316">
        <f>AVERAGE(V21:V23)</f>
        <v>6.666666667</v>
      </c>
      <c r="Z26" s="319" t="s">
        <v>910</v>
      </c>
      <c r="AA26" s="316">
        <f t="shared" ref="AA26:AD26" si="10">AVERAGE(AA21:AA23)</f>
        <v>21</v>
      </c>
      <c r="AB26" s="316">
        <f t="shared" si="10"/>
        <v>21</v>
      </c>
      <c r="AC26" s="316">
        <f t="shared" si="10"/>
        <v>20.66666667</v>
      </c>
      <c r="AD26" s="316">
        <f t="shared" si="10"/>
        <v>20</v>
      </c>
    </row>
    <row r="27">
      <c r="A27" s="3"/>
      <c r="B27" s="12"/>
      <c r="C27" s="12"/>
      <c r="D27" s="13"/>
      <c r="E27" s="13"/>
      <c r="F27" s="13"/>
      <c r="G27" s="13"/>
      <c r="H27" s="13"/>
      <c r="I27" s="13"/>
      <c r="J27" s="13"/>
      <c r="U27" s="218" t="s">
        <v>912</v>
      </c>
      <c r="V27" s="293">
        <f>AVERAGE(V21:V25)</f>
        <v>6.54</v>
      </c>
      <c r="Y27" s="32">
        <v>2025.0</v>
      </c>
      <c r="Z27" s="218" t="s">
        <v>912</v>
      </c>
      <c r="AA27" s="293">
        <f t="shared" ref="AA27:AD27" si="11">AVERAGE(AA21:AA25)</f>
        <v>21</v>
      </c>
      <c r="AB27" s="293">
        <f t="shared" si="11"/>
        <v>21</v>
      </c>
      <c r="AC27" s="293">
        <f t="shared" si="11"/>
        <v>20.6</v>
      </c>
      <c r="AD27" s="293">
        <f t="shared" si="11"/>
        <v>19.4</v>
      </c>
    </row>
    <row r="28">
      <c r="N28" s="3" t="s">
        <v>918</v>
      </c>
      <c r="R28" s="4" t="s">
        <v>963</v>
      </c>
      <c r="T28" s="55"/>
      <c r="X28" s="218" t="s">
        <v>786</v>
      </c>
      <c r="Y28" s="289">
        <v>-1.5</v>
      </c>
    </row>
    <row r="29">
      <c r="N29" s="307" t="s">
        <v>652</v>
      </c>
      <c r="Q29" s="4" t="s">
        <v>652</v>
      </c>
      <c r="R29" s="4" t="s">
        <v>335</v>
      </c>
      <c r="S29" s="4" t="s">
        <v>338</v>
      </c>
      <c r="T29" s="4" t="s">
        <v>581</v>
      </c>
      <c r="X29" s="218" t="s">
        <v>964</v>
      </c>
      <c r="Y29" s="242">
        <v>2.5</v>
      </c>
    </row>
    <row r="30">
      <c r="M30" s="308" t="s">
        <v>62</v>
      </c>
      <c r="N30" s="308">
        <v>100.8</v>
      </c>
      <c r="P30" s="4" t="s">
        <v>62</v>
      </c>
      <c r="Q30" s="236">
        <v>100.3</v>
      </c>
      <c r="R30" s="236">
        <v>95.1</v>
      </c>
      <c r="S30" s="24">
        <v>90.0</v>
      </c>
      <c r="T30" s="226">
        <f t="shared" ref="T30:T33" si="12">AVERAGE(Q30:S30)</f>
        <v>95.13333333</v>
      </c>
      <c r="X30" s="218" t="s">
        <v>469</v>
      </c>
      <c r="Y30" s="243">
        <v>0.0</v>
      </c>
    </row>
    <row r="31">
      <c r="M31" s="309" t="s">
        <v>920</v>
      </c>
      <c r="N31" s="308">
        <v>13.71</v>
      </c>
      <c r="P31" s="4" t="s">
        <v>28</v>
      </c>
      <c r="Q31" s="232">
        <v>79.1</v>
      </c>
      <c r="R31" s="232">
        <v>76.0</v>
      </c>
      <c r="S31" s="209">
        <v>74.5</v>
      </c>
      <c r="T31" s="226">
        <f t="shared" si="12"/>
        <v>76.53333333</v>
      </c>
      <c r="X31" s="218" t="s">
        <v>470</v>
      </c>
      <c r="Y31" s="243">
        <v>-1.0</v>
      </c>
    </row>
    <row r="32">
      <c r="M32" s="309" t="s">
        <v>921</v>
      </c>
      <c r="N32" s="310">
        <v>7.3</v>
      </c>
      <c r="P32" s="4" t="s">
        <v>582</v>
      </c>
      <c r="Q32" s="311">
        <v>66.4</v>
      </c>
      <c r="R32" s="236">
        <v>63.7</v>
      </c>
      <c r="S32" s="236"/>
      <c r="T32" s="226">
        <f t="shared" si="12"/>
        <v>65.05</v>
      </c>
      <c r="X32" s="288" t="s">
        <v>906</v>
      </c>
      <c r="Y32" s="301">
        <v>0.0</v>
      </c>
    </row>
    <row r="33">
      <c r="M33" s="309" t="s">
        <v>24</v>
      </c>
      <c r="N33" s="308">
        <v>104.3</v>
      </c>
      <c r="P33" s="4" t="s">
        <v>583</v>
      </c>
      <c r="Q33" s="117">
        <f t="shared" ref="Q33:R33" si="13">Q31-Q32</f>
        <v>12.7</v>
      </c>
      <c r="R33" s="112">
        <f t="shared" si="13"/>
        <v>12.3</v>
      </c>
      <c r="S33" s="24">
        <v>10.0</v>
      </c>
      <c r="T33" s="226">
        <f t="shared" si="12"/>
        <v>11.66666667</v>
      </c>
      <c r="X33" s="288" t="s">
        <v>908</v>
      </c>
      <c r="Y33" s="301">
        <v>0.5</v>
      </c>
    </row>
    <row r="34">
      <c r="M34" s="309" t="s">
        <v>922</v>
      </c>
      <c r="N34" s="308">
        <v>1.035</v>
      </c>
      <c r="X34" s="319" t="s">
        <v>910</v>
      </c>
      <c r="Y34" s="316">
        <f>AVERAGE(Y29:Y31)</f>
        <v>0.5</v>
      </c>
    </row>
    <row r="35">
      <c r="M35" s="308" t="s">
        <v>28</v>
      </c>
      <c r="N35" s="308">
        <v>80.0</v>
      </c>
      <c r="X35" s="218" t="s">
        <v>912</v>
      </c>
      <c r="Y35" s="293">
        <f>AVERAGE(Y29:Y33)</f>
        <v>0.4</v>
      </c>
    </row>
    <row r="36">
      <c r="M36" s="308" t="s">
        <v>582</v>
      </c>
      <c r="N36" s="309">
        <v>67.6</v>
      </c>
    </row>
    <row r="39">
      <c r="N39" s="31" t="s">
        <v>586</v>
      </c>
    </row>
    <row r="40">
      <c r="N40" s="3" t="s">
        <v>587</v>
      </c>
      <c r="Q40" s="3" t="s">
        <v>588</v>
      </c>
    </row>
    <row r="41">
      <c r="N41" s="3" t="s">
        <v>589</v>
      </c>
      <c r="Q41" s="3" t="s">
        <v>590</v>
      </c>
      <c r="X41" s="41">
        <v>0.1</v>
      </c>
      <c r="Y41" s="41">
        <v>0.3</v>
      </c>
    </row>
    <row r="42">
      <c r="N42" s="3" t="s">
        <v>591</v>
      </c>
      <c r="Q42" s="3" t="s">
        <v>592</v>
      </c>
      <c r="V42" s="3" t="s">
        <v>536</v>
      </c>
      <c r="X42" s="3" t="s">
        <v>537</v>
      </c>
    </row>
    <row r="43">
      <c r="N43" s="3" t="s">
        <v>593</v>
      </c>
      <c r="Q43" s="3" t="s">
        <v>594</v>
      </c>
      <c r="V43" s="3" t="s">
        <v>538</v>
      </c>
      <c r="W43" s="4">
        <v>0.24</v>
      </c>
      <c r="X43" s="212">
        <f t="shared" ref="X43:X49" si="14">W43*$X$41</f>
        <v>0.024</v>
      </c>
      <c r="Y43" s="212">
        <f t="shared" ref="Y43:Y49" si="15">W43*$Y$41</f>
        <v>0.072</v>
      </c>
    </row>
    <row r="44">
      <c r="N44" s="3" t="s">
        <v>595</v>
      </c>
      <c r="Q44" s="3" t="s">
        <v>596</v>
      </c>
      <c r="V44" s="99" t="s">
        <v>540</v>
      </c>
      <c r="W44" s="4">
        <v>0.055</v>
      </c>
      <c r="X44" s="212">
        <f t="shared" si="14"/>
        <v>0.0055</v>
      </c>
      <c r="Y44" s="212">
        <f t="shared" si="15"/>
        <v>0.0165</v>
      </c>
      <c r="Z44" s="49" t="s">
        <v>541</v>
      </c>
    </row>
    <row r="45">
      <c r="N45" s="3" t="s">
        <v>597</v>
      </c>
      <c r="Q45" s="3" t="s">
        <v>598</v>
      </c>
      <c r="V45" s="3" t="s">
        <v>835</v>
      </c>
      <c r="W45" s="4">
        <v>0.125</v>
      </c>
      <c r="X45" s="212">
        <f t="shared" si="14"/>
        <v>0.0125</v>
      </c>
      <c r="Y45" s="212">
        <f t="shared" si="15"/>
        <v>0.0375</v>
      </c>
      <c r="AA45" s="3" t="s">
        <v>688</v>
      </c>
    </row>
    <row r="46">
      <c r="N46" s="3" t="s">
        <v>599</v>
      </c>
      <c r="Q46" s="3" t="s">
        <v>600</v>
      </c>
      <c r="V46" s="3" t="s">
        <v>542</v>
      </c>
      <c r="W46" s="4">
        <v>0.1</v>
      </c>
      <c r="X46" s="212">
        <f t="shared" si="14"/>
        <v>0.01</v>
      </c>
      <c r="Y46" s="212">
        <f t="shared" si="15"/>
        <v>0.03</v>
      </c>
      <c r="AA46" s="3" t="s">
        <v>689</v>
      </c>
    </row>
    <row r="47">
      <c r="V47" s="3" t="s">
        <v>543</v>
      </c>
      <c r="W47" s="4">
        <f>(0.05+0.1)/2</f>
        <v>0.075</v>
      </c>
      <c r="X47" s="212">
        <f t="shared" si="14"/>
        <v>0.0075</v>
      </c>
      <c r="Y47" s="212">
        <f t="shared" si="15"/>
        <v>0.0225</v>
      </c>
      <c r="AA47" s="3" t="s">
        <v>690</v>
      </c>
    </row>
    <row r="48">
      <c r="N48" s="3" t="s">
        <v>601</v>
      </c>
      <c r="Q48" s="3" t="s">
        <v>602</v>
      </c>
      <c r="V48" s="3" t="s">
        <v>545</v>
      </c>
      <c r="W48" s="4">
        <v>0.05</v>
      </c>
      <c r="X48" s="212">
        <f t="shared" si="14"/>
        <v>0.005</v>
      </c>
      <c r="Y48" s="212">
        <f t="shared" si="15"/>
        <v>0.015</v>
      </c>
      <c r="AA48" s="3" t="s">
        <v>691</v>
      </c>
    </row>
    <row r="49">
      <c r="Q49" s="3" t="s">
        <v>603</v>
      </c>
      <c r="V49" s="3" t="s">
        <v>558</v>
      </c>
      <c r="W49" s="4">
        <v>0.2</v>
      </c>
      <c r="X49" s="212">
        <f t="shared" si="14"/>
        <v>0.02</v>
      </c>
      <c r="Y49" s="212">
        <f t="shared" si="15"/>
        <v>0.06</v>
      </c>
    </row>
    <row r="50">
      <c r="N50" s="3" t="s">
        <v>604</v>
      </c>
    </row>
    <row r="51">
      <c r="R51" s="3" t="s">
        <v>605</v>
      </c>
    </row>
    <row r="52">
      <c r="N52" s="3" t="s">
        <v>606</v>
      </c>
      <c r="R52" s="3" t="s">
        <v>607</v>
      </c>
    </row>
    <row r="53">
      <c r="N53" s="65">
        <f>60%*47.5</f>
        <v>28.5</v>
      </c>
      <c r="O53" s="3" t="s">
        <v>608</v>
      </c>
      <c r="R53" s="65">
        <f>60%*55</f>
        <v>33</v>
      </c>
      <c r="S53" s="3" t="s">
        <v>608</v>
      </c>
    </row>
    <row r="54">
      <c r="N54" s="65">
        <f>N53*72%</f>
        <v>20.52</v>
      </c>
      <c r="O54" s="3" t="s">
        <v>609</v>
      </c>
      <c r="R54" s="65">
        <f>R53*83%</f>
        <v>27.39</v>
      </c>
      <c r="S54" s="3" t="s">
        <v>609</v>
      </c>
    </row>
    <row r="55">
      <c r="N55" s="65">
        <f>N53-N54</f>
        <v>7.98</v>
      </c>
      <c r="O55" s="3" t="s">
        <v>610</v>
      </c>
      <c r="R55" s="65">
        <f>R53-R54</f>
        <v>5.61</v>
      </c>
      <c r="S55" s="3" t="s">
        <v>610</v>
      </c>
    </row>
    <row r="56">
      <c r="N56" s="3" t="s">
        <v>965</v>
      </c>
      <c r="Q56" s="3" t="s">
        <v>966</v>
      </c>
    </row>
    <row r="57">
      <c r="N57" s="3" t="s">
        <v>613</v>
      </c>
      <c r="Q57" s="3" t="s">
        <v>614</v>
      </c>
    </row>
    <row r="58">
      <c r="N58" s="3" t="s">
        <v>615</v>
      </c>
      <c r="Q58" s="3" t="s">
        <v>616</v>
      </c>
    </row>
    <row r="59">
      <c r="N59" s="3" t="s">
        <v>617</v>
      </c>
      <c r="Q59" s="3" t="s">
        <v>618</v>
      </c>
    </row>
    <row r="61">
      <c r="M61" s="3" t="s">
        <v>619</v>
      </c>
      <c r="N61" s="31" t="s">
        <v>620</v>
      </c>
      <c r="P61" s="218" t="s">
        <v>619</v>
      </c>
      <c r="Q61" s="31" t="s">
        <v>621</v>
      </c>
    </row>
    <row r="64">
      <c r="Q64" s="3" t="s">
        <v>967</v>
      </c>
    </row>
    <row r="65">
      <c r="Q65" s="3" t="s">
        <v>623</v>
      </c>
    </row>
    <row r="66">
      <c r="Q66" s="3" t="s">
        <v>616</v>
      </c>
    </row>
    <row r="67">
      <c r="Q67" s="3" t="s">
        <v>618</v>
      </c>
    </row>
    <row r="69">
      <c r="P69" s="218" t="s">
        <v>619</v>
      </c>
      <c r="Q69" s="31" t="s">
        <v>624</v>
      </c>
    </row>
  </sheetData>
  <hyperlinks>
    <hyperlink r:id="rId1" ref="Z44"/>
  </hyperlinks>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60">
        <v>45729.0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343" t="s">
        <v>968</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224" t="s">
        <v>526</v>
      </c>
      <c r="V2" s="224" t="s">
        <v>526</v>
      </c>
      <c r="W2" s="224" t="s">
        <v>526</v>
      </c>
      <c r="X2" s="224" t="s">
        <v>526</v>
      </c>
      <c r="Y2" s="3" t="s">
        <v>527</v>
      </c>
      <c r="AA2" s="3" t="s">
        <v>969</v>
      </c>
      <c r="AF2" s="31" t="s">
        <v>970</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265">
        <v>94.0</v>
      </c>
      <c r="V3" s="265">
        <v>93.0</v>
      </c>
      <c r="W3" s="265">
        <v>97.0</v>
      </c>
      <c r="X3" s="266">
        <v>98.0</v>
      </c>
      <c r="Y3" s="248">
        <f t="shared" ref="Y3:Y7" si="3">AVERAGE(U3:X3)</f>
        <v>95.5</v>
      </c>
      <c r="AA3" s="3" t="s">
        <v>971</v>
      </c>
      <c r="AF3" s="3" t="s">
        <v>972</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264">
        <v>75.0</v>
      </c>
      <c r="V4" s="264">
        <v>72.0</v>
      </c>
      <c r="W4" s="264">
        <v>70.0</v>
      </c>
      <c r="X4" s="264">
        <v>68.0</v>
      </c>
      <c r="Y4" s="248">
        <f t="shared" si="3"/>
        <v>71.25</v>
      </c>
      <c r="AA4" s="3" t="s">
        <v>973</v>
      </c>
      <c r="AF4" s="3" t="s">
        <v>974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264">
        <f t="shared" ref="U5:X5" si="4">U4-U6</f>
        <v>63</v>
      </c>
      <c r="V5" s="264">
        <f t="shared" si="4"/>
        <v>60</v>
      </c>
      <c r="W5" s="264">
        <f t="shared" si="4"/>
        <v>59</v>
      </c>
      <c r="X5" s="264">
        <f t="shared" si="4"/>
        <v>58</v>
      </c>
      <c r="Y5" s="248">
        <f t="shared" si="3"/>
        <v>60</v>
      </c>
      <c r="AA5" s="3" t="s">
        <v>975</v>
      </c>
      <c r="AF5" s="3" t="s">
        <v>976</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55">
        <v>10.0</v>
      </c>
      <c r="T6" s="248">
        <f t="shared" si="2"/>
        <v>13.65</v>
      </c>
      <c r="U6" s="264">
        <v>12.0</v>
      </c>
      <c r="V6" s="264">
        <v>12.0</v>
      </c>
      <c r="W6" s="264">
        <v>11.0</v>
      </c>
      <c r="X6" s="264">
        <v>10.0</v>
      </c>
      <c r="Y6" s="248">
        <f t="shared" si="3"/>
        <v>11.25</v>
      </c>
      <c r="AA6" s="3" t="s">
        <v>977</v>
      </c>
      <c r="AF6" s="3" t="s">
        <v>978</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82">
        <v>9.5</v>
      </c>
      <c r="T7" s="258">
        <f t="shared" si="2"/>
        <v>8.6</v>
      </c>
      <c r="U7" s="268">
        <v>10.2</v>
      </c>
      <c r="V7" s="268">
        <v>9.6</v>
      </c>
      <c r="W7" s="268">
        <v>8.7</v>
      </c>
      <c r="X7" s="267">
        <v>6.3</v>
      </c>
      <c r="Y7" s="258">
        <f t="shared" si="3"/>
        <v>8.7</v>
      </c>
      <c r="AA7" s="99" t="s">
        <v>979</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71">
        <v>21.0</v>
      </c>
      <c r="T8" s="258">
        <v>17.5</v>
      </c>
      <c r="U8" s="270">
        <v>21.0</v>
      </c>
      <c r="V8" s="270">
        <v>19.0</v>
      </c>
      <c r="W8" s="270">
        <v>16.0</v>
      </c>
      <c r="X8" s="269">
        <v>14.0</v>
      </c>
      <c r="Y8" s="258">
        <v>18.4</v>
      </c>
      <c r="AA8" s="3" t="s">
        <v>980</v>
      </c>
    </row>
    <row r="9" hidden="1">
      <c r="A9" s="252" t="s">
        <v>766</v>
      </c>
      <c r="E9" s="114"/>
      <c r="F9" s="115"/>
      <c r="G9" s="115"/>
      <c r="H9" s="115"/>
      <c r="I9" s="112"/>
      <c r="J9" s="112"/>
      <c r="T9" s="103"/>
      <c r="U9" s="54"/>
      <c r="V9" s="287" t="s">
        <v>767</v>
      </c>
      <c r="W9" s="54"/>
      <c r="X9" s="54"/>
      <c r="Y9" s="103"/>
    </row>
    <row r="10">
      <c r="E10" s="114"/>
      <c r="F10" s="115"/>
      <c r="G10" s="115"/>
      <c r="H10" s="115"/>
      <c r="I10" s="112"/>
      <c r="J10" s="112"/>
      <c r="S10" s="298"/>
      <c r="T10" s="314"/>
      <c r="U10" s="61" t="s">
        <v>762</v>
      </c>
      <c r="V10" s="61" t="s">
        <v>763</v>
      </c>
      <c r="W10" s="61" t="s">
        <v>764</v>
      </c>
      <c r="X10" s="61" t="s">
        <v>765</v>
      </c>
      <c r="Y10" s="215"/>
    </row>
    <row r="11">
      <c r="E11" s="114"/>
      <c r="F11" s="115"/>
      <c r="G11" s="115"/>
      <c r="H11" s="115"/>
      <c r="I11" s="112"/>
      <c r="J11" s="112"/>
      <c r="S11" s="298"/>
      <c r="T11" s="314" t="s">
        <v>786</v>
      </c>
      <c r="U11" s="315">
        <v>94.0</v>
      </c>
      <c r="V11" s="315">
        <v>95.0</v>
      </c>
      <c r="W11" s="315">
        <v>101.0</v>
      </c>
      <c r="X11" s="315">
        <v>100.0</v>
      </c>
      <c r="Y11" s="215"/>
    </row>
    <row r="12">
      <c r="E12" s="114"/>
      <c r="F12" s="115"/>
      <c r="G12" s="115"/>
      <c r="H12" s="115"/>
      <c r="I12" s="112" t="s">
        <v>406</v>
      </c>
      <c r="J12" s="112" t="s">
        <v>406</v>
      </c>
      <c r="R12" s="4" t="s">
        <v>949</v>
      </c>
      <c r="S12" s="298"/>
      <c r="T12" s="218" t="s">
        <v>981</v>
      </c>
      <c r="U12" s="112"/>
      <c r="V12" s="242">
        <v>88.0</v>
      </c>
      <c r="W12" s="242">
        <v>91.0</v>
      </c>
      <c r="X12" s="242">
        <v>93.0</v>
      </c>
      <c r="Y12" s="215"/>
    </row>
    <row r="13">
      <c r="E13" s="114" t="s">
        <v>241</v>
      </c>
      <c r="F13" s="115" t="s">
        <v>242</v>
      </c>
      <c r="G13" s="115" t="s">
        <v>242</v>
      </c>
      <c r="H13" s="115" t="s">
        <v>194</v>
      </c>
      <c r="I13" s="115" t="s">
        <v>148</v>
      </c>
      <c r="Q13" s="218" t="s">
        <v>982</v>
      </c>
      <c r="R13" s="242">
        <v>72.0</v>
      </c>
      <c r="S13" s="298"/>
      <c r="T13" s="218" t="s">
        <v>469</v>
      </c>
      <c r="U13" s="112"/>
      <c r="V13" s="300">
        <v>95.0</v>
      </c>
      <c r="W13" s="300">
        <v>100.0</v>
      </c>
      <c r="X13" s="300">
        <v>101.0</v>
      </c>
      <c r="Y13" s="215"/>
    </row>
    <row r="14">
      <c r="C14" s="4">
        <v>5.7</v>
      </c>
      <c r="D14" s="4">
        <v>6.5</v>
      </c>
      <c r="E14" s="62">
        <v>7.4</v>
      </c>
      <c r="F14" s="54">
        <v>8.1</v>
      </c>
      <c r="G14" s="54"/>
      <c r="H14" s="62"/>
      <c r="I14" s="62"/>
      <c r="J14" s="62"/>
      <c r="Q14" s="218" t="s">
        <v>469</v>
      </c>
      <c r="R14" s="242">
        <v>70.0</v>
      </c>
      <c r="S14" s="298"/>
      <c r="T14" s="218" t="s">
        <v>470</v>
      </c>
      <c r="U14" s="344"/>
      <c r="V14" s="300">
        <v>95.0</v>
      </c>
      <c r="W14" s="300">
        <v>101.0</v>
      </c>
      <c r="X14" s="300">
        <v>100.0</v>
      </c>
    </row>
    <row r="15">
      <c r="D15" s="111"/>
      <c r="E15" s="117"/>
      <c r="F15" s="112"/>
      <c r="G15" s="112"/>
      <c r="H15" s="112"/>
      <c r="I15" s="117"/>
      <c r="J15" s="112"/>
      <c r="Q15" s="218" t="s">
        <v>470</v>
      </c>
      <c r="R15" s="242">
        <v>70.0</v>
      </c>
      <c r="S15" s="298"/>
      <c r="T15" s="288" t="s">
        <v>906</v>
      </c>
      <c r="U15" s="344"/>
      <c r="V15" s="300">
        <v>93.0</v>
      </c>
      <c r="W15" s="300">
        <v>100.0</v>
      </c>
      <c r="X15" s="300">
        <v>101.0</v>
      </c>
      <c r="AA15" s="345">
        <v>45772.0</v>
      </c>
      <c r="AB15" s="345">
        <v>45814.0</v>
      </c>
      <c r="AC15" s="345">
        <v>45863.0</v>
      </c>
      <c r="AD15" s="4" t="s">
        <v>983</v>
      </c>
      <c r="AE15" s="345">
        <v>45954.0</v>
      </c>
      <c r="AF15" s="345">
        <v>46010.0</v>
      </c>
    </row>
    <row r="16">
      <c r="D16" s="111"/>
      <c r="E16" s="117"/>
      <c r="F16" s="112"/>
      <c r="G16" s="112"/>
      <c r="H16" s="112"/>
      <c r="I16" s="117"/>
      <c r="J16" s="112"/>
      <c r="Q16" s="54"/>
      <c r="R16" s="54"/>
      <c r="S16" s="298"/>
      <c r="T16" s="288" t="s">
        <v>908</v>
      </c>
      <c r="U16" s="344"/>
      <c r="V16" s="300">
        <v>93.0</v>
      </c>
      <c r="W16" s="300">
        <v>100.0</v>
      </c>
      <c r="X16" s="300">
        <v>101.0</v>
      </c>
      <c r="AA16" s="4"/>
      <c r="AB16" s="4"/>
      <c r="AC16" s="4"/>
      <c r="AD16" s="4"/>
      <c r="AE16" s="4"/>
      <c r="AF16" s="4"/>
    </row>
    <row r="17">
      <c r="D17" s="111" t="s">
        <v>241</v>
      </c>
      <c r="E17" s="117">
        <v>7.0</v>
      </c>
      <c r="F17" s="112">
        <v>7.3</v>
      </c>
      <c r="G17" s="112"/>
      <c r="H17" s="112"/>
      <c r="I17" s="117"/>
      <c r="J17" s="112"/>
      <c r="Q17" s="54"/>
      <c r="R17" s="54"/>
      <c r="S17" s="298"/>
      <c r="T17" s="288" t="s">
        <v>910</v>
      </c>
      <c r="U17" s="316" t="str">
        <f t="shared" ref="U17:X17" si="8">AVERAGE(U12:U14)</f>
        <v>#DIV/0!</v>
      </c>
      <c r="V17" s="316">
        <f t="shared" si="8"/>
        <v>92.66666667</v>
      </c>
      <c r="W17" s="316">
        <f t="shared" si="8"/>
        <v>97.33333333</v>
      </c>
      <c r="X17" s="316">
        <f t="shared" si="8"/>
        <v>98</v>
      </c>
    </row>
    <row r="18">
      <c r="C18" s="10"/>
      <c r="D18" s="10"/>
      <c r="E18" s="10"/>
      <c r="F18" s="10"/>
      <c r="G18" s="10"/>
      <c r="H18" s="10"/>
      <c r="I18" s="10"/>
      <c r="J18" s="10"/>
      <c r="Q18" s="54"/>
      <c r="R18" s="54"/>
      <c r="S18" s="298"/>
      <c r="T18" s="218" t="s">
        <v>912</v>
      </c>
      <c r="U18" s="234" t="str">
        <f t="shared" ref="U18:X18" si="9">AVERAGE(U12:U16)</f>
        <v>#DIV/0!</v>
      </c>
      <c r="V18" s="234">
        <f t="shared" si="9"/>
        <v>92.8</v>
      </c>
      <c r="W18" s="234">
        <f t="shared" si="9"/>
        <v>98.4</v>
      </c>
      <c r="X18" s="234">
        <f t="shared" si="9"/>
        <v>99.2</v>
      </c>
    </row>
    <row r="19">
      <c r="E19" s="118"/>
      <c r="F19" s="118"/>
      <c r="G19" s="118"/>
      <c r="H19" s="118"/>
      <c r="I19" s="118"/>
      <c r="J19" s="118"/>
      <c r="Q19" s="54"/>
      <c r="R19" s="234">
        <f>AVERAGE(R13:R18)</f>
        <v>70.66666667</v>
      </c>
      <c r="S19" s="298"/>
      <c r="V19" s="3" t="s">
        <v>984</v>
      </c>
      <c r="AA19" s="4"/>
      <c r="AB19" s="3" t="s">
        <v>985</v>
      </c>
      <c r="AC19" s="3" t="s">
        <v>986</v>
      </c>
      <c r="AD19" s="3" t="s">
        <v>987</v>
      </c>
    </row>
    <row r="20">
      <c r="E20" s="118"/>
      <c r="F20" s="118"/>
      <c r="G20" s="118"/>
      <c r="H20" s="118"/>
      <c r="I20" s="118"/>
      <c r="J20" s="118"/>
      <c r="N20" s="54"/>
      <c r="Q20" s="54"/>
      <c r="T20" s="53"/>
      <c r="U20" s="317" t="s">
        <v>786</v>
      </c>
      <c r="V20" s="318">
        <v>4.7</v>
      </c>
      <c r="W20" s="99" t="s">
        <v>988</v>
      </c>
      <c r="X20" s="218"/>
      <c r="Y20" s="218"/>
      <c r="Z20" s="31" t="s">
        <v>286</v>
      </c>
      <c r="AA20" s="61" t="s">
        <v>762</v>
      </c>
      <c r="AB20" s="61" t="s">
        <v>763</v>
      </c>
      <c r="AC20" s="61" t="s">
        <v>764</v>
      </c>
      <c r="AD20" s="61" t="s">
        <v>765</v>
      </c>
    </row>
    <row r="21">
      <c r="E21" s="118"/>
      <c r="F21" s="118"/>
      <c r="G21" s="118"/>
      <c r="H21" s="118"/>
      <c r="I21" s="118"/>
      <c r="J21" s="118"/>
      <c r="R21" s="54"/>
      <c r="S21" s="301">
        <v>8.0</v>
      </c>
      <c r="T21" s="53"/>
      <c r="U21" s="291" t="s">
        <v>989</v>
      </c>
      <c r="V21" s="301">
        <v>7.8</v>
      </c>
      <c r="W21" s="99" t="s">
        <v>990</v>
      </c>
      <c r="X21" s="218"/>
      <c r="Y21" s="218"/>
      <c r="Z21" s="3" t="s">
        <v>468</v>
      </c>
      <c r="AA21" s="276">
        <v>21.0</v>
      </c>
      <c r="AB21" s="276">
        <v>19.0</v>
      </c>
      <c r="AC21" s="276">
        <v>16.0</v>
      </c>
      <c r="AD21" s="276">
        <v>13.0</v>
      </c>
    </row>
    <row r="22">
      <c r="E22" s="118"/>
      <c r="F22" s="118"/>
      <c r="G22" s="118"/>
      <c r="H22" s="118"/>
      <c r="I22" s="118"/>
      <c r="J22" s="118"/>
      <c r="N22" s="218"/>
      <c r="R22" s="54"/>
      <c r="S22" s="301">
        <v>6.5</v>
      </c>
      <c r="T22" s="53"/>
      <c r="U22" s="291" t="s">
        <v>469</v>
      </c>
      <c r="V22" s="301">
        <v>6.0</v>
      </c>
      <c r="W22" s="99" t="s">
        <v>991</v>
      </c>
      <c r="X22" s="218"/>
      <c r="Y22" s="218"/>
      <c r="Z22" s="3" t="s">
        <v>469</v>
      </c>
      <c r="AA22" s="280">
        <v>21.0</v>
      </c>
      <c r="AB22" s="280">
        <v>21.0</v>
      </c>
      <c r="AC22" s="280">
        <v>16.0</v>
      </c>
      <c r="AD22" s="280">
        <v>12.0</v>
      </c>
    </row>
    <row r="23">
      <c r="E23" s="118"/>
      <c r="F23" s="118"/>
      <c r="G23" s="118"/>
      <c r="H23" s="118"/>
      <c r="I23" s="118"/>
      <c r="J23" s="118"/>
      <c r="R23" s="54"/>
      <c r="S23" s="301">
        <v>5.5</v>
      </c>
      <c r="T23" s="53"/>
      <c r="U23" s="291" t="s">
        <v>470</v>
      </c>
      <c r="V23" s="301">
        <v>5.0</v>
      </c>
      <c r="W23" s="99" t="s">
        <v>992</v>
      </c>
      <c r="X23" s="218"/>
      <c r="Y23" s="218"/>
      <c r="Z23" s="3" t="s">
        <v>470</v>
      </c>
      <c r="AA23" s="276">
        <v>21.0</v>
      </c>
      <c r="AB23" s="276">
        <v>18.0</v>
      </c>
      <c r="AC23" s="276">
        <v>16.0</v>
      </c>
      <c r="AD23" s="276">
        <v>16.0</v>
      </c>
    </row>
    <row r="24">
      <c r="E24" s="118"/>
      <c r="F24" s="118"/>
      <c r="G24" s="118"/>
      <c r="H24" s="118"/>
      <c r="I24" s="118"/>
      <c r="J24" s="118"/>
      <c r="O24" s="3"/>
      <c r="S24" s="301">
        <v>6.2</v>
      </c>
      <c r="T24" s="55"/>
      <c r="U24" s="288" t="s">
        <v>906</v>
      </c>
      <c r="V24" s="301">
        <v>6.0</v>
      </c>
      <c r="Z24" s="287" t="s">
        <v>906</v>
      </c>
      <c r="AA24" s="280">
        <v>21.0</v>
      </c>
      <c r="AB24" s="280">
        <v>20.0</v>
      </c>
      <c r="AC24" s="280">
        <v>18.0</v>
      </c>
      <c r="AD24" s="280">
        <v>17.0</v>
      </c>
    </row>
    <row r="25">
      <c r="E25" s="118"/>
      <c r="F25" s="118"/>
      <c r="G25" s="118"/>
      <c r="H25" s="118"/>
      <c r="I25" s="118"/>
      <c r="J25" s="118"/>
      <c r="O25" s="3"/>
      <c r="S25" s="301">
        <v>6.5</v>
      </c>
      <c r="T25" s="55"/>
      <c r="U25" s="288" t="s">
        <v>908</v>
      </c>
      <c r="V25" s="301">
        <v>6.2</v>
      </c>
      <c r="Z25" s="287" t="s">
        <v>908</v>
      </c>
      <c r="AA25" s="276">
        <v>21.0</v>
      </c>
      <c r="AB25" s="276">
        <v>21.0</v>
      </c>
      <c r="AC25" s="276">
        <v>19.0</v>
      </c>
      <c r="AD25" s="276">
        <v>16.0</v>
      </c>
    </row>
    <row r="26">
      <c r="E26" s="118"/>
      <c r="F26" s="118"/>
      <c r="G26" s="118"/>
      <c r="H26" s="118"/>
      <c r="I26" s="118"/>
      <c r="J26" s="118"/>
      <c r="T26" s="55"/>
      <c r="U26" s="319" t="s">
        <v>910</v>
      </c>
      <c r="V26" s="316">
        <f>AVERAGE(V21:V23)</f>
        <v>6.266666667</v>
      </c>
      <c r="Z26" s="319" t="s">
        <v>910</v>
      </c>
      <c r="AA26" s="316">
        <f t="shared" ref="AA26:AD26" si="10">AVERAGE(AA21:AA23)</f>
        <v>21</v>
      </c>
      <c r="AB26" s="316">
        <f t="shared" si="10"/>
        <v>19.33333333</v>
      </c>
      <c r="AC26" s="316">
        <f t="shared" si="10"/>
        <v>16</v>
      </c>
      <c r="AD26" s="316">
        <f t="shared" si="10"/>
        <v>13.66666667</v>
      </c>
    </row>
    <row r="27">
      <c r="A27" s="3"/>
      <c r="B27" s="12"/>
      <c r="C27" s="12"/>
      <c r="D27" s="13"/>
      <c r="E27" s="13"/>
      <c r="F27" s="13"/>
      <c r="G27" s="13"/>
      <c r="H27" s="13"/>
      <c r="I27" s="13"/>
      <c r="J27" s="13"/>
      <c r="U27" s="218" t="s">
        <v>912</v>
      </c>
      <c r="V27" s="293">
        <f>AVERAGE(V21:V25)</f>
        <v>6.2</v>
      </c>
      <c r="Y27" s="32">
        <v>2025.0</v>
      </c>
      <c r="Z27" s="218" t="s">
        <v>912</v>
      </c>
      <c r="AA27" s="293">
        <f t="shared" ref="AA27:AD27" si="11">AVERAGE(AA21:AA25)</f>
        <v>21</v>
      </c>
      <c r="AB27" s="293">
        <f t="shared" si="11"/>
        <v>19.8</v>
      </c>
      <c r="AC27" s="293">
        <f t="shared" si="11"/>
        <v>17</v>
      </c>
      <c r="AD27" s="293">
        <f t="shared" si="11"/>
        <v>14.8</v>
      </c>
    </row>
    <row r="28">
      <c r="N28" s="3" t="s">
        <v>918</v>
      </c>
      <c r="S28" s="4" t="s">
        <v>993</v>
      </c>
      <c r="T28" s="55"/>
      <c r="X28" s="218" t="s">
        <v>786</v>
      </c>
      <c r="Y28" s="289">
        <v>0.0</v>
      </c>
    </row>
    <row r="29">
      <c r="N29" s="307" t="s">
        <v>652</v>
      </c>
      <c r="Q29" s="4" t="s">
        <v>652</v>
      </c>
      <c r="R29" s="4" t="s">
        <v>335</v>
      </c>
      <c r="S29" s="4" t="s">
        <v>338</v>
      </c>
      <c r="T29" s="4" t="s">
        <v>581</v>
      </c>
      <c r="X29" s="218" t="s">
        <v>994</v>
      </c>
      <c r="Y29" s="242">
        <v>2.5</v>
      </c>
    </row>
    <row r="30">
      <c r="M30" s="308" t="s">
        <v>62</v>
      </c>
      <c r="N30" s="308">
        <v>100.8</v>
      </c>
      <c r="P30" s="4" t="s">
        <v>62</v>
      </c>
      <c r="Q30" s="232">
        <v>100.3</v>
      </c>
      <c r="R30" s="232">
        <v>92.3</v>
      </c>
      <c r="S30" s="24">
        <v>88.6</v>
      </c>
      <c r="T30" s="226">
        <f t="shared" ref="T30:T33" si="12">AVERAGE(Q30:S30)</f>
        <v>93.73333333</v>
      </c>
      <c r="X30" s="218" t="s">
        <v>469</v>
      </c>
      <c r="Y30" s="243">
        <v>0.0</v>
      </c>
      <c r="Z30" s="3" t="s">
        <v>995</v>
      </c>
    </row>
    <row r="31">
      <c r="M31" s="309" t="s">
        <v>920</v>
      </c>
      <c r="N31" s="308">
        <v>13.71</v>
      </c>
      <c r="P31" s="4" t="s">
        <v>28</v>
      </c>
      <c r="Q31" s="232">
        <v>79.1</v>
      </c>
      <c r="R31" s="232">
        <v>75.6</v>
      </c>
      <c r="S31" s="116">
        <v>71.2</v>
      </c>
      <c r="T31" s="226">
        <f t="shared" si="12"/>
        <v>75.3</v>
      </c>
      <c r="X31" s="218" t="s">
        <v>470</v>
      </c>
      <c r="Y31" s="243">
        <v>0.0</v>
      </c>
      <c r="Z31" s="3" t="s">
        <v>996</v>
      </c>
    </row>
    <row r="32">
      <c r="M32" s="309" t="s">
        <v>921</v>
      </c>
      <c r="N32" s="310">
        <v>7.3</v>
      </c>
      <c r="P32" s="4" t="s">
        <v>582</v>
      </c>
      <c r="Q32" s="346">
        <v>66.4</v>
      </c>
      <c r="R32" s="232">
        <v>63.1</v>
      </c>
      <c r="S32" s="236">
        <v>59.7</v>
      </c>
      <c r="T32" s="226">
        <f t="shared" si="12"/>
        <v>63.06666667</v>
      </c>
      <c r="X32" s="288" t="s">
        <v>906</v>
      </c>
      <c r="Y32" s="301">
        <v>0.5</v>
      </c>
      <c r="Z32" s="3" t="s">
        <v>997</v>
      </c>
    </row>
    <row r="33">
      <c r="M33" s="309" t="s">
        <v>24</v>
      </c>
      <c r="N33" s="308">
        <v>104.3</v>
      </c>
      <c r="P33" s="4" t="s">
        <v>583</v>
      </c>
      <c r="Q33" s="117">
        <f t="shared" ref="Q33:S33" si="13">Q31-Q32</f>
        <v>12.7</v>
      </c>
      <c r="R33" s="112">
        <f t="shared" si="13"/>
        <v>12.5</v>
      </c>
      <c r="S33" s="117">
        <f t="shared" si="13"/>
        <v>11.5</v>
      </c>
      <c r="T33" s="226">
        <f t="shared" si="12"/>
        <v>12.23333333</v>
      </c>
      <c r="X33" s="288" t="s">
        <v>908</v>
      </c>
      <c r="Y33" s="301">
        <v>0.5</v>
      </c>
      <c r="Z33" s="3" t="s">
        <v>998</v>
      </c>
    </row>
    <row r="34">
      <c r="M34" s="309" t="s">
        <v>922</v>
      </c>
      <c r="N34" s="308">
        <v>1.035</v>
      </c>
      <c r="X34" s="319" t="s">
        <v>910</v>
      </c>
      <c r="Y34" s="316">
        <f>AVERAGE(Y29:Y31)</f>
        <v>0.8333333333</v>
      </c>
    </row>
    <row r="35">
      <c r="M35" s="308" t="s">
        <v>28</v>
      </c>
      <c r="N35" s="308">
        <v>80.0</v>
      </c>
      <c r="X35" s="218" t="s">
        <v>912</v>
      </c>
      <c r="Y35" s="293">
        <f>AVERAGE(Y29:Y33)</f>
        <v>0.7</v>
      </c>
    </row>
    <row r="36">
      <c r="M36" s="308" t="s">
        <v>582</v>
      </c>
      <c r="N36" s="309">
        <v>67.6</v>
      </c>
    </row>
    <row r="39">
      <c r="N39" s="31" t="s">
        <v>586</v>
      </c>
    </row>
    <row r="40">
      <c r="N40" s="3" t="s">
        <v>587</v>
      </c>
      <c r="Q40" s="3" t="s">
        <v>588</v>
      </c>
    </row>
    <row r="41">
      <c r="N41" s="3" t="s">
        <v>589</v>
      </c>
      <c r="Q41" s="3" t="s">
        <v>590</v>
      </c>
      <c r="X41" s="41">
        <v>0.1</v>
      </c>
      <c r="Y41" s="41">
        <v>0.3</v>
      </c>
    </row>
    <row r="42">
      <c r="N42" s="3" t="s">
        <v>591</v>
      </c>
      <c r="Q42" s="3" t="s">
        <v>592</v>
      </c>
      <c r="V42" s="3" t="s">
        <v>536</v>
      </c>
      <c r="X42" s="3" t="s">
        <v>537</v>
      </c>
    </row>
    <row r="43">
      <c r="N43" s="3" t="s">
        <v>593</v>
      </c>
      <c r="Q43" s="3" t="s">
        <v>594</v>
      </c>
      <c r="V43" s="3" t="s">
        <v>538</v>
      </c>
      <c r="W43" s="4">
        <v>0.24</v>
      </c>
      <c r="X43" s="212">
        <f t="shared" ref="X43:X49" si="14">W43*$X$41</f>
        <v>0.024</v>
      </c>
      <c r="Y43" s="212">
        <f t="shared" ref="Y43:Y49" si="15">W43*$Y$41</f>
        <v>0.072</v>
      </c>
    </row>
    <row r="44">
      <c r="N44" s="3" t="s">
        <v>595</v>
      </c>
      <c r="Q44" s="3" t="s">
        <v>596</v>
      </c>
      <c r="V44" s="99" t="s">
        <v>540</v>
      </c>
      <c r="W44" s="4">
        <v>0.055</v>
      </c>
      <c r="X44" s="212">
        <f t="shared" si="14"/>
        <v>0.0055</v>
      </c>
      <c r="Y44" s="212">
        <f t="shared" si="15"/>
        <v>0.0165</v>
      </c>
      <c r="Z44" s="49" t="s">
        <v>541</v>
      </c>
    </row>
    <row r="45">
      <c r="N45" s="3" t="s">
        <v>597</v>
      </c>
      <c r="Q45" s="3" t="s">
        <v>598</v>
      </c>
      <c r="V45" s="3" t="s">
        <v>835</v>
      </c>
      <c r="W45" s="4">
        <v>0.125</v>
      </c>
      <c r="X45" s="212">
        <f t="shared" si="14"/>
        <v>0.0125</v>
      </c>
      <c r="Y45" s="212">
        <f t="shared" si="15"/>
        <v>0.0375</v>
      </c>
      <c r="AA45" s="3" t="s">
        <v>688</v>
      </c>
    </row>
    <row r="46">
      <c r="N46" s="3" t="s">
        <v>599</v>
      </c>
      <c r="Q46" s="3" t="s">
        <v>600</v>
      </c>
      <c r="V46" s="3" t="s">
        <v>542</v>
      </c>
      <c r="W46" s="4">
        <v>0.1</v>
      </c>
      <c r="X46" s="212">
        <f t="shared" si="14"/>
        <v>0.01</v>
      </c>
      <c r="Y46" s="212">
        <f t="shared" si="15"/>
        <v>0.03</v>
      </c>
      <c r="AA46" s="3" t="s">
        <v>689</v>
      </c>
    </row>
    <row r="47">
      <c r="V47" s="3" t="s">
        <v>543</v>
      </c>
      <c r="W47" s="4">
        <f>(0.05+0.1)/2</f>
        <v>0.075</v>
      </c>
      <c r="X47" s="212">
        <f t="shared" si="14"/>
        <v>0.0075</v>
      </c>
      <c r="Y47" s="212">
        <f t="shared" si="15"/>
        <v>0.0225</v>
      </c>
      <c r="AA47" s="3" t="s">
        <v>690</v>
      </c>
    </row>
    <row r="48">
      <c r="N48" s="3" t="s">
        <v>601</v>
      </c>
      <c r="Q48" s="3" t="s">
        <v>602</v>
      </c>
      <c r="V48" s="3" t="s">
        <v>545</v>
      </c>
      <c r="W48" s="4">
        <v>0.05</v>
      </c>
      <c r="X48" s="212">
        <f t="shared" si="14"/>
        <v>0.005</v>
      </c>
      <c r="Y48" s="212">
        <f t="shared" si="15"/>
        <v>0.015</v>
      </c>
      <c r="AA48" s="3" t="s">
        <v>691</v>
      </c>
    </row>
    <row r="49">
      <c r="Q49" s="3" t="s">
        <v>603</v>
      </c>
      <c r="V49" s="3" t="s">
        <v>558</v>
      </c>
      <c r="W49" s="4">
        <v>0.2</v>
      </c>
      <c r="X49" s="212">
        <f t="shared" si="14"/>
        <v>0.02</v>
      </c>
      <c r="Y49" s="212">
        <f t="shared" si="15"/>
        <v>0.06</v>
      </c>
    </row>
    <row r="50">
      <c r="N50" s="3" t="s">
        <v>604</v>
      </c>
    </row>
    <row r="51">
      <c r="R51" s="3" t="s">
        <v>605</v>
      </c>
    </row>
    <row r="52">
      <c r="N52" s="3" t="s">
        <v>606</v>
      </c>
      <c r="R52" s="3" t="s">
        <v>607</v>
      </c>
    </row>
    <row r="53">
      <c r="N53" s="65">
        <f>60%*47.5</f>
        <v>28.5</v>
      </c>
      <c r="O53" s="3" t="s">
        <v>608</v>
      </c>
      <c r="R53" s="65">
        <f>60%*55</f>
        <v>33</v>
      </c>
      <c r="S53" s="3" t="s">
        <v>608</v>
      </c>
    </row>
    <row r="54">
      <c r="N54" s="65">
        <f>N53*72%</f>
        <v>20.52</v>
      </c>
      <c r="O54" s="3" t="s">
        <v>609</v>
      </c>
      <c r="R54" s="65">
        <f>R53*83%</f>
        <v>27.39</v>
      </c>
      <c r="S54" s="3" t="s">
        <v>609</v>
      </c>
    </row>
    <row r="55">
      <c r="N55" s="65">
        <f>N53-N54</f>
        <v>7.98</v>
      </c>
      <c r="O55" s="3" t="s">
        <v>610</v>
      </c>
      <c r="R55" s="65">
        <f>R53-R54</f>
        <v>5.61</v>
      </c>
      <c r="S55" s="3" t="s">
        <v>610</v>
      </c>
    </row>
    <row r="56">
      <c r="N56" s="3" t="s">
        <v>999</v>
      </c>
      <c r="Q56" s="3" t="s">
        <v>1000</v>
      </c>
    </row>
    <row r="57">
      <c r="N57" s="3" t="s">
        <v>613</v>
      </c>
      <c r="Q57" s="3" t="s">
        <v>614</v>
      </c>
    </row>
    <row r="58">
      <c r="N58" s="3" t="s">
        <v>615</v>
      </c>
      <c r="Q58" s="3" t="s">
        <v>616</v>
      </c>
    </row>
    <row r="59">
      <c r="N59" s="3" t="s">
        <v>617</v>
      </c>
      <c r="Q59" s="3" t="s">
        <v>618</v>
      </c>
    </row>
    <row r="61">
      <c r="M61" s="3" t="s">
        <v>619</v>
      </c>
      <c r="N61" s="31" t="s">
        <v>620</v>
      </c>
      <c r="P61" s="218" t="s">
        <v>619</v>
      </c>
      <c r="Q61" s="31" t="s">
        <v>621</v>
      </c>
    </row>
    <row r="64">
      <c r="Q64" s="3" t="s">
        <v>1001</v>
      </c>
    </row>
    <row r="65">
      <c r="Q65" s="3" t="s">
        <v>623</v>
      </c>
    </row>
    <row r="66">
      <c r="Q66" s="3" t="s">
        <v>616</v>
      </c>
    </row>
    <row r="67">
      <c r="Q67" s="3" t="s">
        <v>618</v>
      </c>
    </row>
    <row r="69">
      <c r="P69" s="218" t="s">
        <v>619</v>
      </c>
      <c r="Q69" s="31" t="s">
        <v>624</v>
      </c>
    </row>
  </sheetData>
  <hyperlinks>
    <hyperlink r:id="rId1" ref="Z44"/>
  </hyperlinks>
  <drawing r:id="rId2"/>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45763.0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343" t="s">
        <v>968</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224" t="s">
        <v>526</v>
      </c>
      <c r="W2" s="224" t="s">
        <v>526</v>
      </c>
      <c r="X2" s="224" t="s">
        <v>526</v>
      </c>
      <c r="Y2" s="3" t="s">
        <v>527</v>
      </c>
      <c r="AA2" s="3" t="s">
        <v>1002</v>
      </c>
      <c r="AF2" s="31" t="s">
        <v>970</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265">
        <v>85.0</v>
      </c>
      <c r="W3" s="265">
        <v>90.0</v>
      </c>
      <c r="X3" s="266">
        <v>94.0</v>
      </c>
      <c r="Y3" s="258">
        <f t="shared" ref="Y3:Y7" si="3">AVERAGE(U3:X3)</f>
        <v>90.45</v>
      </c>
      <c r="Z3" s="3" t="s">
        <v>1003</v>
      </c>
      <c r="AA3" s="3" t="s">
        <v>1004</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64">
        <v>65.0</v>
      </c>
      <c r="W4" s="264">
        <v>60.0</v>
      </c>
      <c r="X4" s="264">
        <v>57.0</v>
      </c>
      <c r="Y4" s="258">
        <f t="shared" si="3"/>
        <v>64.45</v>
      </c>
      <c r="Z4" s="3" t="s">
        <v>1005</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64">
        <f t="shared" ref="V5:X5" si="4">V4-V6</f>
        <v>54</v>
      </c>
      <c r="W5" s="264">
        <f t="shared" si="4"/>
        <v>50</v>
      </c>
      <c r="X5" s="264">
        <f t="shared" si="4"/>
        <v>48</v>
      </c>
      <c r="Y5" s="248">
        <f t="shared" si="3"/>
        <v>53.9</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55">
        <v>10.0</v>
      </c>
      <c r="T6" s="248">
        <f t="shared" si="2"/>
        <v>13.65</v>
      </c>
      <c r="U6" s="347">
        <f>U4-U5</f>
        <v>12.2</v>
      </c>
      <c r="V6" s="264">
        <v>11.0</v>
      </c>
      <c r="W6" s="264">
        <v>10.0</v>
      </c>
      <c r="X6" s="264">
        <v>9.0</v>
      </c>
      <c r="Y6" s="258">
        <f t="shared" si="3"/>
        <v>10.55</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68">
        <v>9.6</v>
      </c>
      <c r="W7" s="268">
        <v>8.4</v>
      </c>
      <c r="X7" s="267">
        <v>5.8</v>
      </c>
      <c r="Y7" s="258">
        <f t="shared" si="3"/>
        <v>8.525</v>
      </c>
      <c r="AA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0">
        <v>20.0</v>
      </c>
      <c r="W8" s="270">
        <v>17.0</v>
      </c>
      <c r="X8" s="269">
        <v>14.0</v>
      </c>
      <c r="Y8" s="258">
        <v>19.0</v>
      </c>
    </row>
    <row r="9" hidden="1">
      <c r="A9" s="252" t="s">
        <v>766</v>
      </c>
      <c r="E9" s="114"/>
      <c r="F9" s="115"/>
      <c r="G9" s="115"/>
      <c r="H9" s="115"/>
      <c r="I9" s="112"/>
      <c r="J9" s="112"/>
      <c r="T9" s="103"/>
      <c r="U9" s="54"/>
      <c r="V9" s="287" t="s">
        <v>767</v>
      </c>
      <c r="W9" s="54"/>
      <c r="X9" s="54"/>
      <c r="Y9" s="103"/>
    </row>
    <row r="10">
      <c r="E10" s="114"/>
      <c r="F10" s="115"/>
      <c r="G10" s="115"/>
      <c r="H10" s="115"/>
      <c r="I10" s="112"/>
      <c r="J10" s="112"/>
      <c r="U10" s="348" t="s">
        <v>762</v>
      </c>
      <c r="V10" s="348" t="s">
        <v>763</v>
      </c>
      <c r="W10" s="348" t="s">
        <v>764</v>
      </c>
      <c r="X10" s="349" t="s">
        <v>765</v>
      </c>
    </row>
    <row r="11">
      <c r="E11" s="114"/>
      <c r="F11" s="115"/>
      <c r="G11" s="115"/>
      <c r="H11" s="115"/>
      <c r="I11" s="112" t="s">
        <v>406</v>
      </c>
      <c r="J11" s="112" t="s">
        <v>406</v>
      </c>
      <c r="Q11" s="4" t="s">
        <v>949</v>
      </c>
      <c r="S11" s="350" t="s">
        <v>1006</v>
      </c>
      <c r="T11" s="351" t="s">
        <v>54</v>
      </c>
      <c r="U11" s="348"/>
      <c r="V11" s="348"/>
      <c r="W11" s="348"/>
      <c r="X11" s="349">
        <v>63.0</v>
      </c>
    </row>
    <row r="12">
      <c r="E12" s="114" t="s">
        <v>241</v>
      </c>
      <c r="F12" s="115" t="s">
        <v>242</v>
      </c>
      <c r="G12" s="115" t="s">
        <v>242</v>
      </c>
      <c r="H12" s="115" t="s">
        <v>194</v>
      </c>
      <c r="I12" s="115" t="s">
        <v>148</v>
      </c>
      <c r="P12" s="218" t="s">
        <v>1007</v>
      </c>
      <c r="Q12" s="242">
        <v>72.0</v>
      </c>
      <c r="T12" s="352" t="s">
        <v>468</v>
      </c>
      <c r="U12" s="353">
        <v>76.0</v>
      </c>
      <c r="V12" s="354">
        <v>65.0</v>
      </c>
      <c r="W12" s="354">
        <v>62.0</v>
      </c>
      <c r="X12" s="355">
        <v>60.0</v>
      </c>
    </row>
    <row r="13">
      <c r="C13" s="4">
        <v>5.7</v>
      </c>
      <c r="D13" s="4">
        <v>6.5</v>
      </c>
      <c r="E13" s="62">
        <v>7.4</v>
      </c>
      <c r="F13" s="54">
        <v>8.1</v>
      </c>
      <c r="G13" s="54"/>
      <c r="H13" s="62"/>
      <c r="I13" s="62"/>
      <c r="J13" s="62"/>
      <c r="P13" s="218" t="s">
        <v>469</v>
      </c>
      <c r="Q13" s="242">
        <v>70.0</v>
      </c>
      <c r="T13" s="352" t="s">
        <v>469</v>
      </c>
      <c r="U13" s="353">
        <v>76.0</v>
      </c>
      <c r="V13" s="354">
        <v>65.0</v>
      </c>
      <c r="W13" s="354">
        <v>57.0</v>
      </c>
      <c r="X13" s="356">
        <v>50.0</v>
      </c>
      <c r="Y13" s="3" t="s">
        <v>1008</v>
      </c>
      <c r="AA13" s="3" t="s">
        <v>1009</v>
      </c>
    </row>
    <row r="14">
      <c r="D14" s="111"/>
      <c r="E14" s="117"/>
      <c r="F14" s="112"/>
      <c r="G14" s="112"/>
      <c r="H14" s="112"/>
      <c r="I14" s="117"/>
      <c r="J14" s="112"/>
      <c r="P14" s="218" t="s">
        <v>470</v>
      </c>
      <c r="Q14" s="242">
        <v>70.0</v>
      </c>
      <c r="T14" s="352" t="s">
        <v>470</v>
      </c>
      <c r="U14" s="353">
        <v>76.0</v>
      </c>
      <c r="V14" s="354">
        <v>65.0</v>
      </c>
      <c r="W14" s="354">
        <v>62.0</v>
      </c>
      <c r="X14" s="355">
        <v>60.0</v>
      </c>
      <c r="AA14" s="345">
        <v>45772.0</v>
      </c>
      <c r="AB14" s="345">
        <v>45814.0</v>
      </c>
      <c r="AC14" s="345">
        <v>45863.0</v>
      </c>
      <c r="AD14" s="4" t="s">
        <v>983</v>
      </c>
      <c r="AE14" s="345">
        <v>45954.0</v>
      </c>
      <c r="AF14" s="345">
        <v>46010.0</v>
      </c>
    </row>
    <row r="15">
      <c r="D15" s="111"/>
      <c r="E15" s="117"/>
      <c r="F15" s="112"/>
      <c r="G15" s="112"/>
      <c r="H15" s="112"/>
      <c r="I15" s="117"/>
      <c r="J15" s="112"/>
      <c r="Q15" s="54"/>
      <c r="R15" s="54"/>
      <c r="T15" s="357" t="s">
        <v>906</v>
      </c>
      <c r="U15" s="353">
        <v>76.0</v>
      </c>
      <c r="V15" s="354">
        <v>65.0</v>
      </c>
      <c r="W15" s="354">
        <v>60.0</v>
      </c>
      <c r="X15" s="356">
        <v>60.0</v>
      </c>
      <c r="AA15" s="4">
        <v>21.0</v>
      </c>
      <c r="AB15" s="4">
        <v>20.0</v>
      </c>
      <c r="AC15" s="4">
        <v>19.0</v>
      </c>
      <c r="AD15" s="4">
        <v>17.0</v>
      </c>
      <c r="AE15" s="4">
        <v>15.0</v>
      </c>
      <c r="AF15" s="4">
        <v>14.0</v>
      </c>
    </row>
    <row r="16">
      <c r="D16" s="111" t="s">
        <v>241</v>
      </c>
      <c r="E16" s="117">
        <v>7.0</v>
      </c>
      <c r="F16" s="112">
        <v>7.3</v>
      </c>
      <c r="G16" s="112"/>
      <c r="H16" s="112"/>
      <c r="I16" s="117"/>
      <c r="J16" s="112"/>
      <c r="Q16" s="54"/>
      <c r="R16" s="54"/>
      <c r="T16" s="358" t="s">
        <v>908</v>
      </c>
      <c r="U16" s="353">
        <v>76.0</v>
      </c>
      <c r="V16" s="354">
        <v>65.0</v>
      </c>
      <c r="W16" s="354">
        <v>55.0</v>
      </c>
      <c r="X16" s="356">
        <v>60.0</v>
      </c>
    </row>
    <row r="17">
      <c r="C17" s="10"/>
      <c r="D17" s="10"/>
      <c r="E17" s="10"/>
      <c r="F17" s="10"/>
      <c r="G17" s="10"/>
      <c r="H17" s="10"/>
      <c r="I17" s="10"/>
      <c r="J17" s="10"/>
      <c r="Q17" s="54"/>
      <c r="R17" s="54"/>
      <c r="T17" s="358" t="s">
        <v>910</v>
      </c>
      <c r="U17" s="359">
        <f t="shared" ref="U17:X17" si="7">AVERAGE(U12:U14)</f>
        <v>76</v>
      </c>
      <c r="V17" s="359">
        <f t="shared" si="7"/>
        <v>65</v>
      </c>
      <c r="W17" s="359">
        <f t="shared" si="7"/>
        <v>60.33333333</v>
      </c>
      <c r="X17" s="360">
        <f t="shared" si="7"/>
        <v>56.66666667</v>
      </c>
    </row>
    <row r="18">
      <c r="E18" s="118"/>
      <c r="F18" s="118"/>
      <c r="G18" s="118"/>
      <c r="H18" s="118"/>
      <c r="I18" s="118"/>
      <c r="J18" s="118"/>
      <c r="O18" s="3" t="s">
        <v>1010</v>
      </c>
      <c r="Q18" s="4"/>
      <c r="R18" s="55"/>
      <c r="T18" s="361" t="s">
        <v>912</v>
      </c>
      <c r="U18" s="362">
        <f t="shared" ref="U18:X18" si="8">AVERAGE(U12:U16)</f>
        <v>76</v>
      </c>
      <c r="V18" s="362">
        <f t="shared" si="8"/>
        <v>65</v>
      </c>
      <c r="W18" s="362">
        <f t="shared" si="8"/>
        <v>59.2</v>
      </c>
      <c r="X18" s="363">
        <f t="shared" si="8"/>
        <v>58</v>
      </c>
      <c r="AA18" s="4"/>
    </row>
    <row r="19">
      <c r="E19" s="118"/>
      <c r="F19" s="118"/>
      <c r="G19" s="118"/>
      <c r="H19" s="118"/>
      <c r="I19" s="118"/>
      <c r="J19" s="118"/>
      <c r="O19" s="4" t="s">
        <v>340</v>
      </c>
      <c r="P19" s="4" t="s">
        <v>171</v>
      </c>
      <c r="Q19" s="4" t="s">
        <v>343</v>
      </c>
      <c r="R19" s="4" t="s">
        <v>581</v>
      </c>
      <c r="S19" s="364"/>
      <c r="T19" s="364"/>
      <c r="U19" s="365">
        <v>45747.0</v>
      </c>
      <c r="V19" s="365">
        <f t="shared" ref="V19:X19" si="9">EOMONTH(U19,3)</f>
        <v>45838</v>
      </c>
      <c r="W19" s="365">
        <f t="shared" si="9"/>
        <v>45930</v>
      </c>
      <c r="X19" s="365">
        <f t="shared" si="9"/>
        <v>46022</v>
      </c>
    </row>
    <row r="20">
      <c r="E20" s="118"/>
      <c r="F20" s="118"/>
      <c r="G20" s="118"/>
      <c r="H20" s="118"/>
      <c r="I20" s="118"/>
      <c r="J20" s="118"/>
      <c r="M20" s="308"/>
      <c r="N20" s="4" t="s">
        <v>62</v>
      </c>
      <c r="O20" s="236">
        <v>84.5</v>
      </c>
      <c r="P20" s="236">
        <v>82.0</v>
      </c>
      <c r="Q20" s="24">
        <v>82.0</v>
      </c>
      <c r="R20" s="226">
        <f t="shared" ref="R20:R23" si="10">AVERAGE(O20:Q20)</f>
        <v>82.83333333</v>
      </c>
      <c r="S20" s="366" t="s">
        <v>1011</v>
      </c>
      <c r="T20" s="367" t="s">
        <v>786</v>
      </c>
      <c r="U20" s="368"/>
      <c r="V20" s="348">
        <v>86.0</v>
      </c>
      <c r="W20" s="348">
        <v>92.0</v>
      </c>
      <c r="X20" s="349">
        <v>95.0</v>
      </c>
      <c r="Y20" s="3" t="s">
        <v>1012</v>
      </c>
    </row>
    <row r="21">
      <c r="E21" s="118"/>
      <c r="F21" s="118"/>
      <c r="G21" s="118"/>
      <c r="H21" s="118"/>
      <c r="I21" s="118"/>
      <c r="J21" s="118"/>
      <c r="M21" s="309"/>
      <c r="N21" s="4" t="s">
        <v>28</v>
      </c>
      <c r="O21" s="236">
        <v>67.2</v>
      </c>
      <c r="P21" s="236">
        <v>64.0</v>
      </c>
      <c r="Q21" s="116">
        <v>64.0</v>
      </c>
      <c r="R21" s="226">
        <f t="shared" si="10"/>
        <v>65.06666667</v>
      </c>
      <c r="S21" s="53"/>
      <c r="T21" s="352" t="s">
        <v>468</v>
      </c>
      <c r="U21" s="353">
        <v>93.0</v>
      </c>
      <c r="V21" s="354">
        <v>83.0</v>
      </c>
      <c r="W21" s="354">
        <v>86.0</v>
      </c>
      <c r="X21" s="355">
        <v>90.0</v>
      </c>
      <c r="Y21" s="3" t="s">
        <v>1013</v>
      </c>
    </row>
    <row r="22">
      <c r="E22" s="118"/>
      <c r="F22" s="118"/>
      <c r="G22" s="118"/>
      <c r="H22" s="118"/>
      <c r="I22" s="118"/>
      <c r="J22" s="118"/>
      <c r="M22" s="309"/>
      <c r="N22" s="4" t="s">
        <v>582</v>
      </c>
      <c r="O22" s="311">
        <v>56.4</v>
      </c>
      <c r="P22" s="236"/>
      <c r="Q22" s="236"/>
      <c r="R22" s="226">
        <f t="shared" si="10"/>
        <v>56.4</v>
      </c>
      <c r="S22" s="369"/>
      <c r="T22" s="352" t="s">
        <v>469</v>
      </c>
      <c r="U22" s="353">
        <v>93.0</v>
      </c>
      <c r="V22" s="354">
        <v>86.0</v>
      </c>
      <c r="W22" s="354">
        <v>92.0</v>
      </c>
      <c r="X22" s="356">
        <v>97.0</v>
      </c>
      <c r="Y22" s="3" t="s">
        <v>1014</v>
      </c>
    </row>
    <row r="23">
      <c r="E23" s="118"/>
      <c r="F23" s="118"/>
      <c r="G23" s="118"/>
      <c r="H23" s="118"/>
      <c r="I23" s="118"/>
      <c r="J23" s="118"/>
      <c r="M23" s="309"/>
      <c r="N23" s="4" t="s">
        <v>583</v>
      </c>
      <c r="O23" s="117">
        <f t="shared" ref="O23:Q23" si="11">O21-O22</f>
        <v>10.8</v>
      </c>
      <c r="P23" s="112">
        <f t="shared" si="11"/>
        <v>64</v>
      </c>
      <c r="Q23" s="117">
        <f t="shared" si="11"/>
        <v>64</v>
      </c>
      <c r="R23" s="226">
        <f t="shared" si="10"/>
        <v>46.26666667</v>
      </c>
      <c r="S23" s="369"/>
      <c r="T23" s="352" t="s">
        <v>470</v>
      </c>
      <c r="U23" s="353">
        <v>93.0</v>
      </c>
      <c r="V23" s="354">
        <v>86.0</v>
      </c>
      <c r="W23" s="354">
        <v>92.0</v>
      </c>
      <c r="X23" s="356">
        <v>95.0</v>
      </c>
      <c r="Y23" s="3" t="s">
        <v>1015</v>
      </c>
    </row>
    <row r="24">
      <c r="E24" s="118"/>
      <c r="F24" s="118"/>
      <c r="G24" s="118"/>
      <c r="H24" s="118"/>
      <c r="I24" s="118"/>
      <c r="J24" s="118"/>
      <c r="M24" s="309"/>
      <c r="N24" s="308">
        <v>1.035</v>
      </c>
      <c r="S24" s="364"/>
      <c r="T24" s="357" t="s">
        <v>906</v>
      </c>
      <c r="U24" s="353">
        <v>93.0</v>
      </c>
      <c r="V24" s="354">
        <v>86.0</v>
      </c>
      <c r="W24" s="354">
        <v>92.0</v>
      </c>
      <c r="X24" s="356">
        <v>95.0</v>
      </c>
    </row>
    <row r="25">
      <c r="E25" s="118"/>
      <c r="F25" s="118"/>
      <c r="G25" s="118"/>
      <c r="H25" s="118"/>
      <c r="I25" s="118"/>
      <c r="J25" s="118"/>
      <c r="M25" s="308"/>
      <c r="N25" s="308">
        <v>80.0</v>
      </c>
      <c r="S25" s="370"/>
      <c r="T25" s="358" t="s">
        <v>908</v>
      </c>
      <c r="U25" s="353">
        <v>93.0</v>
      </c>
      <c r="V25" s="354">
        <v>86.0</v>
      </c>
      <c r="W25" s="354">
        <v>92.0</v>
      </c>
      <c r="X25" s="356">
        <v>97.0</v>
      </c>
    </row>
    <row r="26">
      <c r="A26" s="3"/>
      <c r="B26" s="12"/>
      <c r="C26" s="12"/>
      <c r="D26" s="13"/>
      <c r="E26" s="13"/>
      <c r="F26" s="13"/>
      <c r="G26" s="13"/>
      <c r="H26" s="13"/>
      <c r="I26" s="13"/>
      <c r="J26" s="13"/>
      <c r="M26" s="308"/>
      <c r="N26" s="309">
        <v>67.6</v>
      </c>
      <c r="S26" s="370"/>
      <c r="T26" s="358" t="s">
        <v>910</v>
      </c>
      <c r="U26" s="359">
        <f t="shared" ref="U26:X26" si="12">AVERAGE(U21:U23)</f>
        <v>93</v>
      </c>
      <c r="V26" s="359">
        <f t="shared" si="12"/>
        <v>85</v>
      </c>
      <c r="W26" s="359">
        <f t="shared" si="12"/>
        <v>90</v>
      </c>
      <c r="X26" s="360">
        <f t="shared" si="12"/>
        <v>94</v>
      </c>
    </row>
    <row r="27">
      <c r="S27" s="55"/>
      <c r="T27" s="361" t="s">
        <v>912</v>
      </c>
      <c r="U27" s="362">
        <f t="shared" ref="U27:X27" si="13">AVERAGE(U21:U25)</f>
        <v>93</v>
      </c>
      <c r="V27" s="362">
        <f t="shared" si="13"/>
        <v>85.4</v>
      </c>
      <c r="W27" s="362">
        <f t="shared" si="13"/>
        <v>90.8</v>
      </c>
      <c r="X27" s="363">
        <f t="shared" si="13"/>
        <v>94.8</v>
      </c>
    </row>
    <row r="28">
      <c r="Q28" s="4"/>
      <c r="R28" s="55"/>
      <c r="S28" s="366" t="s">
        <v>81</v>
      </c>
      <c r="T28" s="371" t="s">
        <v>786</v>
      </c>
      <c r="U28" s="372"/>
      <c r="V28" s="372"/>
      <c r="W28" s="372"/>
      <c r="X28" s="373">
        <v>2.5</v>
      </c>
      <c r="Y28" s="99" t="s">
        <v>1016</v>
      </c>
    </row>
    <row r="29">
      <c r="O29" s="4" t="s">
        <v>652</v>
      </c>
      <c r="P29" s="4" t="s">
        <v>335</v>
      </c>
      <c r="Q29" s="4" t="s">
        <v>338</v>
      </c>
      <c r="R29" s="4" t="s">
        <v>581</v>
      </c>
      <c r="S29" s="53"/>
      <c r="T29" s="374" t="s">
        <v>468</v>
      </c>
      <c r="U29" s="53"/>
      <c r="V29" s="53"/>
      <c r="W29" s="53"/>
      <c r="X29" s="375">
        <v>7.8</v>
      </c>
      <c r="Y29" s="99" t="s">
        <v>1017</v>
      </c>
    </row>
    <row r="30">
      <c r="M30" s="308"/>
      <c r="N30" s="4" t="s">
        <v>62</v>
      </c>
      <c r="O30" s="232">
        <v>100.3</v>
      </c>
      <c r="P30" s="232">
        <v>92.3</v>
      </c>
      <c r="Q30" s="8">
        <v>85.9</v>
      </c>
      <c r="R30" s="226">
        <f t="shared" ref="R30:R33" si="14">AVERAGE(O30:Q30)</f>
        <v>92.83333333</v>
      </c>
      <c r="S30" s="53"/>
      <c r="T30" s="352" t="s">
        <v>469</v>
      </c>
      <c r="U30" s="53"/>
      <c r="V30" s="53"/>
      <c r="W30" s="53"/>
      <c r="X30" s="376">
        <v>5.5</v>
      </c>
      <c r="Y30" s="99" t="s">
        <v>1018</v>
      </c>
    </row>
    <row r="31">
      <c r="M31" s="309"/>
      <c r="N31" s="4" t="s">
        <v>28</v>
      </c>
      <c r="O31" s="232">
        <v>79.1</v>
      </c>
      <c r="P31" s="232">
        <v>75.6</v>
      </c>
      <c r="Q31" s="209">
        <v>72.7</v>
      </c>
      <c r="R31" s="226">
        <f t="shared" si="14"/>
        <v>75.8</v>
      </c>
      <c r="S31" s="53"/>
      <c r="T31" s="374" t="s">
        <v>470</v>
      </c>
      <c r="U31" s="53"/>
      <c r="V31" s="53"/>
      <c r="W31" s="53"/>
      <c r="X31" s="376">
        <v>4.0</v>
      </c>
      <c r="Y31" s="99" t="s">
        <v>1019</v>
      </c>
    </row>
    <row r="32">
      <c r="M32" s="309"/>
      <c r="N32" s="4" t="s">
        <v>582</v>
      </c>
      <c r="O32" s="346">
        <v>66.4</v>
      </c>
      <c r="P32" s="232">
        <v>63.1</v>
      </c>
      <c r="Q32" s="232">
        <v>61.2</v>
      </c>
      <c r="R32" s="226">
        <f t="shared" si="14"/>
        <v>63.56666667</v>
      </c>
      <c r="S32" s="377"/>
      <c r="T32" s="358" t="s">
        <v>906</v>
      </c>
      <c r="U32" s="55"/>
      <c r="V32" s="55"/>
      <c r="W32" s="55"/>
      <c r="X32" s="376">
        <v>6.5</v>
      </c>
    </row>
    <row r="33">
      <c r="M33" s="309"/>
      <c r="N33" s="4" t="s">
        <v>583</v>
      </c>
      <c r="O33" s="117">
        <f t="shared" ref="O33:Q33" si="15">O31-O32</f>
        <v>12.7</v>
      </c>
      <c r="P33" s="112">
        <f t="shared" si="15"/>
        <v>12.5</v>
      </c>
      <c r="Q33" s="117">
        <f t="shared" si="15"/>
        <v>11.5</v>
      </c>
      <c r="R33" s="226">
        <f t="shared" si="14"/>
        <v>12.23333333</v>
      </c>
      <c r="S33" s="377"/>
      <c r="T33" s="358" t="s">
        <v>908</v>
      </c>
      <c r="U33" s="55"/>
      <c r="V33" s="55"/>
      <c r="W33" s="55"/>
      <c r="X33" s="376">
        <v>6.0</v>
      </c>
    </row>
    <row r="34">
      <c r="M34" s="309"/>
      <c r="N34" s="308">
        <v>1.035</v>
      </c>
      <c r="S34" s="377"/>
      <c r="T34" s="378" t="s">
        <v>910</v>
      </c>
      <c r="U34" s="55"/>
      <c r="V34" s="55"/>
      <c r="W34" s="55"/>
      <c r="X34" s="379">
        <f>AVERAGE(X29:X31)</f>
        <v>5.766666667</v>
      </c>
    </row>
    <row r="35">
      <c r="M35" s="308"/>
      <c r="N35" s="308">
        <v>80.0</v>
      </c>
      <c r="S35" s="53"/>
      <c r="T35" s="380" t="s">
        <v>912</v>
      </c>
      <c r="U35" s="381"/>
      <c r="V35" s="381"/>
      <c r="W35" s="382"/>
      <c r="X35" s="383">
        <f>AVERAGE(X29:X33)</f>
        <v>5.96</v>
      </c>
    </row>
    <row r="36">
      <c r="M36" s="308"/>
      <c r="N36" s="309">
        <v>67.6</v>
      </c>
      <c r="S36" s="384" t="s">
        <v>286</v>
      </c>
      <c r="T36" s="385"/>
      <c r="U36" s="61" t="s">
        <v>762</v>
      </c>
      <c r="V36" s="61" t="s">
        <v>763</v>
      </c>
      <c r="W36" s="61" t="s">
        <v>764</v>
      </c>
      <c r="X36" s="61" t="s">
        <v>765</v>
      </c>
    </row>
    <row r="37">
      <c r="S37" s="55"/>
      <c r="T37" s="386" t="s">
        <v>468</v>
      </c>
      <c r="U37" s="387">
        <v>21.0</v>
      </c>
      <c r="V37" s="388">
        <v>21.0</v>
      </c>
      <c r="W37" s="388">
        <v>18.0</v>
      </c>
      <c r="X37" s="389">
        <v>15.0</v>
      </c>
    </row>
    <row r="38">
      <c r="N38" s="31" t="s">
        <v>586</v>
      </c>
      <c r="S38" s="55"/>
      <c r="T38" s="386" t="s">
        <v>469</v>
      </c>
      <c r="U38" s="390">
        <v>21.0</v>
      </c>
      <c r="V38" s="391">
        <v>21.0</v>
      </c>
      <c r="W38" s="392">
        <v>16.0</v>
      </c>
      <c r="X38" s="393">
        <v>12.0</v>
      </c>
    </row>
    <row r="39">
      <c r="N39" s="3" t="s">
        <v>587</v>
      </c>
      <c r="Q39" s="3" t="s">
        <v>588</v>
      </c>
      <c r="S39" s="55"/>
      <c r="T39" s="386" t="s">
        <v>470</v>
      </c>
      <c r="U39" s="387">
        <v>21.0</v>
      </c>
      <c r="V39" s="276">
        <v>19.0</v>
      </c>
      <c r="W39" s="276">
        <v>16.0</v>
      </c>
      <c r="X39" s="276">
        <v>14.0</v>
      </c>
    </row>
    <row r="40">
      <c r="N40" s="3" t="s">
        <v>589</v>
      </c>
      <c r="Q40" s="3" t="s">
        <v>590</v>
      </c>
      <c r="S40" s="394"/>
      <c r="T40" s="395" t="s">
        <v>906</v>
      </c>
      <c r="U40" s="390">
        <v>21.0</v>
      </c>
      <c r="V40" s="396">
        <v>21.0</v>
      </c>
      <c r="W40" s="397">
        <v>19.0</v>
      </c>
      <c r="X40" s="398">
        <v>16.0</v>
      </c>
    </row>
    <row r="41">
      <c r="N41" s="3" t="s">
        <v>591</v>
      </c>
      <c r="Q41" s="3" t="s">
        <v>592</v>
      </c>
      <c r="S41" s="394"/>
      <c r="T41" s="395" t="s">
        <v>908</v>
      </c>
      <c r="U41" s="387">
        <v>21.0</v>
      </c>
      <c r="V41" s="388">
        <v>21.0</v>
      </c>
      <c r="W41" s="399">
        <v>18.0</v>
      </c>
      <c r="X41" s="389">
        <v>14.0</v>
      </c>
    </row>
    <row r="42">
      <c r="N42" s="3" t="s">
        <v>593</v>
      </c>
      <c r="Q42" s="3" t="s">
        <v>594</v>
      </c>
      <c r="S42" s="394"/>
      <c r="T42" s="400" t="s">
        <v>910</v>
      </c>
      <c r="U42" s="359">
        <f t="shared" ref="U42:X42" si="16">AVERAGE(U37:U39)</f>
        <v>21</v>
      </c>
      <c r="V42" s="359">
        <f t="shared" si="16"/>
        <v>20.33333333</v>
      </c>
      <c r="W42" s="359">
        <f t="shared" si="16"/>
        <v>16.66666667</v>
      </c>
      <c r="X42" s="360">
        <f t="shared" si="16"/>
        <v>13.66666667</v>
      </c>
    </row>
    <row r="43">
      <c r="N43" s="3" t="s">
        <v>595</v>
      </c>
      <c r="Q43" s="3" t="s">
        <v>596</v>
      </c>
      <c r="S43" s="55"/>
      <c r="T43" s="401" t="s">
        <v>912</v>
      </c>
      <c r="U43" s="362">
        <f t="shared" ref="U43:X43" si="17">AVERAGE(U37:U41)</f>
        <v>21</v>
      </c>
      <c r="V43" s="362">
        <f t="shared" si="17"/>
        <v>20.6</v>
      </c>
      <c r="W43" s="362">
        <f t="shared" si="17"/>
        <v>17.4</v>
      </c>
      <c r="X43" s="363">
        <f t="shared" si="17"/>
        <v>14.2</v>
      </c>
    </row>
    <row r="44">
      <c r="N44" s="3" t="s">
        <v>597</v>
      </c>
      <c r="Q44" s="3" t="s">
        <v>598</v>
      </c>
      <c r="S44" s="384" t="s">
        <v>78</v>
      </c>
      <c r="T44" s="402" t="s">
        <v>786</v>
      </c>
      <c r="U44" s="403"/>
      <c r="V44" s="403"/>
      <c r="W44" s="403"/>
      <c r="X44" s="404">
        <v>-0.3</v>
      </c>
    </row>
    <row r="45">
      <c r="N45" s="3" t="s">
        <v>599</v>
      </c>
      <c r="Q45" s="3" t="s">
        <v>600</v>
      </c>
      <c r="S45" s="55"/>
      <c r="T45" s="405" t="s">
        <v>468</v>
      </c>
      <c r="U45" s="55"/>
      <c r="V45" s="55"/>
      <c r="W45" s="55"/>
      <c r="X45" s="406">
        <v>2.5</v>
      </c>
    </row>
    <row r="46">
      <c r="S46" s="55"/>
      <c r="T46" s="405" t="s">
        <v>469</v>
      </c>
      <c r="U46" s="55"/>
      <c r="V46" s="55"/>
      <c r="W46" s="55"/>
      <c r="X46" s="375">
        <v>0.0</v>
      </c>
    </row>
    <row r="47">
      <c r="N47" s="3" t="s">
        <v>601</v>
      </c>
      <c r="Q47" s="3" t="s">
        <v>602</v>
      </c>
      <c r="S47" s="55"/>
      <c r="T47" s="405" t="s">
        <v>470</v>
      </c>
      <c r="U47" s="55"/>
      <c r="V47" s="55"/>
      <c r="W47" s="55"/>
      <c r="X47" s="376">
        <v>0.5</v>
      </c>
    </row>
    <row r="48">
      <c r="Q48" s="3" t="s">
        <v>603</v>
      </c>
      <c r="S48" s="394"/>
      <c r="T48" s="407" t="s">
        <v>906</v>
      </c>
      <c r="U48" s="55"/>
      <c r="V48" s="55"/>
      <c r="W48" s="55"/>
      <c r="X48" s="376">
        <v>0.8</v>
      </c>
    </row>
    <row r="49">
      <c r="N49" s="3" t="s">
        <v>604</v>
      </c>
      <c r="S49" s="394"/>
      <c r="T49" s="407" t="s">
        <v>908</v>
      </c>
      <c r="U49" s="55"/>
      <c r="V49" s="408"/>
      <c r="W49" s="408"/>
      <c r="X49" s="376">
        <v>0.5</v>
      </c>
    </row>
    <row r="50">
      <c r="R50" s="3" t="s">
        <v>605</v>
      </c>
      <c r="S50" s="394"/>
      <c r="T50" s="409" t="s">
        <v>910</v>
      </c>
      <c r="U50" s="55"/>
      <c r="V50" s="53"/>
      <c r="W50" s="55"/>
      <c r="X50" s="379">
        <f>AVERAGE(X45:X47)</f>
        <v>1</v>
      </c>
    </row>
    <row r="51">
      <c r="N51" s="3" t="s">
        <v>606</v>
      </c>
      <c r="R51" s="3" t="s">
        <v>607</v>
      </c>
      <c r="S51" s="55"/>
      <c r="T51" s="361" t="s">
        <v>912</v>
      </c>
      <c r="U51" s="382"/>
      <c r="V51" s="410"/>
      <c r="W51" s="410"/>
      <c r="X51" s="383">
        <f>AVERAGE(X45:X49)</f>
        <v>0.86</v>
      </c>
    </row>
    <row r="52">
      <c r="N52" s="65">
        <f>60%*47.5</f>
        <v>28.5</v>
      </c>
      <c r="O52" s="3" t="s">
        <v>608</v>
      </c>
      <c r="R52" s="65">
        <f>60%*55</f>
        <v>33</v>
      </c>
    </row>
    <row r="53">
      <c r="N53" s="65">
        <f>N52*72%</f>
        <v>20.52</v>
      </c>
      <c r="O53" s="3" t="s">
        <v>609</v>
      </c>
      <c r="R53" s="65">
        <f>R52*83%</f>
        <v>27.39</v>
      </c>
    </row>
    <row r="54">
      <c r="N54" s="65">
        <f>N52-N53</f>
        <v>7.98</v>
      </c>
      <c r="O54" s="3" t="s">
        <v>610</v>
      </c>
      <c r="R54" s="65">
        <f>R52-R53</f>
        <v>5.61</v>
      </c>
    </row>
    <row r="55">
      <c r="N55" s="3" t="s">
        <v>1020</v>
      </c>
      <c r="Q55" s="3" t="s">
        <v>1021</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1022</v>
      </c>
    </row>
    <row r="64">
      <c r="Q64" s="3" t="s">
        <v>623</v>
      </c>
    </row>
    <row r="65">
      <c r="Q65" s="3" t="s">
        <v>616</v>
      </c>
    </row>
    <row r="66">
      <c r="Q66" s="3" t="s">
        <v>618</v>
      </c>
    </row>
    <row r="68">
      <c r="P68" s="218" t="s">
        <v>619</v>
      </c>
      <c r="Q68" s="31" t="s">
        <v>624</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45798.0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343" t="s">
        <v>968</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224" t="s">
        <v>526</v>
      </c>
      <c r="W2" s="224" t="s">
        <v>526</v>
      </c>
      <c r="X2" s="224" t="s">
        <v>526</v>
      </c>
      <c r="Y2" s="3" t="s">
        <v>527</v>
      </c>
      <c r="AA2" s="3" t="s">
        <v>1023</v>
      </c>
      <c r="AF2" s="31" t="s">
        <v>970</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265">
        <v>81.0</v>
      </c>
      <c r="W3" s="265">
        <v>86.0</v>
      </c>
      <c r="X3" s="266">
        <v>88.0</v>
      </c>
      <c r="Y3" s="258">
        <f t="shared" ref="Y3:Y7" si="3">AVERAGE(U3:X3)</f>
        <v>86.95</v>
      </c>
      <c r="Z3" s="3" t="s">
        <v>1024</v>
      </c>
      <c r="AA3" s="3" t="s">
        <v>1025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64">
        <v>65.0</v>
      </c>
      <c r="W4" s="264">
        <v>63.0</v>
      </c>
      <c r="X4" s="264">
        <v>62.0</v>
      </c>
      <c r="Y4" s="258">
        <f t="shared" si="3"/>
        <v>66.45</v>
      </c>
      <c r="Z4" s="3" t="s">
        <v>1026</v>
      </c>
      <c r="AA4" s="3" t="s">
        <v>1027</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64">
        <f t="shared" ref="V5:X5" si="4">V4-V6</f>
        <v>53</v>
      </c>
      <c r="W5" s="264">
        <f t="shared" si="4"/>
        <v>52</v>
      </c>
      <c r="X5" s="264">
        <f t="shared" si="4"/>
        <v>52</v>
      </c>
      <c r="Y5" s="248">
        <f t="shared" si="3"/>
        <v>55.15</v>
      </c>
      <c r="AA5" s="3" t="s">
        <v>1028</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55">
        <v>10.0</v>
      </c>
      <c r="T6" s="248">
        <f t="shared" si="2"/>
        <v>13.65</v>
      </c>
      <c r="U6" s="347">
        <f>U4-U5</f>
        <v>12.2</v>
      </c>
      <c r="V6" s="264">
        <v>12.0</v>
      </c>
      <c r="W6" s="264">
        <v>11.0</v>
      </c>
      <c r="X6" s="264">
        <v>10.0</v>
      </c>
      <c r="Y6" s="258">
        <f t="shared" si="3"/>
        <v>11.3</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68">
        <v>9.4</v>
      </c>
      <c r="W7" s="268">
        <v>8.2</v>
      </c>
      <c r="X7" s="267">
        <v>5.6</v>
      </c>
      <c r="Y7" s="258">
        <f t="shared" si="3"/>
        <v>8.375</v>
      </c>
      <c r="AA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0">
        <v>21.0</v>
      </c>
      <c r="W8" s="270">
        <v>17.0</v>
      </c>
      <c r="X8" s="269">
        <v>14.0</v>
      </c>
      <c r="Y8" s="258">
        <v>19.1</v>
      </c>
    </row>
    <row r="9" hidden="1">
      <c r="A9" s="252" t="s">
        <v>766</v>
      </c>
      <c r="E9" s="114"/>
      <c r="F9" s="115"/>
      <c r="G9" s="115"/>
      <c r="H9" s="115"/>
      <c r="I9" s="112"/>
      <c r="J9" s="112"/>
      <c r="T9" s="103"/>
      <c r="U9" s="54"/>
      <c r="V9" s="287" t="s">
        <v>767</v>
      </c>
      <c r="W9" s="54"/>
      <c r="X9" s="54"/>
      <c r="Y9" s="103"/>
    </row>
    <row r="10">
      <c r="E10" s="114"/>
      <c r="F10" s="115"/>
      <c r="G10" s="115"/>
      <c r="H10" s="115"/>
      <c r="I10" s="112"/>
      <c r="J10" s="112"/>
      <c r="U10" s="348" t="s">
        <v>762</v>
      </c>
      <c r="V10" s="348" t="s">
        <v>763</v>
      </c>
      <c r="W10" s="348" t="s">
        <v>764</v>
      </c>
      <c r="X10" s="349" t="s">
        <v>765</v>
      </c>
    </row>
    <row r="11">
      <c r="E11" s="114"/>
      <c r="F11" s="115"/>
      <c r="G11" s="115"/>
      <c r="H11" s="115"/>
      <c r="I11" s="112" t="s">
        <v>406</v>
      </c>
      <c r="J11" s="112" t="s">
        <v>406</v>
      </c>
      <c r="Q11" s="4" t="s">
        <v>949</v>
      </c>
      <c r="S11" s="350" t="s">
        <v>1006</v>
      </c>
      <c r="T11" s="351" t="s">
        <v>54</v>
      </c>
      <c r="U11" s="348"/>
      <c r="V11" s="348">
        <v>66.0</v>
      </c>
      <c r="W11" s="411">
        <v>65.5</v>
      </c>
      <c r="X11" s="412">
        <v>64.5</v>
      </c>
      <c r="Y11" s="3" t="s">
        <v>1029</v>
      </c>
    </row>
    <row r="12">
      <c r="E12" s="114" t="s">
        <v>241</v>
      </c>
      <c r="F12" s="115" t="s">
        <v>242</v>
      </c>
      <c r="G12" s="115" t="s">
        <v>242</v>
      </c>
      <c r="H12" s="115" t="s">
        <v>194</v>
      </c>
      <c r="I12" s="115" t="s">
        <v>148</v>
      </c>
      <c r="P12" s="218" t="s">
        <v>1030</v>
      </c>
      <c r="Q12" s="242">
        <v>72.0</v>
      </c>
      <c r="T12" s="352" t="s">
        <v>468</v>
      </c>
      <c r="U12" s="353">
        <v>76.0</v>
      </c>
      <c r="V12" s="354">
        <v>65.0</v>
      </c>
      <c r="W12" s="354">
        <v>63.0</v>
      </c>
      <c r="X12" s="355">
        <v>62.0</v>
      </c>
    </row>
    <row r="13">
      <c r="C13" s="4">
        <v>5.7</v>
      </c>
      <c r="D13" s="4">
        <v>6.5</v>
      </c>
      <c r="E13" s="62">
        <v>7.4</v>
      </c>
      <c r="F13" s="54">
        <v>8.1</v>
      </c>
      <c r="G13" s="54"/>
      <c r="H13" s="62"/>
      <c r="I13" s="62"/>
      <c r="J13" s="62"/>
      <c r="P13" s="218" t="s">
        <v>469</v>
      </c>
      <c r="Q13" s="242">
        <v>70.0</v>
      </c>
      <c r="T13" s="352" t="s">
        <v>469</v>
      </c>
      <c r="U13" s="353">
        <v>76.0</v>
      </c>
      <c r="V13" s="354">
        <v>65.0</v>
      </c>
      <c r="W13" s="354">
        <v>62.0</v>
      </c>
      <c r="X13" s="356">
        <v>60.0</v>
      </c>
      <c r="AA13" s="3" t="s">
        <v>1009</v>
      </c>
    </row>
    <row r="14">
      <c r="D14" s="111"/>
      <c r="E14" s="117"/>
      <c r="F14" s="112"/>
      <c r="G14" s="112"/>
      <c r="H14" s="112"/>
      <c r="I14" s="117"/>
      <c r="J14" s="112"/>
      <c r="P14" s="218" t="s">
        <v>470</v>
      </c>
      <c r="Q14" s="242">
        <v>70.0</v>
      </c>
      <c r="T14" s="352" t="s">
        <v>470</v>
      </c>
      <c r="U14" s="353">
        <v>76.0</v>
      </c>
      <c r="V14" s="354">
        <v>65.0</v>
      </c>
      <c r="W14" s="354">
        <v>65.0</v>
      </c>
      <c r="X14" s="355">
        <v>65.0</v>
      </c>
      <c r="Z14" s="345">
        <v>45814.0</v>
      </c>
      <c r="AA14" s="345">
        <v>45863.0</v>
      </c>
      <c r="AB14" s="4" t="s">
        <v>983</v>
      </c>
      <c r="AC14" s="345">
        <v>45954.0</v>
      </c>
      <c r="AD14" s="345">
        <v>46010.0</v>
      </c>
    </row>
    <row r="15">
      <c r="D15" s="111"/>
      <c r="E15" s="117"/>
      <c r="F15" s="112"/>
      <c r="G15" s="112"/>
      <c r="H15" s="112"/>
      <c r="I15" s="117"/>
      <c r="J15" s="112"/>
      <c r="Q15" s="54"/>
      <c r="R15" s="54"/>
      <c r="T15" s="357" t="s">
        <v>906</v>
      </c>
      <c r="U15" s="353">
        <v>76.0</v>
      </c>
      <c r="V15" s="354">
        <v>65.0</v>
      </c>
      <c r="W15" s="354">
        <v>62.0</v>
      </c>
      <c r="X15" s="356">
        <v>62.0</v>
      </c>
      <c r="Z15" s="4">
        <v>21.0</v>
      </c>
      <c r="AA15" s="4">
        <v>19.0</v>
      </c>
      <c r="AB15" s="4">
        <v>17.0</v>
      </c>
      <c r="AC15" s="4">
        <v>15.0</v>
      </c>
      <c r="AD15" s="4">
        <v>14.0</v>
      </c>
    </row>
    <row r="16">
      <c r="D16" s="111" t="s">
        <v>241</v>
      </c>
      <c r="E16" s="117">
        <v>7.0</v>
      </c>
      <c r="F16" s="112">
        <v>7.3</v>
      </c>
      <c r="G16" s="112"/>
      <c r="H16" s="112"/>
      <c r="I16" s="117"/>
      <c r="J16" s="112"/>
      <c r="Q16" s="54"/>
      <c r="R16" s="54"/>
      <c r="T16" s="358" t="s">
        <v>908</v>
      </c>
      <c r="U16" s="353">
        <v>76.0</v>
      </c>
      <c r="V16" s="354"/>
      <c r="W16" s="354"/>
      <c r="X16" s="356"/>
    </row>
    <row r="17">
      <c r="C17" s="10"/>
      <c r="D17" s="10"/>
      <c r="E17" s="10"/>
      <c r="F17" s="10"/>
      <c r="G17" s="10"/>
      <c r="H17" s="10"/>
      <c r="I17" s="10"/>
      <c r="J17" s="10"/>
      <c r="Q17" s="54"/>
      <c r="R17" s="54"/>
      <c r="T17" s="358" t="s">
        <v>910</v>
      </c>
      <c r="U17" s="359">
        <f t="shared" ref="U17:X17" si="7">AVERAGE(U12:U14)</f>
        <v>76</v>
      </c>
      <c r="V17" s="359">
        <f t="shared" si="7"/>
        <v>65</v>
      </c>
      <c r="W17" s="359">
        <f t="shared" si="7"/>
        <v>63.33333333</v>
      </c>
      <c r="X17" s="360">
        <f t="shared" si="7"/>
        <v>62.33333333</v>
      </c>
    </row>
    <row r="18">
      <c r="E18" s="118"/>
      <c r="F18" s="118"/>
      <c r="G18" s="118"/>
      <c r="H18" s="118"/>
      <c r="I18" s="118"/>
      <c r="J18" s="118"/>
      <c r="O18" s="3" t="s">
        <v>1031</v>
      </c>
      <c r="Q18" s="4"/>
      <c r="R18" s="55"/>
      <c r="T18" s="361" t="s">
        <v>912</v>
      </c>
      <c r="U18" s="362">
        <f t="shared" ref="U18:X18" si="8">AVERAGE(U12:U16)</f>
        <v>76</v>
      </c>
      <c r="V18" s="362">
        <f t="shared" si="8"/>
        <v>65</v>
      </c>
      <c r="W18" s="362">
        <f t="shared" si="8"/>
        <v>63</v>
      </c>
      <c r="X18" s="363">
        <f t="shared" si="8"/>
        <v>62.25</v>
      </c>
      <c r="AA18" s="4"/>
    </row>
    <row r="19">
      <c r="E19" s="118"/>
      <c r="F19" s="118"/>
      <c r="G19" s="118"/>
      <c r="H19" s="118"/>
      <c r="I19" s="118"/>
      <c r="J19" s="118"/>
      <c r="O19" s="4" t="s">
        <v>340</v>
      </c>
      <c r="P19" s="4" t="s">
        <v>171</v>
      </c>
      <c r="Q19" s="4" t="s">
        <v>343</v>
      </c>
      <c r="R19" s="4" t="s">
        <v>581</v>
      </c>
      <c r="S19" s="364"/>
      <c r="T19" s="364"/>
      <c r="U19" s="365">
        <v>45747.0</v>
      </c>
      <c r="V19" s="365">
        <f t="shared" ref="V19:X19" si="9">EOMONTH(U19,3)</f>
        <v>45838</v>
      </c>
      <c r="W19" s="365">
        <f t="shared" si="9"/>
        <v>45930</v>
      </c>
      <c r="X19" s="365">
        <f t="shared" si="9"/>
        <v>46022</v>
      </c>
      <c r="Y19" s="3" t="s">
        <v>1032</v>
      </c>
    </row>
    <row r="20">
      <c r="E20" s="118"/>
      <c r="F20" s="118"/>
      <c r="G20" s="118"/>
      <c r="H20" s="118"/>
      <c r="I20" s="118"/>
      <c r="J20" s="118"/>
      <c r="M20" s="308"/>
      <c r="N20" s="4" t="s">
        <v>62</v>
      </c>
      <c r="O20" s="236">
        <v>83.5</v>
      </c>
      <c r="P20" s="236">
        <v>80.6</v>
      </c>
      <c r="Q20" s="24"/>
      <c r="R20" s="226">
        <f t="shared" ref="R20:R23" si="10">AVERAGE(O20:Q20)</f>
        <v>82.05</v>
      </c>
      <c r="S20" s="366" t="s">
        <v>1011</v>
      </c>
      <c r="T20" s="367" t="s">
        <v>786</v>
      </c>
      <c r="U20" s="368"/>
      <c r="V20" s="348">
        <v>83.0</v>
      </c>
      <c r="W20" s="348">
        <v>88.0</v>
      </c>
      <c r="X20" s="349">
        <v>87.0</v>
      </c>
      <c r="Y20" s="3" t="s">
        <v>1033</v>
      </c>
    </row>
    <row r="21">
      <c r="E21" s="118"/>
      <c r="F21" s="118"/>
      <c r="G21" s="118"/>
      <c r="H21" s="118"/>
      <c r="I21" s="118"/>
      <c r="J21" s="118"/>
      <c r="M21" s="309"/>
      <c r="N21" s="4" t="s">
        <v>28</v>
      </c>
      <c r="O21" s="236">
        <v>68.2</v>
      </c>
      <c r="P21" s="236">
        <v>63.6</v>
      </c>
      <c r="Q21" s="116"/>
      <c r="R21" s="226">
        <f t="shared" si="10"/>
        <v>65.9</v>
      </c>
      <c r="S21" s="53"/>
      <c r="T21" s="352" t="s">
        <v>468</v>
      </c>
      <c r="U21" s="353">
        <v>93.0</v>
      </c>
      <c r="V21" s="354">
        <v>81.0</v>
      </c>
      <c r="W21" s="354">
        <v>84.0</v>
      </c>
      <c r="X21" s="355">
        <v>87.0</v>
      </c>
      <c r="Y21" s="3" t="s">
        <v>1034</v>
      </c>
    </row>
    <row r="22">
      <c r="E22" s="118"/>
      <c r="F22" s="118"/>
      <c r="G22" s="118"/>
      <c r="H22" s="118"/>
      <c r="I22" s="118"/>
      <c r="J22" s="118"/>
      <c r="M22" s="309"/>
      <c r="N22" s="4" t="s">
        <v>582</v>
      </c>
      <c r="O22" s="311">
        <v>56.9</v>
      </c>
      <c r="P22" s="236">
        <v>52.0</v>
      </c>
      <c r="Q22" s="236"/>
      <c r="R22" s="226">
        <f t="shared" si="10"/>
        <v>54.45</v>
      </c>
      <c r="S22" s="369"/>
      <c r="T22" s="352" t="s">
        <v>469</v>
      </c>
      <c r="U22" s="353">
        <v>93.0</v>
      </c>
      <c r="V22" s="354">
        <v>81.0</v>
      </c>
      <c r="W22" s="354">
        <v>86.0</v>
      </c>
      <c r="X22" s="356">
        <v>90.0</v>
      </c>
      <c r="Y22" s="3" t="s">
        <v>1035</v>
      </c>
    </row>
    <row r="23">
      <c r="E23" s="118"/>
      <c r="F23" s="118"/>
      <c r="G23" s="118"/>
      <c r="H23" s="118"/>
      <c r="I23" s="118"/>
      <c r="J23" s="118"/>
      <c r="M23" s="309"/>
      <c r="N23" s="4" t="s">
        <v>583</v>
      </c>
      <c r="O23" s="117">
        <f t="shared" ref="O23:Q23" si="11">O21-O22</f>
        <v>11.3</v>
      </c>
      <c r="P23" s="112">
        <f t="shared" si="11"/>
        <v>11.6</v>
      </c>
      <c r="Q23" s="117">
        <f t="shared" si="11"/>
        <v>0</v>
      </c>
      <c r="R23" s="226">
        <f t="shared" si="10"/>
        <v>7.633333333</v>
      </c>
      <c r="S23" s="369"/>
      <c r="T23" s="352" t="s">
        <v>470</v>
      </c>
      <c r="U23" s="353">
        <v>93.0</v>
      </c>
      <c r="V23" s="354">
        <v>82.0</v>
      </c>
      <c r="W23" s="354">
        <v>88.0</v>
      </c>
      <c r="X23" s="356">
        <v>87.0</v>
      </c>
      <c r="Y23" s="3" t="s">
        <v>1036</v>
      </c>
    </row>
    <row r="24">
      <c r="E24" s="118"/>
      <c r="F24" s="118"/>
      <c r="G24" s="118"/>
      <c r="H24" s="118"/>
      <c r="I24" s="118"/>
      <c r="J24" s="118"/>
      <c r="M24" s="309"/>
      <c r="N24" s="308">
        <v>1.035</v>
      </c>
      <c r="S24" s="364"/>
      <c r="T24" s="357" t="s">
        <v>906</v>
      </c>
      <c r="U24" s="353">
        <v>93.0</v>
      </c>
      <c r="V24" s="354">
        <v>81.0</v>
      </c>
      <c r="W24" s="354">
        <v>87.0</v>
      </c>
      <c r="X24" s="356">
        <v>88.0</v>
      </c>
      <c r="Y24" s="3" t="s">
        <v>1037</v>
      </c>
    </row>
    <row r="25">
      <c r="E25" s="118"/>
      <c r="F25" s="118"/>
      <c r="G25" s="118"/>
      <c r="H25" s="118"/>
      <c r="I25" s="118"/>
      <c r="J25" s="118"/>
      <c r="M25" s="308"/>
      <c r="N25" s="308">
        <v>80.0</v>
      </c>
      <c r="S25" s="370"/>
      <c r="T25" s="358" t="s">
        <v>908</v>
      </c>
      <c r="U25" s="353">
        <v>93.0</v>
      </c>
      <c r="V25" s="354"/>
      <c r="W25" s="354"/>
      <c r="X25" s="356"/>
      <c r="Y25" s="3" t="s">
        <v>1038</v>
      </c>
    </row>
    <row r="26">
      <c r="A26" s="3"/>
      <c r="B26" s="12"/>
      <c r="C26" s="12"/>
      <c r="D26" s="13"/>
      <c r="E26" s="13"/>
      <c r="F26" s="13"/>
      <c r="G26" s="13"/>
      <c r="H26" s="13"/>
      <c r="I26" s="13"/>
      <c r="J26" s="13"/>
      <c r="M26" s="308"/>
      <c r="N26" s="309">
        <v>67.6</v>
      </c>
      <c r="S26" s="370"/>
      <c r="T26" s="358" t="s">
        <v>910</v>
      </c>
      <c r="U26" s="359">
        <f t="shared" ref="U26:X26" si="12">AVERAGE(U21:U23)</f>
        <v>93</v>
      </c>
      <c r="V26" s="359">
        <f t="shared" si="12"/>
        <v>81.33333333</v>
      </c>
      <c r="W26" s="359">
        <f t="shared" si="12"/>
        <v>86</v>
      </c>
      <c r="X26" s="360">
        <f t="shared" si="12"/>
        <v>88</v>
      </c>
      <c r="Y26" s="3" t="s">
        <v>1039</v>
      </c>
    </row>
    <row r="27">
      <c r="S27" s="55"/>
      <c r="T27" s="361" t="s">
        <v>912</v>
      </c>
      <c r="U27" s="362">
        <f t="shared" ref="U27:X27" si="13">AVERAGE(U21:U25)</f>
        <v>93</v>
      </c>
      <c r="V27" s="362">
        <f t="shared" si="13"/>
        <v>81.25</v>
      </c>
      <c r="W27" s="362">
        <f t="shared" si="13"/>
        <v>86.25</v>
      </c>
      <c r="X27" s="363">
        <f t="shared" si="13"/>
        <v>88</v>
      </c>
    </row>
    <row r="28">
      <c r="Q28" s="4"/>
      <c r="R28" s="55"/>
      <c r="S28" s="366" t="s">
        <v>81</v>
      </c>
      <c r="T28" s="371" t="s">
        <v>786</v>
      </c>
      <c r="U28" s="372"/>
      <c r="V28" s="372"/>
      <c r="W28" s="372"/>
      <c r="X28" s="373">
        <v>3.9</v>
      </c>
      <c r="Y28" s="99" t="s">
        <v>1040</v>
      </c>
    </row>
    <row r="29">
      <c r="O29" s="4" t="s">
        <v>652</v>
      </c>
      <c r="P29" s="4" t="s">
        <v>335</v>
      </c>
      <c r="Q29" s="4" t="s">
        <v>338</v>
      </c>
      <c r="R29" s="4" t="s">
        <v>581</v>
      </c>
      <c r="S29" s="53"/>
      <c r="T29" s="374" t="s">
        <v>468</v>
      </c>
      <c r="U29" s="53"/>
      <c r="V29" s="53"/>
      <c r="W29" s="53"/>
      <c r="X29" s="376">
        <v>7.2</v>
      </c>
      <c r="Y29" s="99" t="s">
        <v>1017</v>
      </c>
    </row>
    <row r="30">
      <c r="M30" s="308"/>
      <c r="N30" s="4" t="s">
        <v>62</v>
      </c>
      <c r="O30" s="232">
        <v>100.3</v>
      </c>
      <c r="P30" s="232">
        <v>92.3</v>
      </c>
      <c r="Q30" s="8">
        <v>85.9</v>
      </c>
      <c r="R30" s="226">
        <f t="shared" ref="R30:R33" si="14">AVERAGE(O30:Q30)</f>
        <v>92.83333333</v>
      </c>
      <c r="S30" s="53"/>
      <c r="T30" s="352" t="s">
        <v>469</v>
      </c>
      <c r="U30" s="53"/>
      <c r="V30" s="53"/>
      <c r="W30" s="53"/>
      <c r="X30" s="376">
        <v>5.5</v>
      </c>
      <c r="Y30" s="99" t="s">
        <v>1041</v>
      </c>
    </row>
    <row r="31">
      <c r="M31" s="309"/>
      <c r="N31" s="4" t="s">
        <v>28</v>
      </c>
      <c r="O31" s="232">
        <v>79.1</v>
      </c>
      <c r="P31" s="232">
        <v>75.6</v>
      </c>
      <c r="Q31" s="209">
        <v>72.7</v>
      </c>
      <c r="R31" s="226">
        <f t="shared" si="14"/>
        <v>75.8</v>
      </c>
      <c r="S31" s="53"/>
      <c r="T31" s="374" t="s">
        <v>470</v>
      </c>
      <c r="U31" s="53"/>
      <c r="V31" s="53"/>
      <c r="W31" s="53"/>
      <c r="X31" s="376">
        <v>4.0</v>
      </c>
      <c r="Y31" s="99" t="s">
        <v>1042</v>
      </c>
    </row>
    <row r="32">
      <c r="M32" s="309"/>
      <c r="N32" s="4" t="s">
        <v>582</v>
      </c>
      <c r="O32" s="346">
        <v>66.4</v>
      </c>
      <c r="P32" s="232">
        <v>63.1</v>
      </c>
      <c r="Q32" s="232">
        <v>61.2</v>
      </c>
      <c r="R32" s="226">
        <f t="shared" si="14"/>
        <v>63.56666667</v>
      </c>
      <c r="S32" s="377"/>
      <c r="T32" s="358" t="s">
        <v>906</v>
      </c>
      <c r="U32" s="55"/>
      <c r="V32" s="55"/>
      <c r="W32" s="55"/>
      <c r="X32" s="376">
        <v>6.3</v>
      </c>
    </row>
    <row r="33">
      <c r="M33" s="309"/>
      <c r="N33" s="4" t="s">
        <v>583</v>
      </c>
      <c r="O33" s="117">
        <f t="shared" ref="O33:Q33" si="15">O31-O32</f>
        <v>12.7</v>
      </c>
      <c r="P33" s="112">
        <f t="shared" si="15"/>
        <v>12.5</v>
      </c>
      <c r="Q33" s="117">
        <f t="shared" si="15"/>
        <v>11.5</v>
      </c>
      <c r="R33" s="226">
        <f t="shared" si="14"/>
        <v>12.23333333</v>
      </c>
      <c r="S33" s="377"/>
      <c r="T33" s="358" t="s">
        <v>908</v>
      </c>
      <c r="U33" s="55"/>
      <c r="V33" s="55"/>
      <c r="W33" s="55"/>
      <c r="X33" s="376"/>
    </row>
    <row r="34">
      <c r="M34" s="309"/>
      <c r="N34" s="308">
        <v>1.035</v>
      </c>
      <c r="S34" s="377"/>
      <c r="T34" s="378" t="s">
        <v>910</v>
      </c>
      <c r="U34" s="55"/>
      <c r="V34" s="55"/>
      <c r="W34" s="55"/>
      <c r="X34" s="379">
        <f>AVERAGE(X29:X31)</f>
        <v>5.566666667</v>
      </c>
    </row>
    <row r="35">
      <c r="M35" s="308"/>
      <c r="N35" s="308">
        <v>80.0</v>
      </c>
      <c r="S35" s="53"/>
      <c r="T35" s="380" t="s">
        <v>912</v>
      </c>
      <c r="U35" s="381"/>
      <c r="V35" s="381"/>
      <c r="W35" s="382"/>
      <c r="X35" s="383">
        <f>AVERAGE(X29:X33)</f>
        <v>5.75</v>
      </c>
    </row>
    <row r="36">
      <c r="M36" s="308"/>
      <c r="N36" s="309">
        <v>67.6</v>
      </c>
      <c r="S36" s="384" t="s">
        <v>286</v>
      </c>
      <c r="T36" s="385"/>
      <c r="U36" s="61" t="s">
        <v>762</v>
      </c>
      <c r="V36" s="61" t="s">
        <v>763</v>
      </c>
      <c r="W36" s="61" t="s">
        <v>764</v>
      </c>
      <c r="X36" s="61" t="s">
        <v>765</v>
      </c>
    </row>
    <row r="37">
      <c r="S37" s="55"/>
      <c r="T37" s="386" t="s">
        <v>468</v>
      </c>
      <c r="U37" s="387">
        <v>21.0</v>
      </c>
      <c r="V37" s="388">
        <v>21.0</v>
      </c>
      <c r="W37" s="388">
        <v>18.0</v>
      </c>
      <c r="X37" s="389">
        <v>15.0</v>
      </c>
    </row>
    <row r="38">
      <c r="N38" s="31" t="s">
        <v>586</v>
      </c>
      <c r="S38" s="55"/>
      <c r="T38" s="386" t="s">
        <v>469</v>
      </c>
      <c r="U38" s="390">
        <v>21.0</v>
      </c>
      <c r="V38" s="391">
        <v>21.0</v>
      </c>
      <c r="W38" s="392">
        <v>16.0</v>
      </c>
      <c r="X38" s="393">
        <v>12.0</v>
      </c>
    </row>
    <row r="39">
      <c r="N39" s="3" t="s">
        <v>587</v>
      </c>
      <c r="Q39" s="3" t="s">
        <v>588</v>
      </c>
      <c r="S39" s="55"/>
      <c r="T39" s="386" t="s">
        <v>470</v>
      </c>
      <c r="U39" s="387">
        <v>21.0</v>
      </c>
      <c r="V39" s="276">
        <v>21.0</v>
      </c>
      <c r="W39" s="276">
        <v>16.0</v>
      </c>
      <c r="X39" s="276">
        <v>14.0</v>
      </c>
      <c r="Y39" s="3" t="s">
        <v>1043</v>
      </c>
    </row>
    <row r="40">
      <c r="N40" s="3" t="s">
        <v>589</v>
      </c>
      <c r="Q40" s="3" t="s">
        <v>590</v>
      </c>
      <c r="S40" s="394"/>
      <c r="T40" s="395" t="s">
        <v>906</v>
      </c>
      <c r="U40" s="390">
        <v>21.0</v>
      </c>
      <c r="V40" s="396">
        <v>21.0</v>
      </c>
      <c r="W40" s="397">
        <v>19.0</v>
      </c>
      <c r="X40" s="398">
        <v>16.0</v>
      </c>
    </row>
    <row r="41">
      <c r="N41" s="3" t="s">
        <v>591</v>
      </c>
      <c r="Q41" s="3" t="s">
        <v>592</v>
      </c>
      <c r="S41" s="394"/>
      <c r="T41" s="395" t="s">
        <v>908</v>
      </c>
      <c r="U41" s="387"/>
      <c r="V41" s="388"/>
      <c r="W41" s="399"/>
      <c r="X41" s="389"/>
    </row>
    <row r="42">
      <c r="N42" s="3" t="s">
        <v>593</v>
      </c>
      <c r="Q42" s="3" t="s">
        <v>594</v>
      </c>
      <c r="S42" s="394"/>
      <c r="T42" s="400" t="s">
        <v>910</v>
      </c>
      <c r="U42" s="359">
        <f t="shared" ref="U42:X42" si="16">AVERAGE(U37:U39)</f>
        <v>21</v>
      </c>
      <c r="V42" s="359">
        <f t="shared" si="16"/>
        <v>21</v>
      </c>
      <c r="W42" s="359">
        <f t="shared" si="16"/>
        <v>16.66666667</v>
      </c>
      <c r="X42" s="360">
        <f t="shared" si="16"/>
        <v>13.66666667</v>
      </c>
    </row>
    <row r="43">
      <c r="N43" s="3" t="s">
        <v>595</v>
      </c>
      <c r="Q43" s="3" t="s">
        <v>596</v>
      </c>
      <c r="S43" s="55"/>
      <c r="T43" s="401" t="s">
        <v>912</v>
      </c>
      <c r="U43" s="362">
        <f t="shared" ref="U43:X43" si="17">AVERAGE(U37:U41)</f>
        <v>21</v>
      </c>
      <c r="V43" s="362">
        <f t="shared" si="17"/>
        <v>21</v>
      </c>
      <c r="W43" s="362">
        <f t="shared" si="17"/>
        <v>17.25</v>
      </c>
      <c r="X43" s="363">
        <f t="shared" si="17"/>
        <v>14.25</v>
      </c>
    </row>
    <row r="44">
      <c r="N44" s="3" t="s">
        <v>597</v>
      </c>
      <c r="Q44" s="3" t="s">
        <v>598</v>
      </c>
      <c r="S44" s="384" t="s">
        <v>78</v>
      </c>
      <c r="T44" s="402" t="s">
        <v>786</v>
      </c>
      <c r="U44" s="403"/>
      <c r="V44" s="403"/>
      <c r="W44" s="403"/>
      <c r="X44" s="404">
        <v>-0.3</v>
      </c>
    </row>
    <row r="45">
      <c r="N45" s="3" t="s">
        <v>599</v>
      </c>
      <c r="Q45" s="3" t="s">
        <v>600</v>
      </c>
      <c r="S45" s="55"/>
      <c r="T45" s="405" t="s">
        <v>468</v>
      </c>
      <c r="U45" s="55"/>
      <c r="V45" s="55"/>
      <c r="W45" s="55"/>
      <c r="X45" s="376">
        <v>2.0</v>
      </c>
    </row>
    <row r="46">
      <c r="S46" s="55"/>
      <c r="T46" s="405" t="s">
        <v>469</v>
      </c>
      <c r="U46" s="55"/>
      <c r="V46" s="55"/>
      <c r="W46" s="55"/>
      <c r="X46" s="375">
        <v>0.0</v>
      </c>
    </row>
    <row r="47">
      <c r="N47" s="3" t="s">
        <v>601</v>
      </c>
      <c r="Q47" s="3" t="s">
        <v>602</v>
      </c>
      <c r="S47" s="55"/>
      <c r="T47" s="405" t="s">
        <v>470</v>
      </c>
      <c r="U47" s="55"/>
      <c r="V47" s="55"/>
      <c r="W47" s="55"/>
      <c r="X47" s="376">
        <v>0.5</v>
      </c>
    </row>
    <row r="48">
      <c r="Q48" s="3" t="s">
        <v>603</v>
      </c>
      <c r="S48" s="394"/>
      <c r="T48" s="407" t="s">
        <v>906</v>
      </c>
      <c r="U48" s="55"/>
      <c r="V48" s="55"/>
      <c r="W48" s="55"/>
      <c r="X48" s="376">
        <v>0.8</v>
      </c>
    </row>
    <row r="49">
      <c r="N49" s="3" t="s">
        <v>604</v>
      </c>
      <c r="S49" s="394"/>
      <c r="T49" s="407" t="s">
        <v>908</v>
      </c>
      <c r="U49" s="55"/>
      <c r="V49" s="408"/>
      <c r="W49" s="408"/>
      <c r="X49" s="376"/>
    </row>
    <row r="50">
      <c r="R50" s="3" t="s">
        <v>605</v>
      </c>
      <c r="S50" s="394"/>
      <c r="T50" s="409" t="s">
        <v>910</v>
      </c>
      <c r="U50" s="55"/>
      <c r="V50" s="53"/>
      <c r="W50" s="55"/>
      <c r="X50" s="379">
        <f>AVERAGE(X45:X47)</f>
        <v>0.8333333333</v>
      </c>
    </row>
    <row r="51">
      <c r="N51" s="3" t="s">
        <v>606</v>
      </c>
      <c r="R51" s="3" t="s">
        <v>607</v>
      </c>
      <c r="S51" s="55"/>
      <c r="T51" s="361" t="s">
        <v>912</v>
      </c>
      <c r="U51" s="382"/>
      <c r="V51" s="410"/>
      <c r="W51" s="410"/>
      <c r="X51" s="383">
        <f>AVERAGE(X45:X49)</f>
        <v>0.825</v>
      </c>
    </row>
    <row r="52">
      <c r="N52" s="65">
        <f>60%*47.5</f>
        <v>28.5</v>
      </c>
      <c r="O52" s="3" t="s">
        <v>608</v>
      </c>
      <c r="R52" s="65">
        <f>60%*55</f>
        <v>33</v>
      </c>
    </row>
    <row r="53">
      <c r="N53" s="65">
        <f>N52*72%</f>
        <v>20.52</v>
      </c>
      <c r="O53" s="3" t="s">
        <v>609</v>
      </c>
      <c r="R53" s="65">
        <f>R52*83%</f>
        <v>27.39</v>
      </c>
    </row>
    <row r="54">
      <c r="N54" s="65">
        <f>N52-N53</f>
        <v>7.98</v>
      </c>
      <c r="O54" s="3" t="s">
        <v>610</v>
      </c>
      <c r="R54" s="65">
        <f>R52-R53</f>
        <v>5.61</v>
      </c>
    </row>
    <row r="55">
      <c r="N55" s="3" t="s">
        <v>1044</v>
      </c>
      <c r="Q55" s="3" t="s">
        <v>1045</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1046</v>
      </c>
    </row>
    <row r="64">
      <c r="Q64" s="3" t="s">
        <v>623</v>
      </c>
    </row>
    <row r="65">
      <c r="Q65" s="3" t="s">
        <v>616</v>
      </c>
    </row>
    <row r="66">
      <c r="Q66" s="3" t="s">
        <v>618</v>
      </c>
    </row>
    <row r="68">
      <c r="P68" s="218" t="s">
        <v>619</v>
      </c>
      <c r="Q68" s="31" t="s">
        <v>624</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5"/>
    <col hidden="1" min="2" max="7" width="12.63"/>
    <col customWidth="1" hidden="1" min="8" max="9" width="12.5"/>
    <col customWidth="1" hidden="1" min="10" max="10" width="11.75"/>
    <col customWidth="1" min="11" max="15" width="14.5"/>
  </cols>
  <sheetData>
    <row r="1">
      <c r="A1" s="2" t="s">
        <v>1047</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1048</v>
      </c>
      <c r="V1" s="61" t="s">
        <v>1049</v>
      </c>
      <c r="W1" s="413" t="s">
        <v>1050</v>
      </c>
      <c r="X1" s="413" t="s">
        <v>1051</v>
      </c>
      <c r="Y1" s="61">
        <v>2025.0</v>
      </c>
      <c r="Z1" s="343" t="s">
        <v>1052</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224" t="s">
        <v>526</v>
      </c>
      <c r="V2" s="224" t="s">
        <v>526</v>
      </c>
      <c r="W2" s="224" t="s">
        <v>526</v>
      </c>
      <c r="X2" s="224" t="s">
        <v>526</v>
      </c>
      <c r="Y2" s="3" t="s">
        <v>527</v>
      </c>
      <c r="AA2" s="3" t="s">
        <v>969</v>
      </c>
      <c r="AF2" s="31" t="s">
        <v>1053</v>
      </c>
      <c r="AL2" s="31" t="s">
        <v>1054</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265">
        <v>94.0</v>
      </c>
      <c r="V3" s="265">
        <v>93.0</v>
      </c>
      <c r="W3" s="265">
        <v>70.0</v>
      </c>
      <c r="X3" s="266">
        <v>68.0</v>
      </c>
      <c r="Y3" s="248">
        <f t="shared" ref="Y3:Y7" si="3">AVERAGE(U3:X3)</f>
        <v>81.25</v>
      </c>
      <c r="AA3" s="3" t="s">
        <v>971</v>
      </c>
      <c r="AF3" s="3" t="s">
        <v>1055</v>
      </c>
      <c r="AL3" s="3" t="s">
        <v>1056</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264">
        <v>75.0</v>
      </c>
      <c r="V4" s="264">
        <v>72.0</v>
      </c>
      <c r="W4" s="264">
        <v>70.0</v>
      </c>
      <c r="X4" s="264">
        <v>68.0</v>
      </c>
      <c r="Y4" s="248">
        <f t="shared" si="3"/>
        <v>71.25</v>
      </c>
      <c r="AA4" s="3" t="s">
        <v>973</v>
      </c>
      <c r="AF4" s="3" t="s">
        <v>1057</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264">
        <f t="shared" ref="U5:X5" si="4">U4-U6</f>
        <v>63</v>
      </c>
      <c r="V5" s="264">
        <f t="shared" si="4"/>
        <v>60</v>
      </c>
      <c r="W5" s="264">
        <f t="shared" si="4"/>
        <v>62</v>
      </c>
      <c r="X5" s="264">
        <f t="shared" si="4"/>
        <v>63</v>
      </c>
      <c r="Y5" s="248">
        <f t="shared" si="3"/>
        <v>62</v>
      </c>
      <c r="AA5" s="3" t="s">
        <v>975</v>
      </c>
      <c r="AF5" s="3" t="s">
        <v>1058</v>
      </c>
      <c r="AL5" s="3" t="s">
        <v>1059</v>
      </c>
    </row>
    <row r="6" ht="26.25" customHeight="1">
      <c r="A6" s="245" t="s">
        <v>643</v>
      </c>
      <c r="B6" s="4"/>
      <c r="C6" s="4"/>
      <c r="D6" s="54"/>
      <c r="E6" s="54"/>
      <c r="F6" s="54"/>
      <c r="G6" s="54"/>
      <c r="H6" s="54"/>
      <c r="I6" s="112"/>
      <c r="J6" s="112"/>
      <c r="K6" s="263">
        <f t="shared" ref="K6:O6" si="5">K4-K5</f>
        <v>29</v>
      </c>
      <c r="L6" s="263">
        <f t="shared" si="5"/>
        <v>24</v>
      </c>
      <c r="M6" s="246">
        <f t="shared" si="5"/>
        <v>21.3</v>
      </c>
      <c r="N6" s="246">
        <f t="shared" si="5"/>
        <v>14.9</v>
      </c>
      <c r="O6" s="248">
        <f t="shared" si="5"/>
        <v>22.3</v>
      </c>
      <c r="P6" s="255">
        <v>15.0</v>
      </c>
      <c r="Q6" s="254">
        <f t="shared" ref="Q6:R6" si="6">Q4-Q5</f>
        <v>13.6</v>
      </c>
      <c r="R6" s="255">
        <f t="shared" si="6"/>
        <v>16</v>
      </c>
      <c r="S6" s="255">
        <v>10.0</v>
      </c>
      <c r="T6" s="248">
        <f t="shared" si="2"/>
        <v>13.65</v>
      </c>
      <c r="U6" s="264">
        <v>12.0</v>
      </c>
      <c r="V6" s="264">
        <v>12.0</v>
      </c>
      <c r="W6" s="264">
        <v>8.0</v>
      </c>
      <c r="X6" s="264">
        <v>5.0</v>
      </c>
      <c r="Y6" s="248">
        <f t="shared" si="3"/>
        <v>9.25</v>
      </c>
      <c r="AA6" s="3" t="s">
        <v>977</v>
      </c>
      <c r="AF6" s="3" t="s">
        <v>1060</v>
      </c>
      <c r="AL6" s="3" t="s">
        <v>1061</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 t="shared" ref="O7:O8" si="7">AVERAGE(K7:N7)</f>
        <v>5.05</v>
      </c>
      <c r="P7" s="282">
        <v>7.7</v>
      </c>
      <c r="Q7" s="282">
        <v>8.6</v>
      </c>
      <c r="R7" s="282">
        <v>8.6</v>
      </c>
      <c r="S7" s="282">
        <v>9.5</v>
      </c>
      <c r="T7" s="258">
        <f t="shared" si="2"/>
        <v>8.6</v>
      </c>
      <c r="U7" s="268">
        <v>10.2</v>
      </c>
      <c r="V7" s="268">
        <v>9.6</v>
      </c>
      <c r="W7" s="259"/>
      <c r="X7" s="267">
        <v>3.0</v>
      </c>
      <c r="Y7" s="258">
        <f t="shared" si="3"/>
        <v>7.6</v>
      </c>
      <c r="AA7" s="99" t="s">
        <v>979</v>
      </c>
      <c r="AF7" s="3" t="s">
        <v>1062</v>
      </c>
      <c r="AL7" s="3" t="s">
        <v>1063</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f t="shared" si="7"/>
        <v>11</v>
      </c>
      <c r="P8" s="271">
        <v>16.0</v>
      </c>
      <c r="Q8" s="271">
        <v>16.0</v>
      </c>
      <c r="R8" s="297">
        <v>19.0</v>
      </c>
      <c r="S8" s="271">
        <v>21.0</v>
      </c>
      <c r="T8" s="258">
        <v>17.5</v>
      </c>
      <c r="U8" s="270">
        <v>21.0</v>
      </c>
      <c r="V8" s="270">
        <v>19.0</v>
      </c>
      <c r="W8" s="270">
        <v>12.0</v>
      </c>
      <c r="X8" s="269">
        <v>9.0</v>
      </c>
      <c r="Y8" s="258">
        <v>21.0</v>
      </c>
      <c r="AA8" s="3" t="s">
        <v>980</v>
      </c>
      <c r="AF8" s="3" t="s">
        <v>1064</v>
      </c>
      <c r="AL8" s="3" t="s">
        <v>1065</v>
      </c>
    </row>
    <row r="9" hidden="1">
      <c r="A9" s="252" t="s">
        <v>766</v>
      </c>
      <c r="E9" s="114"/>
      <c r="F9" s="115"/>
      <c r="G9" s="115"/>
      <c r="H9" s="115"/>
      <c r="I9" s="112"/>
      <c r="J9" s="112"/>
      <c r="T9" s="103"/>
      <c r="U9" s="54"/>
      <c r="V9" s="287" t="s">
        <v>767</v>
      </c>
      <c r="W9" s="54"/>
      <c r="X9" s="54"/>
      <c r="Y9" s="103"/>
    </row>
    <row r="10">
      <c r="E10" s="114"/>
      <c r="F10" s="115"/>
      <c r="G10" s="115"/>
      <c r="H10" s="115"/>
      <c r="I10" s="112"/>
      <c r="J10" s="112"/>
      <c r="S10" s="298"/>
      <c r="T10" s="314" t="s">
        <v>786</v>
      </c>
      <c r="U10" s="315"/>
      <c r="V10" s="315"/>
      <c r="W10" s="315">
        <v>80.0</v>
      </c>
      <c r="X10" s="315">
        <v>55.0</v>
      </c>
      <c r="Y10" s="215"/>
      <c r="AF10" s="3" t="s">
        <v>1066</v>
      </c>
    </row>
    <row r="11">
      <c r="E11" s="114"/>
      <c r="F11" s="115"/>
      <c r="G11" s="115"/>
      <c r="H11" s="115"/>
      <c r="I11" s="112" t="s">
        <v>406</v>
      </c>
      <c r="J11" s="112" t="s">
        <v>406</v>
      </c>
      <c r="R11" s="4" t="s">
        <v>949</v>
      </c>
      <c r="S11" s="298"/>
      <c r="T11" s="218" t="s">
        <v>1067</v>
      </c>
      <c r="U11" s="112"/>
      <c r="V11" s="242"/>
      <c r="W11" s="242">
        <v>60.0</v>
      </c>
      <c r="X11" s="242">
        <v>70.0</v>
      </c>
      <c r="Y11" s="215"/>
      <c r="AF11" s="3" t="s">
        <v>1068</v>
      </c>
      <c r="AL11" s="3" t="s">
        <v>1069</v>
      </c>
    </row>
    <row r="12">
      <c r="E12" s="114" t="s">
        <v>241</v>
      </c>
      <c r="F12" s="115" t="s">
        <v>242</v>
      </c>
      <c r="G12" s="115" t="s">
        <v>242</v>
      </c>
      <c r="H12" s="115" t="s">
        <v>194</v>
      </c>
      <c r="I12" s="115" t="s">
        <v>148</v>
      </c>
      <c r="Q12" s="218" t="s">
        <v>1070</v>
      </c>
      <c r="R12" s="242">
        <v>72.0</v>
      </c>
      <c r="S12" s="298"/>
      <c r="T12" s="218" t="s">
        <v>469</v>
      </c>
      <c r="U12" s="112"/>
      <c r="V12" s="300"/>
      <c r="W12" s="300">
        <v>70.0</v>
      </c>
      <c r="X12" s="300">
        <v>70.0</v>
      </c>
      <c r="Y12" s="215"/>
      <c r="AF12" s="3" t="s">
        <v>1071</v>
      </c>
      <c r="AL12" s="3" t="s">
        <v>1072</v>
      </c>
    </row>
    <row r="13">
      <c r="C13" s="4">
        <v>5.7</v>
      </c>
      <c r="D13" s="4">
        <v>6.5</v>
      </c>
      <c r="E13" s="62">
        <v>7.4</v>
      </c>
      <c r="F13" s="54">
        <v>8.1</v>
      </c>
      <c r="G13" s="54"/>
      <c r="H13" s="62"/>
      <c r="I13" s="62"/>
      <c r="J13" s="62"/>
      <c r="Q13" s="218" t="s">
        <v>469</v>
      </c>
      <c r="R13" s="242">
        <v>70.0</v>
      </c>
      <c r="S13" s="298"/>
      <c r="T13" s="218" t="s">
        <v>470</v>
      </c>
      <c r="U13" s="344"/>
      <c r="V13" s="300"/>
      <c r="W13" s="300">
        <v>80.0</v>
      </c>
      <c r="X13" s="300">
        <v>65.0</v>
      </c>
      <c r="AF13" s="3" t="s">
        <v>1073</v>
      </c>
      <c r="AK13" s="3" t="s">
        <v>1074</v>
      </c>
      <c r="AL13" s="3" t="s">
        <v>1075</v>
      </c>
    </row>
    <row r="14">
      <c r="D14" s="111"/>
      <c r="E14" s="117"/>
      <c r="F14" s="112"/>
      <c r="G14" s="112"/>
      <c r="H14" s="112"/>
      <c r="I14" s="117"/>
      <c r="J14" s="112"/>
      <c r="Q14" s="218" t="s">
        <v>470</v>
      </c>
      <c r="R14" s="242">
        <v>70.0</v>
      </c>
      <c r="S14" s="298"/>
      <c r="T14" s="288" t="s">
        <v>906</v>
      </c>
      <c r="U14" s="344"/>
      <c r="V14" s="300"/>
      <c r="W14" s="300">
        <v>75.0</v>
      </c>
      <c r="X14" s="300">
        <v>65.0</v>
      </c>
      <c r="Z14" s="345">
        <v>45772.0</v>
      </c>
      <c r="AA14" s="345">
        <v>45814.0</v>
      </c>
      <c r="AB14" s="345">
        <v>45863.0</v>
      </c>
      <c r="AC14" s="4" t="s">
        <v>983</v>
      </c>
      <c r="AD14" s="345">
        <v>45954.0</v>
      </c>
      <c r="AE14" s="345">
        <v>46010.0</v>
      </c>
      <c r="AF14" s="3" t="s">
        <v>1076</v>
      </c>
      <c r="AL14" s="3" t="s">
        <v>1077</v>
      </c>
    </row>
    <row r="15">
      <c r="D15" s="111"/>
      <c r="E15" s="117"/>
      <c r="F15" s="112"/>
      <c r="G15" s="112"/>
      <c r="H15" s="112"/>
      <c r="I15" s="117"/>
      <c r="J15" s="112"/>
      <c r="Q15" s="54"/>
      <c r="R15" s="54"/>
      <c r="S15" s="298"/>
      <c r="T15" s="288" t="s">
        <v>908</v>
      </c>
      <c r="U15" s="344"/>
      <c r="V15" s="300"/>
      <c r="W15" s="300">
        <v>65.0</v>
      </c>
      <c r="X15" s="300">
        <v>75.0</v>
      </c>
      <c r="AA15" s="4"/>
      <c r="AB15" s="4"/>
      <c r="AC15" s="4"/>
      <c r="AD15" s="4"/>
      <c r="AE15" s="4"/>
      <c r="AF15" s="4"/>
    </row>
    <row r="16">
      <c r="D16" s="111" t="s">
        <v>241</v>
      </c>
      <c r="E16" s="117">
        <v>7.0</v>
      </c>
      <c r="F16" s="112">
        <v>7.3</v>
      </c>
      <c r="G16" s="112"/>
      <c r="H16" s="112"/>
      <c r="I16" s="117"/>
      <c r="J16" s="112"/>
      <c r="Q16" s="54"/>
      <c r="R16" s="54"/>
      <c r="S16" s="298"/>
      <c r="T16" s="288" t="s">
        <v>910</v>
      </c>
      <c r="U16" s="316" t="str">
        <f t="shared" ref="U16:X16" si="8">AVERAGE(U11:U13)</f>
        <v>#DIV/0!</v>
      </c>
      <c r="V16" s="316" t="str">
        <f t="shared" si="8"/>
        <v>#DIV/0!</v>
      </c>
      <c r="W16" s="316">
        <f t="shared" si="8"/>
        <v>70</v>
      </c>
      <c r="X16" s="316">
        <f t="shared" si="8"/>
        <v>68.33333333</v>
      </c>
      <c r="AF16" s="3" t="s">
        <v>1078</v>
      </c>
      <c r="AL16" s="3" t="s">
        <v>1079</v>
      </c>
    </row>
    <row r="17">
      <c r="C17" s="10"/>
      <c r="D17" s="10"/>
      <c r="E17" s="10"/>
      <c r="F17" s="10"/>
      <c r="G17" s="10"/>
      <c r="H17" s="10"/>
      <c r="I17" s="10"/>
      <c r="J17" s="10"/>
      <c r="Q17" s="54"/>
      <c r="R17" s="54"/>
      <c r="S17" s="298"/>
      <c r="T17" s="218" t="s">
        <v>912</v>
      </c>
      <c r="U17" s="234" t="str">
        <f t="shared" ref="U17:X17" si="9">AVERAGE(U11:U15)</f>
        <v>#DIV/0!</v>
      </c>
      <c r="V17" s="234" t="str">
        <f t="shared" si="9"/>
        <v>#DIV/0!</v>
      </c>
      <c r="W17" s="234">
        <f t="shared" si="9"/>
        <v>70</v>
      </c>
      <c r="X17" s="234">
        <f t="shared" si="9"/>
        <v>69</v>
      </c>
      <c r="AF17" s="3" t="s">
        <v>1080</v>
      </c>
      <c r="AK17" s="3" t="s">
        <v>1074</v>
      </c>
      <c r="AL17" s="3" t="s">
        <v>1081</v>
      </c>
    </row>
    <row r="18">
      <c r="E18" s="118"/>
      <c r="F18" s="118"/>
      <c r="G18" s="118"/>
      <c r="H18" s="118"/>
      <c r="I18" s="118"/>
      <c r="J18" s="118"/>
      <c r="Q18" s="54"/>
      <c r="R18" s="234">
        <f>AVERAGE(R12:R17)</f>
        <v>70.66666667</v>
      </c>
      <c r="S18" s="298"/>
      <c r="V18" s="3" t="s">
        <v>984</v>
      </c>
      <c r="AA18" s="4"/>
      <c r="AB18" s="3" t="s">
        <v>985</v>
      </c>
      <c r="AC18" s="3" t="s">
        <v>986</v>
      </c>
      <c r="AD18" s="3" t="s">
        <v>987</v>
      </c>
      <c r="AF18" s="3" t="s">
        <v>1082</v>
      </c>
      <c r="AK18" s="3" t="s">
        <v>1074</v>
      </c>
      <c r="AL18" s="3" t="s">
        <v>1083</v>
      </c>
    </row>
    <row r="19">
      <c r="E19" s="118"/>
      <c r="F19" s="118"/>
      <c r="G19" s="118"/>
      <c r="H19" s="118"/>
      <c r="I19" s="118"/>
      <c r="J19" s="118"/>
      <c r="N19" s="54"/>
      <c r="Q19" s="54"/>
      <c r="T19" s="53"/>
      <c r="U19" s="317" t="s">
        <v>786</v>
      </c>
      <c r="V19" s="318">
        <v>1.0</v>
      </c>
      <c r="W19" s="99" t="s">
        <v>988</v>
      </c>
      <c r="X19" s="218"/>
      <c r="Y19" s="218"/>
      <c r="Z19" s="31" t="s">
        <v>286</v>
      </c>
      <c r="AA19" s="61" t="s">
        <v>762</v>
      </c>
      <c r="AB19" s="61" t="s">
        <v>763</v>
      </c>
      <c r="AC19" s="61" t="s">
        <v>764</v>
      </c>
      <c r="AD19" s="61" t="s">
        <v>765</v>
      </c>
      <c r="AF19" s="3" t="s">
        <v>1084</v>
      </c>
      <c r="AL19" s="3" t="s">
        <v>1085</v>
      </c>
    </row>
    <row r="20">
      <c r="E20" s="118"/>
      <c r="F20" s="118"/>
      <c r="G20" s="118"/>
      <c r="H20" s="118"/>
      <c r="I20" s="118"/>
      <c r="J20" s="118"/>
      <c r="R20" s="54"/>
      <c r="S20" s="301">
        <v>8.0</v>
      </c>
      <c r="T20" s="53"/>
      <c r="U20" s="291" t="s">
        <v>1086</v>
      </c>
      <c r="V20" s="301">
        <v>4.0</v>
      </c>
      <c r="W20" s="99" t="s">
        <v>990</v>
      </c>
      <c r="X20" s="218"/>
      <c r="Y20" s="218"/>
      <c r="Z20" s="3" t="s">
        <v>468</v>
      </c>
      <c r="AA20" s="276">
        <v>21.0</v>
      </c>
      <c r="AB20" s="276">
        <v>19.0</v>
      </c>
      <c r="AC20" s="276">
        <v>12.0</v>
      </c>
      <c r="AD20" s="276">
        <v>8.0</v>
      </c>
      <c r="AF20" s="3" t="s">
        <v>1087</v>
      </c>
      <c r="AL20" s="3" t="s">
        <v>1088</v>
      </c>
    </row>
    <row r="21">
      <c r="E21" s="118"/>
      <c r="F21" s="118"/>
      <c r="G21" s="118"/>
      <c r="H21" s="118"/>
      <c r="I21" s="118"/>
      <c r="J21" s="118"/>
      <c r="N21" s="218"/>
      <c r="R21" s="54"/>
      <c r="S21" s="301">
        <v>6.5</v>
      </c>
      <c r="T21" s="53"/>
      <c r="U21" s="291" t="s">
        <v>469</v>
      </c>
      <c r="V21" s="301">
        <v>4.0</v>
      </c>
      <c r="W21" s="99" t="s">
        <v>1089</v>
      </c>
      <c r="X21" s="218"/>
      <c r="Y21" s="218"/>
      <c r="Z21" s="3" t="s">
        <v>469</v>
      </c>
      <c r="AA21" s="280">
        <v>21.0</v>
      </c>
      <c r="AB21" s="280">
        <v>21.0</v>
      </c>
      <c r="AC21" s="280">
        <v>14.0</v>
      </c>
      <c r="AD21" s="280">
        <v>10.0</v>
      </c>
      <c r="AF21" s="3" t="s">
        <v>1090</v>
      </c>
    </row>
    <row r="22">
      <c r="E22" s="118"/>
      <c r="F22" s="118"/>
      <c r="G22" s="118"/>
      <c r="H22" s="118"/>
      <c r="I22" s="118"/>
      <c r="J22" s="118"/>
      <c r="R22" s="54"/>
      <c r="S22" s="301">
        <v>5.5</v>
      </c>
      <c r="T22" s="53"/>
      <c r="U22" s="291" t="s">
        <v>470</v>
      </c>
      <c r="V22" s="301">
        <v>1.0</v>
      </c>
      <c r="W22" s="99" t="s">
        <v>1091</v>
      </c>
      <c r="X22" s="218"/>
      <c r="Y22" s="218"/>
      <c r="Z22" s="3" t="s">
        <v>470</v>
      </c>
      <c r="AA22" s="276">
        <v>21.0</v>
      </c>
      <c r="AB22" s="276">
        <v>18.0</v>
      </c>
      <c r="AC22" s="276">
        <v>10.0</v>
      </c>
      <c r="AD22" s="276">
        <v>10.0</v>
      </c>
      <c r="AF22" s="3" t="s">
        <v>1092</v>
      </c>
      <c r="AL22" s="3" t="s">
        <v>1093</v>
      </c>
    </row>
    <row r="23">
      <c r="E23" s="118"/>
      <c r="F23" s="118"/>
      <c r="G23" s="118"/>
      <c r="H23" s="118"/>
      <c r="I23" s="118"/>
      <c r="J23" s="118"/>
      <c r="O23" s="3"/>
      <c r="S23" s="301">
        <v>6.2</v>
      </c>
      <c r="T23" s="55"/>
      <c r="U23" s="288" t="s">
        <v>906</v>
      </c>
      <c r="V23" s="301">
        <v>3.0</v>
      </c>
      <c r="Z23" s="287" t="s">
        <v>906</v>
      </c>
      <c r="AA23" s="280">
        <v>21.0</v>
      </c>
      <c r="AB23" s="280">
        <v>20.0</v>
      </c>
      <c r="AC23" s="280">
        <v>12.0</v>
      </c>
      <c r="AD23" s="280">
        <v>10.0</v>
      </c>
      <c r="AF23" s="3" t="s">
        <v>1094</v>
      </c>
      <c r="AL23" s="3" t="s">
        <v>1095</v>
      </c>
    </row>
    <row r="24">
      <c r="E24" s="118"/>
      <c r="F24" s="118"/>
      <c r="G24" s="118"/>
      <c r="H24" s="118"/>
      <c r="I24" s="118"/>
      <c r="J24" s="118"/>
      <c r="O24" s="3"/>
      <c r="S24" s="301">
        <v>6.5</v>
      </c>
      <c r="T24" s="55"/>
      <c r="U24" s="288" t="s">
        <v>908</v>
      </c>
      <c r="V24" s="301">
        <v>3.0</v>
      </c>
      <c r="Z24" s="287" t="s">
        <v>908</v>
      </c>
      <c r="AA24" s="276">
        <v>21.0</v>
      </c>
      <c r="AB24" s="276">
        <v>21.0</v>
      </c>
      <c r="AC24" s="276">
        <v>12.0</v>
      </c>
      <c r="AD24" s="276">
        <v>9.0</v>
      </c>
      <c r="AF24" s="3" t="s">
        <v>1096</v>
      </c>
      <c r="AL24" s="3" t="s">
        <v>1097</v>
      </c>
    </row>
    <row r="25">
      <c r="E25" s="118"/>
      <c r="F25" s="118"/>
      <c r="G25" s="118"/>
      <c r="H25" s="118"/>
      <c r="I25" s="118"/>
      <c r="J25" s="118"/>
      <c r="T25" s="55"/>
      <c r="U25" s="319" t="s">
        <v>910</v>
      </c>
      <c r="V25" s="316">
        <f>AVERAGE(V20:V22)</f>
        <v>3</v>
      </c>
      <c r="Z25" s="319" t="s">
        <v>910</v>
      </c>
      <c r="AA25" s="316">
        <f t="shared" ref="AA25:AD25" si="10">AVERAGE(AA20:AA22)</f>
        <v>21</v>
      </c>
      <c r="AB25" s="316">
        <f t="shared" si="10"/>
        <v>19.33333333</v>
      </c>
      <c r="AC25" s="316">
        <f t="shared" si="10"/>
        <v>12</v>
      </c>
      <c r="AD25" s="316">
        <f t="shared" si="10"/>
        <v>9.333333333</v>
      </c>
      <c r="AF25" s="3" t="s">
        <v>1098</v>
      </c>
    </row>
    <row r="26">
      <c r="A26" s="3"/>
      <c r="B26" s="12"/>
      <c r="C26" s="12"/>
      <c r="D26" s="13"/>
      <c r="E26" s="13"/>
      <c r="F26" s="13"/>
      <c r="G26" s="13"/>
      <c r="H26" s="13"/>
      <c r="I26" s="13"/>
      <c r="J26" s="13"/>
      <c r="U26" s="218" t="s">
        <v>912</v>
      </c>
      <c r="V26" s="293">
        <f>AVERAGE(V20:V24)</f>
        <v>3</v>
      </c>
      <c r="Y26" s="32">
        <v>2025.0</v>
      </c>
      <c r="Z26" s="218" t="s">
        <v>912</v>
      </c>
      <c r="AA26" s="293">
        <f t="shared" ref="AA26:AD26" si="11">AVERAGE(AA20:AA24)</f>
        <v>21</v>
      </c>
      <c r="AB26" s="293">
        <f t="shared" si="11"/>
        <v>19.8</v>
      </c>
      <c r="AC26" s="293">
        <f t="shared" si="11"/>
        <v>12</v>
      </c>
      <c r="AD26" s="293">
        <f t="shared" si="11"/>
        <v>9.4</v>
      </c>
      <c r="AF26" s="3" t="s">
        <v>1099</v>
      </c>
      <c r="AL26" s="3" t="s">
        <v>1100</v>
      </c>
    </row>
    <row r="27">
      <c r="N27" s="3" t="s">
        <v>918</v>
      </c>
      <c r="S27" s="4" t="s">
        <v>993</v>
      </c>
      <c r="T27" s="55"/>
      <c r="X27" s="218" t="s">
        <v>786</v>
      </c>
      <c r="Y27" s="289">
        <v>4.5</v>
      </c>
      <c r="AF27" s="3" t="s">
        <v>1101</v>
      </c>
      <c r="AL27" s="3" t="s">
        <v>1102</v>
      </c>
    </row>
    <row r="28">
      <c r="N28" s="307" t="s">
        <v>652</v>
      </c>
      <c r="Q28" s="4" t="s">
        <v>652</v>
      </c>
      <c r="R28" s="4" t="s">
        <v>335</v>
      </c>
      <c r="S28" s="4" t="s">
        <v>338</v>
      </c>
      <c r="T28" s="4" t="s">
        <v>581</v>
      </c>
      <c r="X28" s="218" t="s">
        <v>1103</v>
      </c>
      <c r="Y28" s="243">
        <v>3.0</v>
      </c>
      <c r="AF28" s="3" t="s">
        <v>1104</v>
      </c>
    </row>
    <row r="29">
      <c r="M29" s="308" t="s">
        <v>62</v>
      </c>
      <c r="N29" s="308">
        <v>100.8</v>
      </c>
      <c r="P29" s="4" t="s">
        <v>62</v>
      </c>
      <c r="Q29" s="232">
        <v>100.3</v>
      </c>
      <c r="R29" s="232">
        <v>92.3</v>
      </c>
      <c r="S29" s="24">
        <v>88.6</v>
      </c>
      <c r="T29" s="226">
        <f t="shared" ref="T29:T32" si="12">AVERAGE(Q29:S29)</f>
        <v>93.73333333</v>
      </c>
      <c r="X29" s="218" t="s">
        <v>469</v>
      </c>
      <c r="Y29" s="243">
        <v>1.0</v>
      </c>
      <c r="AF29" s="3" t="s">
        <v>1105</v>
      </c>
      <c r="AL29" s="3" t="s">
        <v>1106</v>
      </c>
    </row>
    <row r="30">
      <c r="M30" s="309" t="s">
        <v>920</v>
      </c>
      <c r="N30" s="308">
        <v>13.71</v>
      </c>
      <c r="P30" s="4" t="s">
        <v>28</v>
      </c>
      <c r="Q30" s="232">
        <v>79.1</v>
      </c>
      <c r="R30" s="232">
        <v>75.6</v>
      </c>
      <c r="S30" s="116">
        <v>71.2</v>
      </c>
      <c r="T30" s="226">
        <f t="shared" si="12"/>
        <v>75.3</v>
      </c>
      <c r="X30" s="218" t="s">
        <v>470</v>
      </c>
      <c r="Y30" s="243">
        <v>4.5</v>
      </c>
      <c r="AF30" s="3" t="s">
        <v>1107</v>
      </c>
      <c r="AK30" s="3" t="s">
        <v>1074</v>
      </c>
      <c r="AL30" s="3" t="s">
        <v>1108</v>
      </c>
    </row>
    <row r="31">
      <c r="M31" s="309" t="s">
        <v>921</v>
      </c>
      <c r="N31" s="310">
        <v>7.3</v>
      </c>
      <c r="P31" s="4" t="s">
        <v>582</v>
      </c>
      <c r="Q31" s="346">
        <v>66.4</v>
      </c>
      <c r="R31" s="232">
        <v>63.1</v>
      </c>
      <c r="S31" s="236">
        <v>59.7</v>
      </c>
      <c r="T31" s="226">
        <f t="shared" si="12"/>
        <v>63.06666667</v>
      </c>
      <c r="X31" s="288" t="s">
        <v>906</v>
      </c>
      <c r="Y31" s="301">
        <v>3.5</v>
      </c>
      <c r="AF31" s="3" t="s">
        <v>1109</v>
      </c>
      <c r="AL31" s="3" t="s">
        <v>1110</v>
      </c>
    </row>
    <row r="32">
      <c r="M32" s="309" t="s">
        <v>24</v>
      </c>
      <c r="N32" s="308">
        <v>104.3</v>
      </c>
      <c r="P32" s="4" t="s">
        <v>583</v>
      </c>
      <c r="Q32" s="117">
        <f t="shared" ref="Q32:S32" si="13">Q30-Q31</f>
        <v>12.7</v>
      </c>
      <c r="R32" s="112">
        <f t="shared" si="13"/>
        <v>12.5</v>
      </c>
      <c r="S32" s="117">
        <f t="shared" si="13"/>
        <v>11.5</v>
      </c>
      <c r="T32" s="226">
        <f t="shared" si="12"/>
        <v>12.23333333</v>
      </c>
      <c r="X32" s="288" t="s">
        <v>908</v>
      </c>
      <c r="Y32" s="301">
        <v>2.5</v>
      </c>
    </row>
    <row r="33">
      <c r="M33" s="309" t="s">
        <v>922</v>
      </c>
      <c r="N33" s="308">
        <v>1.035</v>
      </c>
      <c r="X33" s="319" t="s">
        <v>910</v>
      </c>
      <c r="Y33" s="316">
        <f>AVERAGE(Y28:Y30)</f>
        <v>2.833333333</v>
      </c>
      <c r="AF33" s="3" t="s">
        <v>1111</v>
      </c>
      <c r="AL33" s="3" t="s">
        <v>1112</v>
      </c>
    </row>
    <row r="34">
      <c r="M34" s="308" t="s">
        <v>28</v>
      </c>
      <c r="N34" s="308">
        <v>80.0</v>
      </c>
      <c r="X34" s="218" t="s">
        <v>912</v>
      </c>
      <c r="Y34" s="293">
        <f>AVERAGE(Y28:Y32)</f>
        <v>2.9</v>
      </c>
      <c r="AF34" s="3" t="s">
        <v>1113</v>
      </c>
      <c r="AL34" s="3" t="s">
        <v>1114</v>
      </c>
    </row>
    <row r="35">
      <c r="M35" s="308" t="s">
        <v>582</v>
      </c>
      <c r="N35" s="309">
        <v>67.6</v>
      </c>
      <c r="AF35" s="3" t="s">
        <v>1115</v>
      </c>
    </row>
    <row r="36">
      <c r="AF36" s="3" t="s">
        <v>1116</v>
      </c>
    </row>
    <row r="38">
      <c r="N38" s="31" t="s">
        <v>586</v>
      </c>
    </row>
    <row r="39">
      <c r="N39" s="3" t="s">
        <v>587</v>
      </c>
      <c r="Q39" s="3" t="s">
        <v>588</v>
      </c>
    </row>
    <row r="40">
      <c r="N40" s="3" t="s">
        <v>589</v>
      </c>
      <c r="Q40" s="3" t="s">
        <v>590</v>
      </c>
      <c r="X40" s="41">
        <v>0.1</v>
      </c>
      <c r="Y40" s="41">
        <v>0.3</v>
      </c>
    </row>
    <row r="41">
      <c r="N41" s="3" t="s">
        <v>591</v>
      </c>
      <c r="Q41" s="3" t="s">
        <v>592</v>
      </c>
      <c r="V41" s="3" t="s">
        <v>536</v>
      </c>
      <c r="X41" s="3" t="s">
        <v>537</v>
      </c>
    </row>
    <row r="42">
      <c r="N42" s="3" t="s">
        <v>593</v>
      </c>
      <c r="Q42" s="3" t="s">
        <v>594</v>
      </c>
      <c r="V42" s="3" t="s">
        <v>538</v>
      </c>
      <c r="W42" s="4">
        <v>0.24</v>
      </c>
      <c r="X42" s="212">
        <f t="shared" ref="X42:X48" si="14">W42*$X$40</f>
        <v>0.024</v>
      </c>
      <c r="Y42" s="212">
        <f t="shared" ref="Y42:Y48" si="15">W42*$Y$40</f>
        <v>0.072</v>
      </c>
    </row>
    <row r="43">
      <c r="N43" s="3" t="s">
        <v>595</v>
      </c>
      <c r="Q43" s="3" t="s">
        <v>596</v>
      </c>
      <c r="V43" s="99" t="s">
        <v>540</v>
      </c>
      <c r="W43" s="4">
        <v>0.055</v>
      </c>
      <c r="X43" s="212">
        <f t="shared" si="14"/>
        <v>0.0055</v>
      </c>
      <c r="Y43" s="212">
        <f t="shared" si="15"/>
        <v>0.0165</v>
      </c>
      <c r="Z43" s="49" t="s">
        <v>541</v>
      </c>
    </row>
    <row r="44">
      <c r="N44" s="3" t="s">
        <v>597</v>
      </c>
      <c r="Q44" s="3" t="s">
        <v>598</v>
      </c>
      <c r="V44" s="3" t="s">
        <v>835</v>
      </c>
      <c r="W44" s="4">
        <v>0.125</v>
      </c>
      <c r="X44" s="212">
        <f t="shared" si="14"/>
        <v>0.0125</v>
      </c>
      <c r="Y44" s="212">
        <f t="shared" si="15"/>
        <v>0.0375</v>
      </c>
      <c r="AA44" s="3" t="s">
        <v>688</v>
      </c>
    </row>
    <row r="45">
      <c r="N45" s="3" t="s">
        <v>599</v>
      </c>
      <c r="Q45" s="3" t="s">
        <v>600</v>
      </c>
      <c r="V45" s="3" t="s">
        <v>542</v>
      </c>
      <c r="W45" s="4">
        <v>0.1</v>
      </c>
      <c r="X45" s="212">
        <f t="shared" si="14"/>
        <v>0.01</v>
      </c>
      <c r="Y45" s="212">
        <f t="shared" si="15"/>
        <v>0.03</v>
      </c>
      <c r="AA45" s="3" t="s">
        <v>689</v>
      </c>
    </row>
    <row r="46">
      <c r="V46" s="3" t="s">
        <v>543</v>
      </c>
      <c r="W46" s="4">
        <f>(0.05+0.1)/2</f>
        <v>0.075</v>
      </c>
      <c r="X46" s="212">
        <f t="shared" si="14"/>
        <v>0.0075</v>
      </c>
      <c r="Y46" s="212">
        <f t="shared" si="15"/>
        <v>0.0225</v>
      </c>
      <c r="AA46" s="3" t="s">
        <v>690</v>
      </c>
    </row>
    <row r="47">
      <c r="N47" s="3" t="s">
        <v>601</v>
      </c>
      <c r="Q47" s="3" t="s">
        <v>602</v>
      </c>
      <c r="V47" s="3" t="s">
        <v>545</v>
      </c>
      <c r="W47" s="4">
        <v>0.05</v>
      </c>
      <c r="X47" s="212">
        <f t="shared" si="14"/>
        <v>0.005</v>
      </c>
      <c r="Y47" s="212">
        <f t="shared" si="15"/>
        <v>0.015</v>
      </c>
      <c r="AA47" s="3" t="s">
        <v>691</v>
      </c>
    </row>
    <row r="48">
      <c r="Q48" s="3" t="s">
        <v>603</v>
      </c>
      <c r="V48" s="3" t="s">
        <v>558</v>
      </c>
      <c r="W48" s="4">
        <v>0.2</v>
      </c>
      <c r="X48" s="212">
        <f t="shared" si="14"/>
        <v>0.02</v>
      </c>
      <c r="Y48" s="212">
        <f t="shared" si="15"/>
        <v>0.06</v>
      </c>
    </row>
    <row r="49">
      <c r="N49" s="3" t="s">
        <v>604</v>
      </c>
    </row>
    <row r="50">
      <c r="R50" s="3" t="s">
        <v>605</v>
      </c>
    </row>
    <row r="51">
      <c r="N51" s="3" t="s">
        <v>606</v>
      </c>
      <c r="R51" s="3" t="s">
        <v>607</v>
      </c>
    </row>
    <row r="52">
      <c r="N52" s="65">
        <f>60%*47.5</f>
        <v>28.5</v>
      </c>
      <c r="O52" s="3" t="s">
        <v>608</v>
      </c>
      <c r="R52" s="65">
        <f>60%*55</f>
        <v>33</v>
      </c>
      <c r="S52" s="3" t="s">
        <v>608</v>
      </c>
    </row>
    <row r="53">
      <c r="N53" s="65">
        <f>N52*72%</f>
        <v>20.52</v>
      </c>
      <c r="O53" s="3" t="s">
        <v>609</v>
      </c>
      <c r="R53" s="65">
        <f>R52*83%</f>
        <v>27.39</v>
      </c>
      <c r="S53" s="3" t="s">
        <v>609</v>
      </c>
    </row>
    <row r="54">
      <c r="N54" s="65">
        <f>N52-N53</f>
        <v>7.98</v>
      </c>
      <c r="O54" s="3" t="s">
        <v>610</v>
      </c>
      <c r="R54" s="65">
        <f>R52-R53</f>
        <v>5.61</v>
      </c>
      <c r="S54" s="3" t="s">
        <v>610</v>
      </c>
    </row>
    <row r="55">
      <c r="N55" s="3" t="s">
        <v>1117</v>
      </c>
      <c r="Q55" s="3" t="s">
        <v>1118</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1119</v>
      </c>
    </row>
    <row r="64">
      <c r="Q64" s="3" t="s">
        <v>623</v>
      </c>
    </row>
    <row r="65">
      <c r="Q65" s="3" t="s">
        <v>616</v>
      </c>
    </row>
    <row r="66">
      <c r="Q66" s="3" t="s">
        <v>618</v>
      </c>
    </row>
    <row r="68">
      <c r="P68" s="218" t="s">
        <v>619</v>
      </c>
      <c r="Q68" s="31" t="s">
        <v>624</v>
      </c>
    </row>
  </sheetData>
  <hyperlinks>
    <hyperlink r:id="rId1" ref="Z43"/>
  </hyperlinks>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45827.0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224" t="s">
        <v>526</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265">
        <v>81.0</v>
      </c>
      <c r="W3" s="265">
        <v>83.0</v>
      </c>
      <c r="X3" s="266">
        <v>85.0</v>
      </c>
      <c r="Y3" s="258">
        <f t="shared" ref="Y3:Y7" si="3">AVERAGE(U3:X3)</f>
        <v>85.45</v>
      </c>
      <c r="Z3" s="266">
        <v>82.0</v>
      </c>
      <c r="AA3" s="266">
        <v>85.0</v>
      </c>
      <c r="AB3" s="266">
        <v>90.0</v>
      </c>
      <c r="AC3" s="266">
        <v>95.0</v>
      </c>
      <c r="AD3" s="258">
        <f t="shared" ref="AD3:AD7" si="4">AVERAGE(Z3:AC3)</f>
        <v>88</v>
      </c>
      <c r="AF3" s="3" t="s">
        <v>1124</v>
      </c>
      <c r="AI3" s="3" t="s">
        <v>1125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64">
        <v>68.0</v>
      </c>
      <c r="W4" s="264">
        <v>70.0</v>
      </c>
      <c r="X4" s="264">
        <v>64.0</v>
      </c>
      <c r="Y4" s="258">
        <f t="shared" si="3"/>
        <v>69.45</v>
      </c>
      <c r="Z4" s="264">
        <v>65.0</v>
      </c>
      <c r="AA4" s="264">
        <v>65.0</v>
      </c>
      <c r="AB4" s="264">
        <v>65.0</v>
      </c>
      <c r="AC4" s="264">
        <v>65.0</v>
      </c>
      <c r="AD4" s="258">
        <f t="shared" si="4"/>
        <v>65</v>
      </c>
      <c r="AF4" s="3" t="s">
        <v>1126</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64">
        <f t="shared" ref="V5:X5" si="5">V4-V6</f>
        <v>56</v>
      </c>
      <c r="W5" s="264">
        <f t="shared" si="5"/>
        <v>58</v>
      </c>
      <c r="X5" s="264">
        <f t="shared" si="5"/>
        <v>54</v>
      </c>
      <c r="Y5" s="248">
        <f t="shared" si="3"/>
        <v>57.9</v>
      </c>
      <c r="Z5" s="264">
        <f t="shared" ref="Z5:AC5" si="6">Z4-Z6</f>
        <v>55</v>
      </c>
      <c r="AA5" s="264">
        <f t="shared" si="6"/>
        <v>55</v>
      </c>
      <c r="AB5" s="264">
        <f t="shared" si="6"/>
        <v>55</v>
      </c>
      <c r="AC5" s="264">
        <f t="shared" si="6"/>
        <v>55</v>
      </c>
      <c r="AD5" s="248">
        <f t="shared" si="4"/>
        <v>55</v>
      </c>
      <c r="AF5" s="3" t="s">
        <v>1127</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64">
        <v>12.0</v>
      </c>
      <c r="W6" s="264">
        <v>12.0</v>
      </c>
      <c r="X6" s="264">
        <v>10.0</v>
      </c>
      <c r="Y6" s="258">
        <f t="shared" si="3"/>
        <v>11.55</v>
      </c>
      <c r="Z6" s="264">
        <v>10.0</v>
      </c>
      <c r="AA6" s="264">
        <v>10.0</v>
      </c>
      <c r="AB6" s="264">
        <v>10.0</v>
      </c>
      <c r="AC6" s="264">
        <v>10.0</v>
      </c>
      <c r="AD6" s="258">
        <f t="shared" si="4"/>
        <v>10</v>
      </c>
      <c r="AF6" s="3" t="s">
        <v>1128</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68">
        <v>9.4</v>
      </c>
      <c r="W7" s="268">
        <v>8.2</v>
      </c>
      <c r="X7" s="267">
        <v>5.6</v>
      </c>
      <c r="Y7" s="258">
        <f t="shared" si="3"/>
        <v>8.375</v>
      </c>
      <c r="Z7" s="267">
        <v>4.4</v>
      </c>
      <c r="AA7" s="267">
        <v>4.3</v>
      </c>
      <c r="AB7" s="267">
        <v>4.5</v>
      </c>
      <c r="AC7" s="267">
        <v>4.9</v>
      </c>
      <c r="AD7" s="258">
        <f t="shared" si="4"/>
        <v>4.525</v>
      </c>
      <c r="AF7" s="99" t="s">
        <v>1129</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0">
        <v>20.0</v>
      </c>
      <c r="W8" s="270">
        <v>17.0</v>
      </c>
      <c r="X8" s="269">
        <v>14.0</v>
      </c>
      <c r="Y8" s="258">
        <v>19.0</v>
      </c>
      <c r="Z8" s="269">
        <v>14.0</v>
      </c>
      <c r="AA8" s="269">
        <v>14.0</v>
      </c>
      <c r="AB8" s="269">
        <v>13.0</v>
      </c>
      <c r="AC8" s="269">
        <v>12.0</v>
      </c>
      <c r="AD8" s="258">
        <v>13.5</v>
      </c>
      <c r="AF8" s="3" t="s">
        <v>1130</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-0.1388716677</v>
      </c>
      <c r="Z10" s="343">
        <v>2026.0</v>
      </c>
      <c r="AA10" s="348" t="s">
        <v>1120</v>
      </c>
      <c r="AB10" s="348" t="s">
        <v>1121</v>
      </c>
      <c r="AC10" s="348" t="s">
        <v>1122</v>
      </c>
      <c r="AD10" s="349" t="s">
        <v>1123</v>
      </c>
    </row>
    <row r="11">
      <c r="E11" s="114"/>
      <c r="F11" s="115"/>
      <c r="G11" s="115"/>
      <c r="H11" s="115"/>
      <c r="I11" s="112" t="s">
        <v>406</v>
      </c>
      <c r="J11" s="112" t="s">
        <v>406</v>
      </c>
      <c r="Q11" s="4" t="s">
        <v>949</v>
      </c>
      <c r="S11" s="350" t="s">
        <v>1006</v>
      </c>
      <c r="T11" s="351" t="s">
        <v>54</v>
      </c>
      <c r="U11" s="348"/>
      <c r="V11" s="348"/>
      <c r="W11" s="411">
        <v>76.5</v>
      </c>
      <c r="X11" s="412">
        <v>73.0</v>
      </c>
      <c r="Y11" s="3" t="s">
        <v>1029</v>
      </c>
      <c r="Z11" s="351" t="s">
        <v>54</v>
      </c>
      <c r="AA11" s="348">
        <v>72.0</v>
      </c>
      <c r="AB11" s="348">
        <v>71.0</v>
      </c>
      <c r="AC11" s="411">
        <v>70.0</v>
      </c>
      <c r="AD11" s="412">
        <v>70.0</v>
      </c>
    </row>
    <row r="12">
      <c r="E12" s="114" t="s">
        <v>241</v>
      </c>
      <c r="F12" s="115" t="s">
        <v>242</v>
      </c>
      <c r="G12" s="115" t="s">
        <v>242</v>
      </c>
      <c r="H12" s="115" t="s">
        <v>194</v>
      </c>
      <c r="I12" s="115" t="s">
        <v>148</v>
      </c>
      <c r="P12" s="218" t="s">
        <v>1131</v>
      </c>
      <c r="Q12" s="242">
        <v>72.0</v>
      </c>
      <c r="T12" s="352" t="s">
        <v>468</v>
      </c>
      <c r="U12" s="353">
        <v>76.0</v>
      </c>
      <c r="V12" s="353">
        <v>68.0</v>
      </c>
      <c r="W12" s="415">
        <v>69.0</v>
      </c>
      <c r="X12" s="416">
        <v>63.0</v>
      </c>
      <c r="Z12" s="352" t="s">
        <v>468</v>
      </c>
      <c r="AA12" s="354">
        <v>65.0</v>
      </c>
      <c r="AB12" s="354">
        <v>65.0</v>
      </c>
      <c r="AC12" s="354">
        <v>65.0</v>
      </c>
      <c r="AD12" s="354">
        <v>65.0</v>
      </c>
    </row>
    <row r="13">
      <c r="C13" s="4">
        <v>5.7</v>
      </c>
      <c r="D13" s="4">
        <v>6.5</v>
      </c>
      <c r="E13" s="62">
        <v>7.4</v>
      </c>
      <c r="F13" s="54">
        <v>8.1</v>
      </c>
      <c r="G13" s="54"/>
      <c r="H13" s="62"/>
      <c r="I13" s="62"/>
      <c r="J13" s="62"/>
      <c r="P13" s="218" t="s">
        <v>469</v>
      </c>
      <c r="Q13" s="242">
        <v>70.0</v>
      </c>
      <c r="T13" s="352" t="s">
        <v>469</v>
      </c>
      <c r="U13" s="353">
        <v>76.0</v>
      </c>
      <c r="V13" s="353">
        <v>68.0</v>
      </c>
      <c r="W13" s="354">
        <v>70.0</v>
      </c>
      <c r="X13" s="356">
        <v>65.0</v>
      </c>
      <c r="Z13" s="352" t="s">
        <v>469</v>
      </c>
      <c r="AA13" s="354">
        <v>64.0</v>
      </c>
      <c r="AB13" s="354">
        <v>64.0</v>
      </c>
      <c r="AC13" s="354">
        <v>64.0</v>
      </c>
      <c r="AD13" s="354">
        <v>64.0</v>
      </c>
      <c r="AG13" s="3" t="s">
        <v>1009</v>
      </c>
    </row>
    <row r="14">
      <c r="D14" s="111"/>
      <c r="E14" s="117"/>
      <c r="F14" s="112"/>
      <c r="G14" s="112"/>
      <c r="H14" s="112"/>
      <c r="I14" s="117"/>
      <c r="J14" s="112"/>
      <c r="P14" s="218" t="s">
        <v>470</v>
      </c>
      <c r="Q14" s="242">
        <v>70.0</v>
      </c>
      <c r="T14" s="352" t="s">
        <v>470</v>
      </c>
      <c r="U14" s="353">
        <v>76.0</v>
      </c>
      <c r="V14" s="353">
        <v>68.0</v>
      </c>
      <c r="W14" s="354">
        <v>71.0</v>
      </c>
      <c r="X14" s="355">
        <v>65.0</v>
      </c>
      <c r="Z14" s="352" t="s">
        <v>470</v>
      </c>
      <c r="AA14" s="354">
        <v>65.0</v>
      </c>
      <c r="AB14" s="354">
        <v>65.0</v>
      </c>
      <c r="AC14" s="354">
        <v>65.0</v>
      </c>
      <c r="AD14" s="354">
        <v>65.0</v>
      </c>
      <c r="AE14" s="4" t="s">
        <v>1132</v>
      </c>
      <c r="AF14" s="4" t="s">
        <v>81</v>
      </c>
      <c r="AG14" s="345">
        <v>45863.0</v>
      </c>
      <c r="AH14" s="4" t="s">
        <v>983</v>
      </c>
      <c r="AI14" s="345">
        <v>45954.0</v>
      </c>
      <c r="AJ14" s="345">
        <v>46010.0</v>
      </c>
    </row>
    <row r="15">
      <c r="D15" s="111"/>
      <c r="E15" s="117"/>
      <c r="F15" s="112"/>
      <c r="G15" s="112"/>
      <c r="H15" s="112"/>
      <c r="I15" s="117"/>
      <c r="J15" s="112"/>
      <c r="Q15" s="54"/>
      <c r="R15" s="54"/>
      <c r="T15" s="357" t="s">
        <v>906</v>
      </c>
      <c r="U15" s="353">
        <v>76.0</v>
      </c>
      <c r="V15" s="353">
        <v>68.0</v>
      </c>
      <c r="W15" s="354">
        <v>70.0</v>
      </c>
      <c r="X15" s="356">
        <v>65.0</v>
      </c>
      <c r="Z15" s="357" t="s">
        <v>906</v>
      </c>
      <c r="AA15" s="354">
        <v>65.0</v>
      </c>
      <c r="AB15" s="354">
        <v>65.0</v>
      </c>
      <c r="AC15" s="354">
        <v>65.0</v>
      </c>
      <c r="AD15" s="354">
        <v>65.0</v>
      </c>
      <c r="AE15" s="4" t="s">
        <v>81</v>
      </c>
      <c r="AF15" s="41">
        <v>0.07</v>
      </c>
      <c r="AG15" s="4">
        <v>19.0</v>
      </c>
      <c r="AH15" s="4">
        <v>18.0</v>
      </c>
      <c r="AI15" s="4">
        <v>17.0</v>
      </c>
      <c r="AJ15" s="4">
        <v>17.0</v>
      </c>
    </row>
    <row r="16">
      <c r="D16" s="111" t="s">
        <v>241</v>
      </c>
      <c r="E16" s="117">
        <v>7.0</v>
      </c>
      <c r="F16" s="112">
        <v>7.3</v>
      </c>
      <c r="G16" s="112"/>
      <c r="H16" s="112"/>
      <c r="I16" s="117"/>
      <c r="J16" s="112"/>
      <c r="Q16" s="54"/>
      <c r="R16" s="54"/>
      <c r="T16" s="358" t="s">
        <v>908</v>
      </c>
      <c r="U16" s="353">
        <v>76.0</v>
      </c>
      <c r="V16" s="353">
        <v>68.0</v>
      </c>
      <c r="W16" s="354">
        <v>73.0</v>
      </c>
      <c r="X16" s="356">
        <v>62.0</v>
      </c>
      <c r="Z16" s="358" t="s">
        <v>908</v>
      </c>
      <c r="AA16" s="354"/>
      <c r="AB16" s="354"/>
      <c r="AC16" s="354"/>
      <c r="AD16" s="356"/>
      <c r="AE16" s="4" t="s">
        <v>286</v>
      </c>
      <c r="AF16" s="4">
        <v>20.0</v>
      </c>
      <c r="AG16" s="5">
        <f>(AG15-AF16)*100</f>
        <v>-100</v>
      </c>
      <c r="AH16" s="5">
        <f t="shared" ref="AH16:AJ16" si="9">(AH15-AG15)*100</f>
        <v>-100</v>
      </c>
      <c r="AI16" s="5">
        <f t="shared" si="9"/>
        <v>-100</v>
      </c>
      <c r="AJ16" s="5">
        <f t="shared" si="9"/>
        <v>0</v>
      </c>
    </row>
    <row r="17">
      <c r="C17" s="10"/>
      <c r="D17" s="10"/>
      <c r="E17" s="10"/>
      <c r="F17" s="10"/>
      <c r="G17" s="10"/>
      <c r="H17" s="10"/>
      <c r="I17" s="10"/>
      <c r="J17" s="10"/>
      <c r="Q17" s="54"/>
      <c r="R17" s="54"/>
      <c r="T17" s="358" t="s">
        <v>910</v>
      </c>
      <c r="U17" s="359">
        <f t="shared" ref="U17:X17" si="10">AVERAGE(U12:U14)</f>
        <v>76</v>
      </c>
      <c r="V17" s="359">
        <f t="shared" si="10"/>
        <v>68</v>
      </c>
      <c r="W17" s="359">
        <f t="shared" si="10"/>
        <v>70</v>
      </c>
      <c r="X17" s="360">
        <f t="shared" si="10"/>
        <v>64.33333333</v>
      </c>
      <c r="Z17" s="358" t="s">
        <v>910</v>
      </c>
      <c r="AA17" s="359">
        <f t="shared" ref="AA17:AD17" si="11">AVERAGE(AA12:AA14)</f>
        <v>64.66666667</v>
      </c>
      <c r="AB17" s="359">
        <f t="shared" si="11"/>
        <v>64.66666667</v>
      </c>
      <c r="AC17" s="359">
        <f t="shared" si="11"/>
        <v>64.66666667</v>
      </c>
      <c r="AD17" s="360">
        <f t="shared" si="11"/>
        <v>64.66666667</v>
      </c>
      <c r="AE17" s="35">
        <f>47</f>
        <v>47</v>
      </c>
      <c r="AG17" s="4">
        <v>-100.0</v>
      </c>
      <c r="AH17" s="4">
        <v>-200.0</v>
      </c>
      <c r="AI17" s="4">
        <v>-200.0</v>
      </c>
      <c r="AJ17" s="4">
        <v>-100.0</v>
      </c>
      <c r="AK17" s="4">
        <v>14.0</v>
      </c>
      <c r="AL17" s="3" t="s">
        <v>470</v>
      </c>
    </row>
    <row r="18">
      <c r="E18" s="118"/>
      <c r="F18" s="118"/>
      <c r="G18" s="118"/>
      <c r="H18" s="118"/>
      <c r="I18" s="118"/>
      <c r="J18" s="118"/>
      <c r="O18" s="3" t="s">
        <v>1133</v>
      </c>
      <c r="Q18" s="4"/>
      <c r="R18" s="55"/>
      <c r="T18" s="361" t="s">
        <v>912</v>
      </c>
      <c r="U18" s="362">
        <f t="shared" ref="U18:X18" si="12">AVERAGE(U12:U16)</f>
        <v>76</v>
      </c>
      <c r="V18" s="362">
        <f t="shared" si="12"/>
        <v>68</v>
      </c>
      <c r="W18" s="362">
        <f t="shared" si="12"/>
        <v>70.6</v>
      </c>
      <c r="X18" s="363">
        <f t="shared" si="12"/>
        <v>64</v>
      </c>
      <c r="Z18" s="361" t="s">
        <v>912</v>
      </c>
      <c r="AA18" s="362">
        <f t="shared" ref="AA18:AD18" si="13">AVERAGE(AA12:AA16)</f>
        <v>64.75</v>
      </c>
      <c r="AB18" s="362">
        <f t="shared" si="13"/>
        <v>64.75</v>
      </c>
      <c r="AC18" s="362">
        <f t="shared" si="13"/>
        <v>64.75</v>
      </c>
      <c r="AD18" s="363">
        <f t="shared" si="13"/>
        <v>64.75</v>
      </c>
      <c r="AF18" s="4"/>
      <c r="AG18" s="4">
        <v>-100.0</v>
      </c>
      <c r="AH18" s="4">
        <v>-200.0</v>
      </c>
      <c r="AI18" s="4">
        <v>-300.0</v>
      </c>
      <c r="AJ18" s="4">
        <v>-200.0</v>
      </c>
      <c r="AK18" s="4">
        <v>12.0</v>
      </c>
      <c r="AL18" s="3" t="s">
        <v>469</v>
      </c>
    </row>
    <row r="19">
      <c r="E19" s="118"/>
      <c r="F19" s="118"/>
      <c r="G19" s="118"/>
      <c r="H19" s="118"/>
      <c r="I19" s="118"/>
      <c r="J19" s="118"/>
      <c r="O19" s="4" t="s">
        <v>340</v>
      </c>
      <c r="P19" s="4" t="s">
        <v>171</v>
      </c>
      <c r="Q19" s="4" t="s">
        <v>343</v>
      </c>
      <c r="R19" s="4" t="s">
        <v>581</v>
      </c>
      <c r="S19" s="364"/>
      <c r="T19" s="364"/>
      <c r="U19" s="365">
        <v>45747.0</v>
      </c>
      <c r="V19" s="365">
        <f t="shared" ref="V19:X19" si="14">EOMONTH(U19,3)</f>
        <v>45838</v>
      </c>
      <c r="W19" s="365">
        <f t="shared" si="14"/>
        <v>45930</v>
      </c>
      <c r="X19" s="365">
        <f t="shared" si="14"/>
        <v>46022</v>
      </c>
      <c r="Z19" s="364"/>
      <c r="AA19" s="365">
        <v>45747.0</v>
      </c>
      <c r="AB19" s="365">
        <f t="shared" ref="AB19:AD19" si="15">EOMONTH(AA19,3)</f>
        <v>45838</v>
      </c>
      <c r="AC19" s="365">
        <f t="shared" si="15"/>
        <v>45930</v>
      </c>
      <c r="AD19" s="365">
        <f t="shared" si="15"/>
        <v>46022</v>
      </c>
    </row>
    <row r="20">
      <c r="E20" s="118"/>
      <c r="F20" s="118"/>
      <c r="G20" s="118"/>
      <c r="H20" s="118"/>
      <c r="I20" s="118"/>
      <c r="J20" s="118"/>
      <c r="M20" s="308"/>
      <c r="N20" s="4" t="s">
        <v>62</v>
      </c>
      <c r="O20" s="232">
        <v>83.5</v>
      </c>
      <c r="P20" s="346">
        <v>80.0</v>
      </c>
      <c r="Q20" s="236">
        <v>78.9</v>
      </c>
      <c r="R20" s="226">
        <f t="shared" ref="R20:R23" si="16">AVERAGE(O20:Q20)</f>
        <v>80.8</v>
      </c>
      <c r="S20" s="366" t="s">
        <v>1011</v>
      </c>
      <c r="T20" s="367" t="s">
        <v>786</v>
      </c>
      <c r="U20" s="368"/>
      <c r="V20" s="348"/>
      <c r="W20" s="348">
        <v>85.0</v>
      </c>
      <c r="X20" s="349">
        <v>84.0</v>
      </c>
      <c r="Y20" s="3" t="s">
        <v>1134</v>
      </c>
      <c r="Z20" s="367" t="s">
        <v>786</v>
      </c>
      <c r="AA20" s="348">
        <v>82.0</v>
      </c>
      <c r="AB20" s="348">
        <v>85.0</v>
      </c>
      <c r="AC20" s="348">
        <v>93.0</v>
      </c>
      <c r="AD20" s="349">
        <v>99.0</v>
      </c>
    </row>
    <row r="21">
      <c r="E21" s="118"/>
      <c r="F21" s="118"/>
      <c r="G21" s="118"/>
      <c r="H21" s="118"/>
      <c r="I21" s="118"/>
      <c r="J21" s="118"/>
      <c r="M21" s="309"/>
      <c r="N21" s="4" t="s">
        <v>28</v>
      </c>
      <c r="O21" s="232">
        <v>68.2</v>
      </c>
      <c r="P21" s="232">
        <v>64.4</v>
      </c>
      <c r="Q21" s="236">
        <v>69.5</v>
      </c>
      <c r="R21" s="226">
        <f t="shared" si="16"/>
        <v>67.36666667</v>
      </c>
      <c r="S21" s="53"/>
      <c r="T21" s="352" t="s">
        <v>468</v>
      </c>
      <c r="U21" s="353">
        <v>93.0</v>
      </c>
      <c r="V21" s="353">
        <v>81.0</v>
      </c>
      <c r="W21" s="354">
        <v>82.0</v>
      </c>
      <c r="X21" s="355">
        <v>85.0</v>
      </c>
      <c r="Y21" s="3" t="s">
        <v>1135</v>
      </c>
      <c r="Z21" s="352" t="s">
        <v>468</v>
      </c>
      <c r="AA21" s="354">
        <v>82.0</v>
      </c>
      <c r="AB21" s="354">
        <v>85.0</v>
      </c>
      <c r="AC21" s="354">
        <v>87.0</v>
      </c>
      <c r="AD21" s="355">
        <v>90.0</v>
      </c>
    </row>
    <row r="22">
      <c r="E22" s="118"/>
      <c r="F22" s="118"/>
      <c r="G22" s="118"/>
      <c r="H22" s="118"/>
      <c r="I22" s="118"/>
      <c r="J22" s="118"/>
      <c r="M22" s="309"/>
      <c r="N22" s="4" t="s">
        <v>582</v>
      </c>
      <c r="O22" s="232">
        <v>55.9</v>
      </c>
      <c r="P22" s="232">
        <v>53.3</v>
      </c>
      <c r="Q22" s="236">
        <v>57.1</v>
      </c>
      <c r="R22" s="226">
        <f t="shared" si="16"/>
        <v>55.43333333</v>
      </c>
      <c r="S22" s="369"/>
      <c r="T22" s="352" t="s">
        <v>469</v>
      </c>
      <c r="U22" s="353">
        <v>93.0</v>
      </c>
      <c r="V22" s="353">
        <v>81.0</v>
      </c>
      <c r="W22" s="354">
        <v>82.0</v>
      </c>
      <c r="X22" s="356">
        <v>85.0</v>
      </c>
      <c r="Y22" s="3" t="s">
        <v>1136</v>
      </c>
      <c r="Z22" s="352" t="s">
        <v>469</v>
      </c>
      <c r="AA22" s="354">
        <v>82.0</v>
      </c>
      <c r="AB22" s="354">
        <v>85.0</v>
      </c>
      <c r="AC22" s="354">
        <v>90.0</v>
      </c>
      <c r="AD22" s="356">
        <v>95.0</v>
      </c>
      <c r="AG22" s="345">
        <v>45863.0</v>
      </c>
      <c r="AH22" s="4" t="s">
        <v>983</v>
      </c>
      <c r="AI22" s="345">
        <v>45954.0</v>
      </c>
      <c r="AJ22" s="345">
        <v>46010.0</v>
      </c>
    </row>
    <row r="23">
      <c r="E23" s="118"/>
      <c r="F23" s="118"/>
      <c r="G23" s="118"/>
      <c r="H23" s="118"/>
      <c r="I23" s="118"/>
      <c r="J23" s="118"/>
      <c r="M23" s="309"/>
      <c r="N23" s="4" t="s">
        <v>583</v>
      </c>
      <c r="O23" s="112">
        <f t="shared" ref="O23:Q23" si="17">O21-O22</f>
        <v>12.3</v>
      </c>
      <c r="P23" s="112">
        <f t="shared" si="17"/>
        <v>11.1</v>
      </c>
      <c r="Q23" s="112">
        <f t="shared" si="17"/>
        <v>12.4</v>
      </c>
      <c r="R23" s="226">
        <f t="shared" si="16"/>
        <v>11.93333333</v>
      </c>
      <c r="S23" s="369"/>
      <c r="T23" s="352" t="s">
        <v>470</v>
      </c>
      <c r="U23" s="353">
        <v>93.0</v>
      </c>
      <c r="V23" s="353">
        <v>81.0</v>
      </c>
      <c r="W23" s="354">
        <v>85.0</v>
      </c>
      <c r="X23" s="356">
        <v>84.0</v>
      </c>
      <c r="Y23" s="3" t="s">
        <v>1137</v>
      </c>
      <c r="Z23" s="352" t="s">
        <v>470</v>
      </c>
      <c r="AA23" s="354">
        <v>82.0</v>
      </c>
      <c r="AB23" s="354">
        <v>85.0</v>
      </c>
      <c r="AC23" s="354">
        <v>93.0</v>
      </c>
      <c r="AD23" s="356">
        <v>99.0</v>
      </c>
      <c r="AG23" s="4">
        <v>18.0</v>
      </c>
      <c r="AH23" s="4">
        <v>17.0</v>
      </c>
      <c r="AI23" s="4">
        <v>15.0</v>
      </c>
      <c r="AJ23" s="4">
        <v>14.0</v>
      </c>
    </row>
    <row r="24">
      <c r="E24" s="118"/>
      <c r="F24" s="118"/>
      <c r="G24" s="118"/>
      <c r="H24" s="118"/>
      <c r="I24" s="118"/>
      <c r="J24" s="118"/>
      <c r="M24" s="309"/>
      <c r="N24" s="308">
        <v>1.035</v>
      </c>
      <c r="S24" s="364"/>
      <c r="T24" s="357" t="s">
        <v>906</v>
      </c>
      <c r="U24" s="353">
        <v>93.0</v>
      </c>
      <c r="V24" s="353">
        <v>81.0</v>
      </c>
      <c r="W24" s="354">
        <v>85.0</v>
      </c>
      <c r="X24" s="356">
        <v>84.0</v>
      </c>
      <c r="Z24" s="357" t="s">
        <v>906</v>
      </c>
      <c r="AA24" s="354">
        <v>82.0</v>
      </c>
      <c r="AB24" s="354">
        <v>85.0</v>
      </c>
      <c r="AC24" s="354">
        <v>93.0</v>
      </c>
      <c r="AD24" s="356">
        <v>99.0</v>
      </c>
      <c r="AG24" s="4">
        <v>18.0</v>
      </c>
      <c r="AH24" s="4">
        <v>16.0</v>
      </c>
      <c r="AI24" s="4">
        <v>15.0</v>
      </c>
      <c r="AJ24" s="4">
        <v>14.0</v>
      </c>
    </row>
    <row r="25">
      <c r="E25" s="118"/>
      <c r="F25" s="118"/>
      <c r="G25" s="118"/>
      <c r="H25" s="118"/>
      <c r="I25" s="118"/>
      <c r="J25" s="118"/>
      <c r="M25" s="308"/>
      <c r="N25" s="308">
        <v>80.0</v>
      </c>
      <c r="S25" s="370"/>
      <c r="T25" s="358" t="s">
        <v>908</v>
      </c>
      <c r="U25" s="353">
        <v>93.0</v>
      </c>
      <c r="V25" s="353">
        <v>81.0</v>
      </c>
      <c r="W25" s="354">
        <v>82.0</v>
      </c>
      <c r="X25" s="356">
        <v>85.0</v>
      </c>
      <c r="Z25" s="358" t="s">
        <v>908</v>
      </c>
      <c r="AA25" s="354">
        <v>82.0</v>
      </c>
      <c r="AB25" s="354">
        <v>85.0</v>
      </c>
      <c r="AC25" s="354">
        <v>90.0</v>
      </c>
      <c r="AD25" s="356">
        <v>95.0</v>
      </c>
    </row>
    <row r="26">
      <c r="A26" s="3"/>
      <c r="B26" s="12"/>
      <c r="C26" s="12"/>
      <c r="D26" s="13"/>
      <c r="E26" s="13"/>
      <c r="F26" s="13"/>
      <c r="G26" s="13"/>
      <c r="H26" s="13"/>
      <c r="I26" s="13"/>
      <c r="J26" s="13"/>
      <c r="M26" s="308"/>
      <c r="N26" s="309">
        <v>67.6</v>
      </c>
      <c r="S26" s="370"/>
      <c r="T26" s="358" t="s">
        <v>910</v>
      </c>
      <c r="U26" s="359">
        <f t="shared" ref="U26:X26" si="18">AVERAGE(U21:U23)</f>
        <v>93</v>
      </c>
      <c r="V26" s="359">
        <f t="shared" si="18"/>
        <v>81</v>
      </c>
      <c r="W26" s="359">
        <f t="shared" si="18"/>
        <v>83</v>
      </c>
      <c r="X26" s="360">
        <f t="shared" si="18"/>
        <v>84.66666667</v>
      </c>
      <c r="Z26" s="358" t="s">
        <v>910</v>
      </c>
      <c r="AA26" s="359">
        <f t="shared" ref="AA26:AD26" si="19">AVERAGE(AA21:AA23)</f>
        <v>82</v>
      </c>
      <c r="AB26" s="359">
        <f t="shared" si="19"/>
        <v>85</v>
      </c>
      <c r="AC26" s="359">
        <f t="shared" si="19"/>
        <v>90</v>
      </c>
      <c r="AD26" s="360">
        <f t="shared" si="19"/>
        <v>94.66666667</v>
      </c>
    </row>
    <row r="27">
      <c r="S27" s="55"/>
      <c r="T27" s="361" t="s">
        <v>912</v>
      </c>
      <c r="U27" s="362">
        <f t="shared" ref="U27:X27" si="20">AVERAGE(U21:U25)</f>
        <v>93</v>
      </c>
      <c r="V27" s="362">
        <f t="shared" si="20"/>
        <v>81</v>
      </c>
      <c r="W27" s="362">
        <f t="shared" si="20"/>
        <v>83.2</v>
      </c>
      <c r="X27" s="363">
        <f t="shared" si="20"/>
        <v>84.6</v>
      </c>
      <c r="Z27" s="361" t="s">
        <v>912</v>
      </c>
      <c r="AA27" s="362">
        <f t="shared" ref="AA27:AD27" si="21">AVERAGE(AA21:AA25)</f>
        <v>82</v>
      </c>
      <c r="AB27" s="362">
        <f t="shared" si="21"/>
        <v>85</v>
      </c>
      <c r="AC27" s="362">
        <f t="shared" si="21"/>
        <v>90.6</v>
      </c>
      <c r="AD27" s="363">
        <f t="shared" si="21"/>
        <v>95.6</v>
      </c>
    </row>
    <row r="28">
      <c r="Q28" s="4"/>
      <c r="R28" s="55"/>
      <c r="S28" s="366" t="s">
        <v>81</v>
      </c>
      <c r="T28" s="371" t="s">
        <v>786</v>
      </c>
      <c r="U28" s="372"/>
      <c r="V28" s="372"/>
      <c r="W28" s="372"/>
      <c r="X28" s="373">
        <v>3.6</v>
      </c>
      <c r="Y28" s="99" t="s">
        <v>1138</v>
      </c>
      <c r="Z28" s="371" t="s">
        <v>786</v>
      </c>
      <c r="AA28" s="372"/>
      <c r="AB28" s="372"/>
      <c r="AC28" s="372"/>
      <c r="AD28" s="373">
        <v>5.1</v>
      </c>
    </row>
    <row r="29">
      <c r="O29" s="4" t="s">
        <v>345</v>
      </c>
      <c r="P29" s="4" t="s">
        <v>347</v>
      </c>
      <c r="Q29" s="4" t="s">
        <v>348</v>
      </c>
      <c r="R29" s="4" t="s">
        <v>581</v>
      </c>
      <c r="S29" s="53"/>
      <c r="T29" s="374" t="s">
        <v>468</v>
      </c>
      <c r="U29" s="53"/>
      <c r="V29" s="53"/>
      <c r="W29" s="53"/>
      <c r="X29" s="376">
        <v>7.2</v>
      </c>
      <c r="Y29" s="99" t="s">
        <v>1017</v>
      </c>
      <c r="Z29" s="374" t="s">
        <v>468</v>
      </c>
      <c r="AA29" s="53"/>
      <c r="AB29" s="53"/>
      <c r="AC29" s="53"/>
      <c r="AD29" s="376">
        <v>4.5</v>
      </c>
    </row>
    <row r="30">
      <c r="M30" s="308"/>
      <c r="N30" s="4" t="s">
        <v>62</v>
      </c>
      <c r="O30" s="236"/>
      <c r="P30" s="236"/>
      <c r="Q30" s="24"/>
      <c r="R30" s="226" t="str">
        <f t="shared" ref="R30:R33" si="22">AVERAGE(O30:Q30)</f>
        <v>#DIV/0!</v>
      </c>
      <c r="S30" s="53"/>
      <c r="T30" s="352" t="s">
        <v>469</v>
      </c>
      <c r="U30" s="53"/>
      <c r="V30" s="53"/>
      <c r="W30" s="53"/>
      <c r="X30" s="376">
        <v>5.5</v>
      </c>
      <c r="Y30" s="99" t="s">
        <v>1139</v>
      </c>
      <c r="Z30" s="352" t="s">
        <v>469</v>
      </c>
      <c r="AA30" s="53"/>
      <c r="AB30" s="53"/>
      <c r="AC30" s="53"/>
      <c r="AD30" s="376">
        <v>5.0</v>
      </c>
      <c r="AE30" s="99" t="s">
        <v>1140</v>
      </c>
    </row>
    <row r="31">
      <c r="M31" s="309"/>
      <c r="N31" s="4" t="s">
        <v>28</v>
      </c>
      <c r="O31" s="236">
        <v>77.0</v>
      </c>
      <c r="P31" s="236">
        <v>70.0</v>
      </c>
      <c r="Q31" s="116">
        <v>65.0</v>
      </c>
      <c r="R31" s="226">
        <f t="shared" si="22"/>
        <v>70.66666667</v>
      </c>
      <c r="S31" s="53"/>
      <c r="T31" s="374" t="s">
        <v>470</v>
      </c>
      <c r="U31" s="53"/>
      <c r="V31" s="53"/>
      <c r="W31" s="53"/>
      <c r="X31" s="376">
        <v>4.0</v>
      </c>
      <c r="Y31" s="99" t="s">
        <v>1141</v>
      </c>
      <c r="Z31" s="374" t="s">
        <v>470</v>
      </c>
      <c r="AA31" s="53"/>
      <c r="AB31" s="53"/>
      <c r="AC31" s="53"/>
      <c r="AD31" s="376">
        <v>5.1</v>
      </c>
      <c r="AE31" s="99" t="s">
        <v>1142</v>
      </c>
    </row>
    <row r="32">
      <c r="M32" s="309"/>
      <c r="N32" s="4" t="s">
        <v>582</v>
      </c>
      <c r="O32" s="311"/>
      <c r="P32" s="236"/>
      <c r="Q32" s="236"/>
      <c r="R32" s="226" t="str">
        <f t="shared" si="22"/>
        <v>#DIV/0!</v>
      </c>
      <c r="S32" s="377"/>
      <c r="T32" s="358" t="s">
        <v>906</v>
      </c>
      <c r="U32" s="55"/>
      <c r="V32" s="55"/>
      <c r="W32" s="55"/>
      <c r="X32" s="376">
        <v>6.2</v>
      </c>
      <c r="Y32" s="3" t="s">
        <v>1143</v>
      </c>
      <c r="Z32" s="358" t="s">
        <v>906</v>
      </c>
      <c r="AA32" s="55"/>
      <c r="AB32" s="55"/>
      <c r="AC32" s="55"/>
      <c r="AD32" s="376">
        <v>5.1</v>
      </c>
    </row>
    <row r="33">
      <c r="M33" s="309"/>
      <c r="N33" s="4" t="s">
        <v>583</v>
      </c>
      <c r="O33" s="117">
        <f t="shared" ref="O33:Q33" si="23">O31-O32</f>
        <v>77</v>
      </c>
      <c r="P33" s="112">
        <f t="shared" si="23"/>
        <v>70</v>
      </c>
      <c r="Q33" s="117">
        <f t="shared" si="23"/>
        <v>65</v>
      </c>
      <c r="R33" s="226">
        <f t="shared" si="22"/>
        <v>70.66666667</v>
      </c>
      <c r="S33" s="377"/>
      <c r="T33" s="358" t="s">
        <v>908</v>
      </c>
      <c r="U33" s="55"/>
      <c r="V33" s="55"/>
      <c r="W33" s="55"/>
      <c r="X33" s="376">
        <v>6.0</v>
      </c>
      <c r="Z33" s="358" t="s">
        <v>908</v>
      </c>
      <c r="AA33" s="55"/>
      <c r="AB33" s="55"/>
      <c r="AC33" s="55"/>
      <c r="AD33" s="376">
        <v>5.1</v>
      </c>
    </row>
    <row r="34">
      <c r="M34" s="309"/>
      <c r="N34" s="308">
        <v>1.035</v>
      </c>
      <c r="S34" s="377"/>
      <c r="T34" s="378" t="s">
        <v>910</v>
      </c>
      <c r="U34" s="55"/>
      <c r="V34" s="55"/>
      <c r="W34" s="55"/>
      <c r="X34" s="379">
        <f>AVERAGE(X29:X31)</f>
        <v>5.566666667</v>
      </c>
      <c r="Z34" s="378" t="s">
        <v>910</v>
      </c>
      <c r="AA34" s="55"/>
      <c r="AB34" s="55"/>
      <c r="AC34" s="55"/>
      <c r="AD34" s="379">
        <f>AVERAGE(AD29:AD31)</f>
        <v>4.866666667</v>
      </c>
    </row>
    <row r="35">
      <c r="M35" s="308"/>
      <c r="N35" s="308">
        <v>80.0</v>
      </c>
      <c r="S35" s="53"/>
      <c r="T35" s="380" t="s">
        <v>912</v>
      </c>
      <c r="U35" s="381"/>
      <c r="V35" s="381"/>
      <c r="W35" s="382"/>
      <c r="X35" s="383">
        <f>AVERAGE(X29:X33)</f>
        <v>5.78</v>
      </c>
      <c r="Z35" s="380" t="s">
        <v>912</v>
      </c>
      <c r="AA35" s="381"/>
      <c r="AB35" s="381"/>
      <c r="AC35" s="382"/>
      <c r="AD35" s="383">
        <f>AVERAGE(AD29:AD33)</f>
        <v>4.96</v>
      </c>
    </row>
    <row r="36">
      <c r="M36" s="308"/>
      <c r="N36" s="309">
        <v>67.6</v>
      </c>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388">
        <v>17.0</v>
      </c>
      <c r="X37" s="389">
        <v>15.0</v>
      </c>
      <c r="Z37" s="386" t="s">
        <v>468</v>
      </c>
      <c r="AA37" s="388">
        <v>14.0</v>
      </c>
      <c r="AB37" s="388">
        <v>13.0</v>
      </c>
      <c r="AC37" s="388">
        <v>12.0</v>
      </c>
      <c r="AD37" s="389">
        <v>11.0</v>
      </c>
    </row>
    <row r="38">
      <c r="N38" s="31" t="s">
        <v>586</v>
      </c>
      <c r="S38" s="55"/>
      <c r="T38" s="386" t="s">
        <v>469</v>
      </c>
      <c r="U38" s="419">
        <v>21.0</v>
      </c>
      <c r="V38" s="420">
        <v>20.0</v>
      </c>
      <c r="W38" s="397">
        <v>17.0</v>
      </c>
      <c r="X38" s="398">
        <v>12.0</v>
      </c>
      <c r="Z38" s="386" t="s">
        <v>469</v>
      </c>
      <c r="AA38" s="396">
        <v>14.0</v>
      </c>
      <c r="AB38" s="396">
        <v>14.0</v>
      </c>
      <c r="AC38" s="397">
        <v>13.0</v>
      </c>
      <c r="AD38" s="398">
        <v>12.0</v>
      </c>
    </row>
    <row r="39">
      <c r="N39" s="3" t="s">
        <v>587</v>
      </c>
      <c r="Q39" s="3" t="s">
        <v>588</v>
      </c>
      <c r="S39" s="55"/>
      <c r="T39" s="386" t="s">
        <v>470</v>
      </c>
      <c r="U39" s="417">
        <v>21.0</v>
      </c>
      <c r="V39" s="421">
        <v>20.0</v>
      </c>
      <c r="W39" s="276">
        <v>17.0</v>
      </c>
      <c r="X39" s="276">
        <v>14.0</v>
      </c>
      <c r="Y39" s="3" t="s">
        <v>1043</v>
      </c>
      <c r="Z39" s="386" t="s">
        <v>470</v>
      </c>
      <c r="AA39" s="388">
        <v>14.0</v>
      </c>
      <c r="AB39" s="276">
        <v>14.0</v>
      </c>
      <c r="AC39" s="276">
        <v>14.0</v>
      </c>
      <c r="AD39" s="276">
        <v>12.0</v>
      </c>
    </row>
    <row r="40">
      <c r="N40" s="3" t="s">
        <v>589</v>
      </c>
      <c r="Q40" s="3" t="s">
        <v>590</v>
      </c>
      <c r="S40" s="394"/>
      <c r="T40" s="395" t="s">
        <v>906</v>
      </c>
      <c r="U40" s="419">
        <v>21.0</v>
      </c>
      <c r="V40" s="420">
        <v>20.0</v>
      </c>
      <c r="W40" s="397">
        <v>17.0</v>
      </c>
      <c r="X40" s="398">
        <v>16.0</v>
      </c>
      <c r="Z40" s="395" t="s">
        <v>906</v>
      </c>
      <c r="AA40" s="396">
        <v>14.0</v>
      </c>
      <c r="AB40" s="396">
        <v>13.0</v>
      </c>
      <c r="AC40" s="397">
        <v>13.0</v>
      </c>
      <c r="AD40" s="398">
        <v>13.0</v>
      </c>
    </row>
    <row r="41">
      <c r="N41" s="3" t="s">
        <v>591</v>
      </c>
      <c r="Q41" s="3" t="s">
        <v>592</v>
      </c>
      <c r="S41" s="394"/>
      <c r="T41" s="395" t="s">
        <v>908</v>
      </c>
      <c r="U41" s="417"/>
      <c r="V41" s="418"/>
      <c r="W41" s="399">
        <v>17.0</v>
      </c>
      <c r="X41" s="389">
        <v>13.0</v>
      </c>
      <c r="Z41" s="395" t="s">
        <v>908</v>
      </c>
      <c r="AA41" s="388">
        <v>14.0</v>
      </c>
      <c r="AB41" s="388">
        <v>12.0</v>
      </c>
      <c r="AC41" s="399">
        <v>12.0</v>
      </c>
      <c r="AD41" s="422">
        <v>13.0</v>
      </c>
    </row>
    <row r="42">
      <c r="N42" s="3" t="s">
        <v>593</v>
      </c>
      <c r="Q42" s="3" t="s">
        <v>594</v>
      </c>
      <c r="S42" s="394"/>
      <c r="T42" s="400" t="s">
        <v>910</v>
      </c>
      <c r="U42" s="359">
        <f t="shared" ref="U42:X42" si="24">AVERAGE(U37:U39)</f>
        <v>21</v>
      </c>
      <c r="V42" s="359">
        <f t="shared" si="24"/>
        <v>20</v>
      </c>
      <c r="W42" s="359">
        <f t="shared" si="24"/>
        <v>17</v>
      </c>
      <c r="X42" s="360">
        <f t="shared" si="24"/>
        <v>13.66666667</v>
      </c>
      <c r="Z42" s="400" t="s">
        <v>910</v>
      </c>
      <c r="AA42" s="359">
        <f t="shared" ref="AA42:AD42" si="25">AVERAGE(AA37:AA39)</f>
        <v>14</v>
      </c>
      <c r="AB42" s="359">
        <f t="shared" si="25"/>
        <v>13.66666667</v>
      </c>
      <c r="AC42" s="359">
        <f t="shared" si="25"/>
        <v>13</v>
      </c>
      <c r="AD42" s="360">
        <f t="shared" si="25"/>
        <v>11.66666667</v>
      </c>
    </row>
    <row r="43">
      <c r="N43" s="3" t="s">
        <v>595</v>
      </c>
      <c r="Q43" s="3" t="s">
        <v>596</v>
      </c>
      <c r="S43" s="55"/>
      <c r="T43" s="401" t="s">
        <v>912</v>
      </c>
      <c r="U43" s="362">
        <f t="shared" ref="U43:X43" si="26">AVERAGE(U37:U41)</f>
        <v>21</v>
      </c>
      <c r="V43" s="362">
        <f t="shared" si="26"/>
        <v>20</v>
      </c>
      <c r="W43" s="362">
        <f t="shared" si="26"/>
        <v>17</v>
      </c>
      <c r="X43" s="363">
        <f t="shared" si="26"/>
        <v>14</v>
      </c>
      <c r="Z43" s="401" t="s">
        <v>912</v>
      </c>
      <c r="AA43" s="362">
        <f t="shared" ref="AA43:AD43" si="27">AVERAGE(AA37:AA41)</f>
        <v>14</v>
      </c>
      <c r="AB43" s="362">
        <f t="shared" si="27"/>
        <v>13.2</v>
      </c>
      <c r="AC43" s="362">
        <f t="shared" si="27"/>
        <v>12.8</v>
      </c>
      <c r="AD43" s="363">
        <f t="shared" si="27"/>
        <v>12.2</v>
      </c>
    </row>
    <row r="44">
      <c r="N44" s="3" t="s">
        <v>597</v>
      </c>
      <c r="Q44" s="3" t="s">
        <v>598</v>
      </c>
      <c r="S44" s="384" t="s">
        <v>78</v>
      </c>
      <c r="T44" s="402" t="s">
        <v>786</v>
      </c>
      <c r="U44" s="403"/>
      <c r="V44" s="403"/>
      <c r="W44" s="403"/>
      <c r="X44" s="412">
        <v>1.4</v>
      </c>
      <c r="Z44" s="402" t="s">
        <v>786</v>
      </c>
      <c r="AA44" s="403"/>
      <c r="AB44" s="403"/>
      <c r="AC44" s="403"/>
      <c r="AD44" s="412">
        <v>5.0</v>
      </c>
    </row>
    <row r="45">
      <c r="N45" s="3" t="s">
        <v>599</v>
      </c>
      <c r="Q45" s="3" t="s">
        <v>600</v>
      </c>
      <c r="S45" s="55"/>
      <c r="T45" s="405" t="s">
        <v>468</v>
      </c>
      <c r="U45" s="55"/>
      <c r="V45" s="55"/>
      <c r="W45" s="55"/>
      <c r="X45" s="376">
        <v>2.0</v>
      </c>
      <c r="Z45" s="405" t="s">
        <v>468</v>
      </c>
      <c r="AA45" s="55"/>
      <c r="AB45" s="55"/>
      <c r="AC45" s="55"/>
      <c r="AD45" s="376">
        <v>3.0</v>
      </c>
    </row>
    <row r="46">
      <c r="S46" s="55"/>
      <c r="T46" s="405" t="s">
        <v>469</v>
      </c>
      <c r="U46" s="55"/>
      <c r="V46" s="55"/>
      <c r="W46" s="55"/>
      <c r="X46" s="375">
        <v>0.0</v>
      </c>
      <c r="Z46" s="405" t="s">
        <v>469</v>
      </c>
      <c r="AA46" s="55"/>
      <c r="AB46" s="55"/>
      <c r="AC46" s="55"/>
      <c r="AD46" s="376">
        <v>2.0</v>
      </c>
    </row>
    <row r="47">
      <c r="N47" s="3" t="s">
        <v>601</v>
      </c>
      <c r="Q47" s="3" t="s">
        <v>602</v>
      </c>
      <c r="S47" s="55"/>
      <c r="T47" s="405" t="s">
        <v>470</v>
      </c>
      <c r="U47" s="55"/>
      <c r="V47" s="55"/>
      <c r="W47" s="55"/>
      <c r="X47" s="376">
        <v>1.4</v>
      </c>
      <c r="Z47" s="405" t="s">
        <v>470</v>
      </c>
      <c r="AA47" s="55"/>
      <c r="AB47" s="55"/>
      <c r="AC47" s="55"/>
      <c r="AD47" s="376">
        <v>3.5</v>
      </c>
    </row>
    <row r="48">
      <c r="Q48" s="3" t="s">
        <v>603</v>
      </c>
      <c r="S48" s="394"/>
      <c r="T48" s="407" t="s">
        <v>906</v>
      </c>
      <c r="U48" s="55"/>
      <c r="V48" s="55"/>
      <c r="W48" s="55"/>
      <c r="X48" s="376">
        <v>0.8</v>
      </c>
      <c r="Z48" s="407" t="s">
        <v>906</v>
      </c>
      <c r="AA48" s="55"/>
      <c r="AB48" s="55"/>
      <c r="AC48" s="55"/>
      <c r="AD48" s="376">
        <v>3.0</v>
      </c>
    </row>
    <row r="49">
      <c r="N49" s="3" t="s">
        <v>604</v>
      </c>
      <c r="S49" s="394"/>
      <c r="T49" s="407" t="s">
        <v>908</v>
      </c>
      <c r="U49" s="55"/>
      <c r="V49" s="408"/>
      <c r="W49" s="408"/>
      <c r="X49" s="376">
        <v>0.8</v>
      </c>
      <c r="Z49" s="407" t="s">
        <v>908</v>
      </c>
      <c r="AA49" s="55"/>
      <c r="AB49" s="408"/>
      <c r="AC49" s="408"/>
      <c r="AD49" s="376">
        <v>2.0</v>
      </c>
    </row>
    <row r="50">
      <c r="R50" s="3" t="s">
        <v>605</v>
      </c>
      <c r="S50" s="394"/>
      <c r="T50" s="409" t="s">
        <v>910</v>
      </c>
      <c r="U50" s="55"/>
      <c r="V50" s="53"/>
      <c r="W50" s="55"/>
      <c r="X50" s="379">
        <f>AVERAGE(X45:X47)</f>
        <v>1.133333333</v>
      </c>
      <c r="Z50" s="409" t="s">
        <v>910</v>
      </c>
      <c r="AA50" s="55"/>
      <c r="AB50" s="53"/>
      <c r="AC50" s="55"/>
      <c r="AD50" s="379">
        <f>AVERAGE(AD45:AD47)</f>
        <v>2.833333333</v>
      </c>
    </row>
    <row r="51">
      <c r="N51" s="3" t="s">
        <v>606</v>
      </c>
      <c r="R51" s="3" t="s">
        <v>607</v>
      </c>
      <c r="S51" s="55"/>
      <c r="T51" s="361" t="s">
        <v>912</v>
      </c>
      <c r="U51" s="382"/>
      <c r="V51" s="410"/>
      <c r="W51" s="410"/>
      <c r="X51" s="383">
        <f>AVERAGE(X45:X49)</f>
        <v>1</v>
      </c>
      <c r="Z51" s="361" t="s">
        <v>912</v>
      </c>
      <c r="AA51" s="382"/>
      <c r="AB51" s="410"/>
      <c r="AC51" s="410"/>
      <c r="AD51" s="383">
        <f>AVERAGE(AD45:AD49)</f>
        <v>2.7</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1144</v>
      </c>
      <c r="Q55" s="3" t="s">
        <v>1145</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1146</v>
      </c>
    </row>
    <row r="64">
      <c r="Q64" s="3" t="s">
        <v>623</v>
      </c>
    </row>
    <row r="65">
      <c r="Q65" s="3" t="s">
        <v>616</v>
      </c>
    </row>
    <row r="66">
      <c r="Q66" s="3" t="s">
        <v>618</v>
      </c>
    </row>
    <row r="68">
      <c r="P68" s="218" t="s">
        <v>619</v>
      </c>
      <c r="Q68" s="31" t="s">
        <v>624</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45863.0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265">
        <v>83.0</v>
      </c>
      <c r="X3" s="266">
        <v>85.0</v>
      </c>
      <c r="Y3" s="258">
        <f t="shared" ref="Y3:Y7" si="3">AVERAGE(U3:X3)</f>
        <v>85.45</v>
      </c>
      <c r="Z3" s="266">
        <v>82.0</v>
      </c>
      <c r="AA3" s="266">
        <v>85.0</v>
      </c>
      <c r="AB3" s="266">
        <v>90.0</v>
      </c>
      <c r="AC3" s="266">
        <v>95.0</v>
      </c>
      <c r="AD3" s="258">
        <f t="shared" ref="AD3:AD7" si="4">AVERAGE(Z3:AC3)</f>
        <v>88</v>
      </c>
      <c r="AF3" s="3" t="s">
        <v>1124</v>
      </c>
      <c r="AI3" s="3" t="s">
        <v>1125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64">
        <v>68.0</v>
      </c>
      <c r="W4" s="264">
        <v>70.0</v>
      </c>
      <c r="X4" s="264">
        <v>64.0</v>
      </c>
      <c r="Y4" s="258">
        <f t="shared" si="3"/>
        <v>69.45</v>
      </c>
      <c r="Z4" s="264">
        <v>65.0</v>
      </c>
      <c r="AA4" s="264">
        <v>65.0</v>
      </c>
      <c r="AB4" s="264">
        <v>65.0</v>
      </c>
      <c r="AC4" s="264">
        <v>65.0</v>
      </c>
      <c r="AD4" s="258">
        <f t="shared" si="4"/>
        <v>65</v>
      </c>
      <c r="AF4" s="3" t="s">
        <v>1126</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64">
        <f t="shared" ref="V5:X5" si="5">V4-V6</f>
        <v>56</v>
      </c>
      <c r="W5" s="264">
        <f t="shared" si="5"/>
        <v>58</v>
      </c>
      <c r="X5" s="264">
        <f t="shared" si="5"/>
        <v>54</v>
      </c>
      <c r="Y5" s="248">
        <f t="shared" si="3"/>
        <v>57.9</v>
      </c>
      <c r="Z5" s="264">
        <f t="shared" ref="Z5:AC5" si="6">Z4-Z6</f>
        <v>55</v>
      </c>
      <c r="AA5" s="264">
        <f t="shared" si="6"/>
        <v>55</v>
      </c>
      <c r="AB5" s="264">
        <f t="shared" si="6"/>
        <v>55</v>
      </c>
      <c r="AC5" s="264">
        <f t="shared" si="6"/>
        <v>55</v>
      </c>
      <c r="AD5" s="248">
        <f t="shared" si="4"/>
        <v>55</v>
      </c>
      <c r="AF5" s="3" t="s">
        <v>1127</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64">
        <v>12.0</v>
      </c>
      <c r="W6" s="264">
        <v>12.0</v>
      </c>
      <c r="X6" s="264">
        <v>10.0</v>
      </c>
      <c r="Y6" s="258">
        <f t="shared" si="3"/>
        <v>11.55</v>
      </c>
      <c r="Z6" s="264">
        <v>10.0</v>
      </c>
      <c r="AA6" s="264">
        <v>10.0</v>
      </c>
      <c r="AB6" s="264">
        <v>10.0</v>
      </c>
      <c r="AC6" s="264">
        <v>10.0</v>
      </c>
      <c r="AD6" s="258">
        <f t="shared" si="4"/>
        <v>10</v>
      </c>
      <c r="AF6" s="3" t="s">
        <v>1128</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68">
        <v>8.2</v>
      </c>
      <c r="X7" s="267">
        <v>5.6</v>
      </c>
      <c r="Y7" s="258">
        <f t="shared" si="3"/>
        <v>8.375</v>
      </c>
      <c r="Z7" s="267">
        <v>4.4</v>
      </c>
      <c r="AA7" s="267">
        <v>4.3</v>
      </c>
      <c r="AB7" s="267">
        <v>4.5</v>
      </c>
      <c r="AC7" s="267">
        <v>4.9</v>
      </c>
      <c r="AD7" s="258">
        <f t="shared" si="4"/>
        <v>4.525</v>
      </c>
      <c r="AF7" s="99" t="s">
        <v>1129</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0">
        <v>16.0</v>
      </c>
      <c r="X8" s="269">
        <v>14.0</v>
      </c>
      <c r="Y8" s="258">
        <v>18.7</v>
      </c>
      <c r="Z8" s="269">
        <v>14.0</v>
      </c>
      <c r="AA8" s="269">
        <v>14.0</v>
      </c>
      <c r="AB8" s="269">
        <v>13.0</v>
      </c>
      <c r="AC8" s="269">
        <v>12.0</v>
      </c>
      <c r="AD8" s="258">
        <v>13.5</v>
      </c>
      <c r="AF8" s="3" t="s">
        <v>1130</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-0.1388716677</v>
      </c>
      <c r="Z10" s="343">
        <v>2026.0</v>
      </c>
      <c r="AA10" s="348" t="s">
        <v>1120</v>
      </c>
      <c r="AB10" s="348" t="s">
        <v>1121</v>
      </c>
      <c r="AC10" s="348" t="s">
        <v>1122</v>
      </c>
      <c r="AD10" s="349" t="s">
        <v>1123</v>
      </c>
    </row>
    <row r="11">
      <c r="E11" s="114"/>
      <c r="F11" s="115"/>
      <c r="G11" s="115"/>
      <c r="H11" s="115"/>
      <c r="I11" s="112" t="s">
        <v>406</v>
      </c>
      <c r="J11" s="112" t="s">
        <v>406</v>
      </c>
      <c r="Q11" s="4" t="s">
        <v>949</v>
      </c>
      <c r="S11" s="350" t="s">
        <v>1006</v>
      </c>
      <c r="T11" s="351" t="s">
        <v>54</v>
      </c>
      <c r="U11" s="348"/>
      <c r="V11" s="348"/>
      <c r="W11" s="411">
        <v>76.5</v>
      </c>
      <c r="X11" s="412">
        <v>73.0</v>
      </c>
      <c r="Y11" s="3" t="s">
        <v>1029</v>
      </c>
      <c r="Z11" s="351" t="s">
        <v>54</v>
      </c>
      <c r="AA11" s="348">
        <v>72.0</v>
      </c>
      <c r="AB11" s="348">
        <v>71.0</v>
      </c>
      <c r="AC11" s="411">
        <v>70.0</v>
      </c>
      <c r="AD11" s="412">
        <v>70.0</v>
      </c>
    </row>
    <row r="12">
      <c r="E12" s="114" t="s">
        <v>241</v>
      </c>
      <c r="F12" s="115" t="s">
        <v>242</v>
      </c>
      <c r="G12" s="115" t="s">
        <v>242</v>
      </c>
      <c r="H12" s="115" t="s">
        <v>194</v>
      </c>
      <c r="I12" s="115" t="s">
        <v>148</v>
      </c>
      <c r="P12" s="218" t="s">
        <v>1147</v>
      </c>
      <c r="Q12" s="242">
        <v>72.0</v>
      </c>
      <c r="T12" s="352" t="s">
        <v>468</v>
      </c>
      <c r="U12" s="353">
        <v>76.0</v>
      </c>
      <c r="V12" s="353">
        <v>68.0</v>
      </c>
      <c r="W12" s="354">
        <v>69.0</v>
      </c>
      <c r="X12" s="355">
        <v>63.0</v>
      </c>
      <c r="Z12" s="352" t="s">
        <v>468</v>
      </c>
      <c r="AA12" s="354">
        <v>65.0</v>
      </c>
      <c r="AB12" s="354">
        <v>65.0</v>
      </c>
      <c r="AC12" s="354">
        <v>65.0</v>
      </c>
      <c r="AD12" s="354">
        <v>65.0</v>
      </c>
    </row>
    <row r="13">
      <c r="C13" s="4">
        <v>5.7</v>
      </c>
      <c r="D13" s="4">
        <v>6.5</v>
      </c>
      <c r="E13" s="62">
        <v>7.4</v>
      </c>
      <c r="F13" s="54">
        <v>8.1</v>
      </c>
      <c r="G13" s="54"/>
      <c r="H13" s="62"/>
      <c r="I13" s="62"/>
      <c r="J13" s="62"/>
      <c r="P13" s="218" t="s">
        <v>469</v>
      </c>
      <c r="Q13" s="242">
        <v>70.0</v>
      </c>
      <c r="T13" s="352" t="s">
        <v>469</v>
      </c>
      <c r="U13" s="353">
        <v>76.0</v>
      </c>
      <c r="V13" s="353">
        <v>68.0</v>
      </c>
      <c r="W13" s="354">
        <v>70.0</v>
      </c>
      <c r="X13" s="356">
        <v>65.0</v>
      </c>
      <c r="Z13" s="352" t="s">
        <v>469</v>
      </c>
      <c r="AA13" s="354">
        <v>64.0</v>
      </c>
      <c r="AB13" s="354">
        <v>64.0</v>
      </c>
      <c r="AC13" s="354">
        <v>64.0</v>
      </c>
      <c r="AD13" s="354">
        <v>64.0</v>
      </c>
      <c r="AG13" s="3" t="s">
        <v>1009</v>
      </c>
    </row>
    <row r="14">
      <c r="D14" s="111"/>
      <c r="E14" s="117"/>
      <c r="F14" s="112"/>
      <c r="G14" s="112"/>
      <c r="H14" s="112"/>
      <c r="I14" s="117"/>
      <c r="J14" s="112"/>
      <c r="P14" s="218" t="s">
        <v>470</v>
      </c>
      <c r="Q14" s="242">
        <v>70.0</v>
      </c>
      <c r="T14" s="352" t="s">
        <v>470</v>
      </c>
      <c r="U14" s="353">
        <v>76.0</v>
      </c>
      <c r="V14" s="353">
        <v>68.0</v>
      </c>
      <c r="W14" s="354">
        <v>71.0</v>
      </c>
      <c r="X14" s="355">
        <v>65.0</v>
      </c>
      <c r="Z14" s="352" t="s">
        <v>470</v>
      </c>
      <c r="AA14" s="354">
        <v>65.0</v>
      </c>
      <c r="AB14" s="354">
        <v>65.0</v>
      </c>
      <c r="AC14" s="354">
        <v>65.0</v>
      </c>
      <c r="AD14" s="354">
        <v>65.0</v>
      </c>
      <c r="AE14" s="4" t="s">
        <v>1132</v>
      </c>
      <c r="AF14" s="4" t="s">
        <v>81</v>
      </c>
      <c r="AG14" s="345">
        <v>45863.0</v>
      </c>
      <c r="AH14" s="4" t="s">
        <v>983</v>
      </c>
      <c r="AI14" s="345">
        <v>45954.0</v>
      </c>
      <c r="AJ14" s="345">
        <v>46010.0</v>
      </c>
    </row>
    <row r="15">
      <c r="D15" s="111"/>
      <c r="E15" s="117"/>
      <c r="F15" s="112"/>
      <c r="G15" s="112"/>
      <c r="H15" s="112"/>
      <c r="I15" s="117"/>
      <c r="J15" s="112"/>
      <c r="Q15" s="54"/>
      <c r="R15" s="54"/>
      <c r="T15" s="357" t="s">
        <v>906</v>
      </c>
      <c r="U15" s="353">
        <v>76.0</v>
      </c>
      <c r="V15" s="353">
        <v>68.0</v>
      </c>
      <c r="W15" s="354">
        <v>70.0</v>
      </c>
      <c r="X15" s="356">
        <v>65.0</v>
      </c>
      <c r="Z15" s="357" t="s">
        <v>906</v>
      </c>
      <c r="AA15" s="354">
        <v>65.0</v>
      </c>
      <c r="AB15" s="354">
        <v>65.0</v>
      </c>
      <c r="AC15" s="354">
        <v>65.0</v>
      </c>
      <c r="AD15" s="354">
        <v>65.0</v>
      </c>
      <c r="AE15" s="4" t="s">
        <v>81</v>
      </c>
      <c r="AF15" s="41">
        <v>0.07</v>
      </c>
      <c r="AG15" s="4">
        <v>19.0</v>
      </c>
      <c r="AH15" s="4">
        <v>18.0</v>
      </c>
      <c r="AI15" s="4">
        <v>17.0</v>
      </c>
      <c r="AJ15" s="4">
        <v>17.0</v>
      </c>
    </row>
    <row r="16">
      <c r="D16" s="111" t="s">
        <v>241</v>
      </c>
      <c r="E16" s="117">
        <v>7.0</v>
      </c>
      <c r="F16" s="112">
        <v>7.3</v>
      </c>
      <c r="G16" s="112"/>
      <c r="H16" s="112"/>
      <c r="I16" s="117"/>
      <c r="J16" s="112"/>
      <c r="Q16" s="54"/>
      <c r="R16" s="54"/>
      <c r="T16" s="358" t="s">
        <v>908</v>
      </c>
      <c r="U16" s="353">
        <v>76.0</v>
      </c>
      <c r="V16" s="353">
        <v>68.0</v>
      </c>
      <c r="W16" s="354">
        <v>73.0</v>
      </c>
      <c r="X16" s="356">
        <v>62.0</v>
      </c>
      <c r="Z16" s="358" t="s">
        <v>908</v>
      </c>
      <c r="AA16" s="354"/>
      <c r="AB16" s="354"/>
      <c r="AC16" s="354"/>
      <c r="AD16" s="356"/>
      <c r="AE16" s="4" t="s">
        <v>286</v>
      </c>
      <c r="AF16" s="4">
        <v>20.0</v>
      </c>
      <c r="AG16" s="5">
        <f>(AG15-AF16)*100</f>
        <v>-100</v>
      </c>
      <c r="AH16" s="5">
        <f t="shared" ref="AH16:AJ16" si="9">(AH15-AG15)*100</f>
        <v>-100</v>
      </c>
      <c r="AI16" s="5">
        <f t="shared" si="9"/>
        <v>-100</v>
      </c>
      <c r="AJ16" s="5">
        <f t="shared" si="9"/>
        <v>0</v>
      </c>
    </row>
    <row r="17">
      <c r="C17" s="10"/>
      <c r="D17" s="10"/>
      <c r="E17" s="10"/>
      <c r="F17" s="10"/>
      <c r="G17" s="10"/>
      <c r="H17" s="10"/>
      <c r="I17" s="10"/>
      <c r="J17" s="10"/>
      <c r="Q17" s="54"/>
      <c r="R17" s="54"/>
      <c r="T17" s="358" t="s">
        <v>910</v>
      </c>
      <c r="U17" s="359">
        <f t="shared" ref="U17:X17" si="10">AVERAGE(U12:U14)</f>
        <v>76</v>
      </c>
      <c r="V17" s="359">
        <f t="shared" si="10"/>
        <v>68</v>
      </c>
      <c r="W17" s="359">
        <f t="shared" si="10"/>
        <v>70</v>
      </c>
      <c r="X17" s="360">
        <f t="shared" si="10"/>
        <v>64.33333333</v>
      </c>
      <c r="Z17" s="358" t="s">
        <v>910</v>
      </c>
      <c r="AA17" s="359">
        <f t="shared" ref="AA17:AD17" si="11">AVERAGE(AA12:AA14)</f>
        <v>64.66666667</v>
      </c>
      <c r="AB17" s="359">
        <f t="shared" si="11"/>
        <v>64.66666667</v>
      </c>
      <c r="AC17" s="359">
        <f t="shared" si="11"/>
        <v>64.66666667</v>
      </c>
      <c r="AD17" s="360">
        <f t="shared" si="11"/>
        <v>64.66666667</v>
      </c>
      <c r="AE17" s="35">
        <f>47</f>
        <v>47</v>
      </c>
      <c r="AG17" s="4">
        <v>-100.0</v>
      </c>
      <c r="AH17" s="4">
        <v>-200.0</v>
      </c>
      <c r="AI17" s="4">
        <v>-200.0</v>
      </c>
      <c r="AJ17" s="4">
        <v>-100.0</v>
      </c>
      <c r="AK17" s="4">
        <v>14.0</v>
      </c>
      <c r="AL17" s="3" t="s">
        <v>470</v>
      </c>
    </row>
    <row r="18">
      <c r="E18" s="118"/>
      <c r="F18" s="118"/>
      <c r="G18" s="118"/>
      <c r="H18" s="118"/>
      <c r="I18" s="118"/>
      <c r="J18" s="118"/>
      <c r="O18" s="3" t="s">
        <v>1133</v>
      </c>
      <c r="Q18" s="4"/>
      <c r="R18" s="55"/>
      <c r="T18" s="361" t="s">
        <v>912</v>
      </c>
      <c r="U18" s="362">
        <f t="shared" ref="U18:X18" si="12">AVERAGE(U12:U16)</f>
        <v>76</v>
      </c>
      <c r="V18" s="362">
        <f t="shared" si="12"/>
        <v>68</v>
      </c>
      <c r="W18" s="362">
        <f t="shared" si="12"/>
        <v>70.6</v>
      </c>
      <c r="X18" s="363">
        <f t="shared" si="12"/>
        <v>64</v>
      </c>
      <c r="Z18" s="361" t="s">
        <v>912</v>
      </c>
      <c r="AA18" s="362">
        <f t="shared" ref="AA18:AD18" si="13">AVERAGE(AA12:AA16)</f>
        <v>64.75</v>
      </c>
      <c r="AB18" s="362">
        <f t="shared" si="13"/>
        <v>64.75</v>
      </c>
      <c r="AC18" s="362">
        <f t="shared" si="13"/>
        <v>64.75</v>
      </c>
      <c r="AD18" s="363">
        <f t="shared" si="13"/>
        <v>64.75</v>
      </c>
      <c r="AF18" s="4"/>
      <c r="AG18" s="4">
        <v>-100.0</v>
      </c>
      <c r="AH18" s="4">
        <v>-200.0</v>
      </c>
      <c r="AI18" s="4">
        <v>-300.0</v>
      </c>
      <c r="AJ18" s="4">
        <v>-200.0</v>
      </c>
      <c r="AK18" s="4">
        <v>12.0</v>
      </c>
      <c r="AL18" s="3" t="s">
        <v>469</v>
      </c>
    </row>
    <row r="19">
      <c r="E19" s="118"/>
      <c r="F19" s="118"/>
      <c r="G19" s="118"/>
      <c r="H19" s="118"/>
      <c r="I19" s="118"/>
      <c r="J19" s="118"/>
      <c r="O19" s="4" t="s">
        <v>340</v>
      </c>
      <c r="P19" s="4" t="s">
        <v>171</v>
      </c>
      <c r="Q19" s="4" t="s">
        <v>343</v>
      </c>
      <c r="R19" s="4" t="s">
        <v>581</v>
      </c>
      <c r="S19" s="364"/>
      <c r="T19" s="364"/>
      <c r="U19" s="365">
        <v>45747.0</v>
      </c>
      <c r="V19" s="365">
        <f t="shared" ref="V19:X19" si="14">EOMONTH(U19,3)</f>
        <v>45838</v>
      </c>
      <c r="W19" s="365">
        <f t="shared" si="14"/>
        <v>45930</v>
      </c>
      <c r="X19" s="365">
        <f t="shared" si="14"/>
        <v>46022</v>
      </c>
      <c r="Z19" s="364"/>
      <c r="AA19" s="365">
        <v>45747.0</v>
      </c>
      <c r="AB19" s="365">
        <f t="shared" ref="AB19:AD19" si="15">EOMONTH(AA19,3)</f>
        <v>45838</v>
      </c>
      <c r="AC19" s="365">
        <f t="shared" si="15"/>
        <v>45930</v>
      </c>
      <c r="AD19" s="365">
        <f t="shared" si="15"/>
        <v>46022</v>
      </c>
    </row>
    <row r="20">
      <c r="E20" s="118"/>
      <c r="F20" s="118"/>
      <c r="G20" s="118"/>
      <c r="H20" s="118"/>
      <c r="I20" s="118"/>
      <c r="J20" s="118"/>
      <c r="M20" s="308"/>
      <c r="N20" s="4" t="s">
        <v>62</v>
      </c>
      <c r="O20" s="232">
        <v>83.5</v>
      </c>
      <c r="P20" s="346">
        <v>80.0</v>
      </c>
      <c r="Q20" s="232">
        <v>78.7</v>
      </c>
      <c r="R20" s="226">
        <f t="shared" ref="R20:R23" si="16">AVERAGE(O20:Q20)</f>
        <v>80.73333333</v>
      </c>
      <c r="S20" s="366" t="s">
        <v>1011</v>
      </c>
      <c r="T20" s="367" t="s">
        <v>786</v>
      </c>
      <c r="U20" s="368"/>
      <c r="V20" s="348"/>
      <c r="W20" s="348">
        <v>85.0</v>
      </c>
      <c r="X20" s="349">
        <v>84.0</v>
      </c>
      <c r="Y20" s="3" t="s">
        <v>1134</v>
      </c>
      <c r="Z20" s="367" t="s">
        <v>786</v>
      </c>
      <c r="AA20" s="348">
        <v>82.0</v>
      </c>
      <c r="AB20" s="348">
        <v>85.0</v>
      </c>
      <c r="AC20" s="348">
        <v>93.0</v>
      </c>
      <c r="AD20" s="349">
        <v>99.0</v>
      </c>
    </row>
    <row r="21">
      <c r="E21" s="118"/>
      <c r="F21" s="118"/>
      <c r="G21" s="118"/>
      <c r="H21" s="118"/>
      <c r="I21" s="118"/>
      <c r="J21" s="118"/>
      <c r="M21" s="309"/>
      <c r="N21" s="4" t="s">
        <v>28</v>
      </c>
      <c r="O21" s="232">
        <v>68.2</v>
      </c>
      <c r="P21" s="232">
        <v>64.4</v>
      </c>
      <c r="Q21" s="236">
        <v>69.5</v>
      </c>
      <c r="R21" s="226">
        <f t="shared" si="16"/>
        <v>67.36666667</v>
      </c>
      <c r="S21" s="53"/>
      <c r="T21" s="352" t="s">
        <v>468</v>
      </c>
      <c r="U21" s="353">
        <v>93.0</v>
      </c>
      <c r="V21" s="353">
        <v>81.0</v>
      </c>
      <c r="W21" s="354">
        <v>82.0</v>
      </c>
      <c r="X21" s="355">
        <v>85.0</v>
      </c>
      <c r="Y21" s="3" t="s">
        <v>1135</v>
      </c>
      <c r="Z21" s="352" t="s">
        <v>468</v>
      </c>
      <c r="AA21" s="354">
        <v>82.0</v>
      </c>
      <c r="AB21" s="354">
        <v>85.0</v>
      </c>
      <c r="AC21" s="354">
        <v>87.0</v>
      </c>
      <c r="AD21" s="355">
        <v>90.0</v>
      </c>
    </row>
    <row r="22">
      <c r="E22" s="118"/>
      <c r="F22" s="118"/>
      <c r="G22" s="118"/>
      <c r="H22" s="118"/>
      <c r="I22" s="118"/>
      <c r="J22" s="118"/>
      <c r="M22" s="309"/>
      <c r="N22" s="4" t="s">
        <v>582</v>
      </c>
      <c r="O22" s="232">
        <v>55.9</v>
      </c>
      <c r="P22" s="232">
        <v>53.3</v>
      </c>
      <c r="Q22" s="232">
        <v>54.4</v>
      </c>
      <c r="R22" s="226">
        <f t="shared" si="16"/>
        <v>54.53333333</v>
      </c>
      <c r="S22" s="369"/>
      <c r="T22" s="352" t="s">
        <v>469</v>
      </c>
      <c r="U22" s="353">
        <v>93.0</v>
      </c>
      <c r="V22" s="353">
        <v>81.0</v>
      </c>
      <c r="W22" s="354">
        <v>82.0</v>
      </c>
      <c r="X22" s="356">
        <v>85.0</v>
      </c>
      <c r="Y22" s="3" t="s">
        <v>1136</v>
      </c>
      <c r="Z22" s="352" t="s">
        <v>469</v>
      </c>
      <c r="AA22" s="354">
        <v>82.0</v>
      </c>
      <c r="AB22" s="354">
        <v>85.0</v>
      </c>
      <c r="AC22" s="354">
        <v>90.0</v>
      </c>
      <c r="AD22" s="356">
        <v>95.0</v>
      </c>
      <c r="AG22" s="345">
        <v>45863.0</v>
      </c>
      <c r="AH22" s="4" t="s">
        <v>983</v>
      </c>
      <c r="AI22" s="345">
        <v>45954.0</v>
      </c>
      <c r="AJ22" s="345">
        <v>46010.0</v>
      </c>
    </row>
    <row r="23">
      <c r="E23" s="118"/>
      <c r="F23" s="118"/>
      <c r="G23" s="118"/>
      <c r="H23" s="118"/>
      <c r="I23" s="118"/>
      <c r="J23" s="118"/>
      <c r="M23" s="309"/>
      <c r="N23" s="4" t="s">
        <v>583</v>
      </c>
      <c r="O23" s="112">
        <f t="shared" ref="O23:Q23" si="17">O21-O22</f>
        <v>12.3</v>
      </c>
      <c r="P23" s="112">
        <f t="shared" si="17"/>
        <v>11.1</v>
      </c>
      <c r="Q23" s="112">
        <f t="shared" si="17"/>
        <v>15.1</v>
      </c>
      <c r="R23" s="226">
        <f t="shared" si="16"/>
        <v>12.83333333</v>
      </c>
      <c r="S23" s="369"/>
      <c r="T23" s="352" t="s">
        <v>470</v>
      </c>
      <c r="U23" s="353">
        <v>93.0</v>
      </c>
      <c r="V23" s="353">
        <v>81.0</v>
      </c>
      <c r="W23" s="354">
        <v>85.0</v>
      </c>
      <c r="X23" s="356">
        <v>84.0</v>
      </c>
      <c r="Y23" s="3" t="s">
        <v>1137</v>
      </c>
      <c r="Z23" s="352" t="s">
        <v>470</v>
      </c>
      <c r="AA23" s="354">
        <v>82.0</v>
      </c>
      <c r="AB23" s="354">
        <v>85.0</v>
      </c>
      <c r="AC23" s="354">
        <v>93.0</v>
      </c>
      <c r="AD23" s="356">
        <v>99.0</v>
      </c>
      <c r="AG23" s="4">
        <v>18.0</v>
      </c>
      <c r="AH23" s="4">
        <v>17.0</v>
      </c>
      <c r="AI23" s="4">
        <v>15.0</v>
      </c>
      <c r="AJ23" s="4">
        <v>14.0</v>
      </c>
    </row>
    <row r="24">
      <c r="E24" s="118"/>
      <c r="F24" s="118"/>
      <c r="G24" s="118"/>
      <c r="H24" s="118"/>
      <c r="I24" s="118"/>
      <c r="J24" s="118"/>
      <c r="M24" s="309"/>
      <c r="N24" s="308">
        <v>1.035</v>
      </c>
      <c r="S24" s="364"/>
      <c r="T24" s="357" t="s">
        <v>906</v>
      </c>
      <c r="U24" s="353">
        <v>93.0</v>
      </c>
      <c r="V24" s="353">
        <v>81.0</v>
      </c>
      <c r="W24" s="354">
        <v>85.0</v>
      </c>
      <c r="X24" s="356">
        <v>84.0</v>
      </c>
      <c r="Z24" s="357" t="s">
        <v>906</v>
      </c>
      <c r="AA24" s="354">
        <v>82.0</v>
      </c>
      <c r="AB24" s="354">
        <v>85.0</v>
      </c>
      <c r="AC24" s="354">
        <v>93.0</v>
      </c>
      <c r="AD24" s="356">
        <v>99.0</v>
      </c>
      <c r="AG24" s="4">
        <v>18.0</v>
      </c>
      <c r="AH24" s="4">
        <v>16.0</v>
      </c>
      <c r="AI24" s="4">
        <v>15.0</v>
      </c>
      <c r="AJ24" s="4">
        <v>14.0</v>
      </c>
    </row>
    <row r="25">
      <c r="E25" s="118"/>
      <c r="F25" s="118"/>
      <c r="G25" s="118"/>
      <c r="H25" s="118"/>
      <c r="I25" s="118"/>
      <c r="J25" s="118"/>
      <c r="M25" s="308"/>
      <c r="N25" s="308">
        <v>80.0</v>
      </c>
      <c r="S25" s="370"/>
      <c r="T25" s="358" t="s">
        <v>908</v>
      </c>
      <c r="U25" s="353">
        <v>93.0</v>
      </c>
      <c r="V25" s="353">
        <v>81.0</v>
      </c>
      <c r="W25" s="354">
        <v>82.0</v>
      </c>
      <c r="X25" s="356">
        <v>85.0</v>
      </c>
      <c r="Z25" s="358" t="s">
        <v>908</v>
      </c>
      <c r="AA25" s="354">
        <v>82.0</v>
      </c>
      <c r="AB25" s="354">
        <v>85.0</v>
      </c>
      <c r="AC25" s="354">
        <v>90.0</v>
      </c>
      <c r="AD25" s="356">
        <v>95.0</v>
      </c>
    </row>
    <row r="26">
      <c r="A26" s="3"/>
      <c r="B26" s="12"/>
      <c r="C26" s="12"/>
      <c r="D26" s="13"/>
      <c r="E26" s="13"/>
      <c r="F26" s="13"/>
      <c r="G26" s="13"/>
      <c r="H26" s="13"/>
      <c r="I26" s="13"/>
      <c r="J26" s="13"/>
      <c r="M26" s="308"/>
      <c r="N26" s="309">
        <v>67.6</v>
      </c>
      <c r="S26" s="370"/>
      <c r="T26" s="358" t="s">
        <v>910</v>
      </c>
      <c r="U26" s="359">
        <f t="shared" ref="U26:X26" si="18">AVERAGE(U21:U23)</f>
        <v>93</v>
      </c>
      <c r="V26" s="359">
        <f t="shared" si="18"/>
        <v>81</v>
      </c>
      <c r="W26" s="359">
        <f t="shared" si="18"/>
        <v>83</v>
      </c>
      <c r="X26" s="360">
        <f t="shared" si="18"/>
        <v>84.66666667</v>
      </c>
      <c r="Z26" s="358" t="s">
        <v>910</v>
      </c>
      <c r="AA26" s="359">
        <f t="shared" ref="AA26:AD26" si="19">AVERAGE(AA21:AA23)</f>
        <v>82</v>
      </c>
      <c r="AB26" s="359">
        <f t="shared" si="19"/>
        <v>85</v>
      </c>
      <c r="AC26" s="359">
        <f t="shared" si="19"/>
        <v>90</v>
      </c>
      <c r="AD26" s="360">
        <f t="shared" si="19"/>
        <v>94.66666667</v>
      </c>
    </row>
    <row r="27">
      <c r="S27" s="55"/>
      <c r="T27" s="361" t="s">
        <v>912</v>
      </c>
      <c r="U27" s="362">
        <f t="shared" ref="U27:X27" si="20">AVERAGE(U21:U25)</f>
        <v>93</v>
      </c>
      <c r="V27" s="362">
        <f t="shared" si="20"/>
        <v>81</v>
      </c>
      <c r="W27" s="362">
        <f t="shared" si="20"/>
        <v>83.2</v>
      </c>
      <c r="X27" s="363">
        <f t="shared" si="20"/>
        <v>84.6</v>
      </c>
      <c r="Z27" s="361" t="s">
        <v>912</v>
      </c>
      <c r="AA27" s="362">
        <f t="shared" ref="AA27:AD27" si="21">AVERAGE(AA21:AA25)</f>
        <v>82</v>
      </c>
      <c r="AB27" s="362">
        <f t="shared" si="21"/>
        <v>85</v>
      </c>
      <c r="AC27" s="362">
        <f t="shared" si="21"/>
        <v>90.6</v>
      </c>
      <c r="AD27" s="363">
        <f t="shared" si="21"/>
        <v>95.6</v>
      </c>
    </row>
    <row r="28">
      <c r="Q28" s="4"/>
      <c r="R28" s="55"/>
      <c r="S28" s="366" t="s">
        <v>81</v>
      </c>
      <c r="T28" s="371" t="s">
        <v>786</v>
      </c>
      <c r="U28" s="372"/>
      <c r="V28" s="372"/>
      <c r="W28" s="372"/>
      <c r="X28" s="373">
        <v>3.6</v>
      </c>
      <c r="Y28" s="99" t="s">
        <v>1138</v>
      </c>
      <c r="Z28" s="371" t="s">
        <v>786</v>
      </c>
      <c r="AA28" s="372"/>
      <c r="AB28" s="372"/>
      <c r="AC28" s="372"/>
      <c r="AD28" s="373">
        <v>5.1</v>
      </c>
    </row>
    <row r="29">
      <c r="O29" s="4" t="s">
        <v>345</v>
      </c>
      <c r="P29" s="4" t="s">
        <v>347</v>
      </c>
      <c r="Q29" s="4" t="s">
        <v>348</v>
      </c>
      <c r="R29" s="4" t="s">
        <v>581</v>
      </c>
      <c r="S29" s="53"/>
      <c r="T29" s="374" t="s">
        <v>468</v>
      </c>
      <c r="U29" s="53"/>
      <c r="V29" s="53"/>
      <c r="W29" s="53"/>
      <c r="X29" s="376">
        <v>7.2</v>
      </c>
      <c r="Y29" s="99" t="s">
        <v>1017</v>
      </c>
      <c r="Z29" s="374" t="s">
        <v>468</v>
      </c>
      <c r="AA29" s="53"/>
      <c r="AB29" s="53"/>
      <c r="AC29" s="53"/>
      <c r="AD29" s="376">
        <v>4.5</v>
      </c>
    </row>
    <row r="30">
      <c r="M30" s="308"/>
      <c r="N30" s="4" t="s">
        <v>62</v>
      </c>
      <c r="O30" s="236"/>
      <c r="P30" s="236"/>
      <c r="Q30" s="24"/>
      <c r="R30" s="226" t="str">
        <f t="shared" ref="R30:R33" si="22">AVERAGE(O30:Q30)</f>
        <v>#DIV/0!</v>
      </c>
      <c r="S30" s="53"/>
      <c r="T30" s="352" t="s">
        <v>469</v>
      </c>
      <c r="U30" s="53"/>
      <c r="V30" s="53"/>
      <c r="W30" s="53"/>
      <c r="X30" s="376">
        <v>5.5</v>
      </c>
      <c r="Y30" s="99" t="s">
        <v>1139</v>
      </c>
      <c r="Z30" s="352" t="s">
        <v>469</v>
      </c>
      <c r="AA30" s="53"/>
      <c r="AB30" s="53"/>
      <c r="AC30" s="53"/>
      <c r="AD30" s="376">
        <v>5.0</v>
      </c>
      <c r="AE30" s="99" t="s">
        <v>1140</v>
      </c>
    </row>
    <row r="31">
      <c r="M31" s="309"/>
      <c r="N31" s="4" t="s">
        <v>28</v>
      </c>
      <c r="O31" s="236">
        <v>77.0</v>
      </c>
      <c r="P31" s="236">
        <v>70.0</v>
      </c>
      <c r="Q31" s="116">
        <v>65.0</v>
      </c>
      <c r="R31" s="226">
        <f t="shared" si="22"/>
        <v>70.66666667</v>
      </c>
      <c r="S31" s="53"/>
      <c r="T31" s="374" t="s">
        <v>470</v>
      </c>
      <c r="U31" s="53"/>
      <c r="V31" s="53"/>
      <c r="W31" s="53"/>
      <c r="X31" s="376">
        <v>4.0</v>
      </c>
      <c r="Y31" s="99" t="s">
        <v>1141</v>
      </c>
      <c r="Z31" s="374" t="s">
        <v>470</v>
      </c>
      <c r="AA31" s="53"/>
      <c r="AB31" s="53"/>
      <c r="AC31" s="53"/>
      <c r="AD31" s="376">
        <v>5.1</v>
      </c>
      <c r="AE31" s="99" t="s">
        <v>1142</v>
      </c>
    </row>
    <row r="32">
      <c r="M32" s="309"/>
      <c r="N32" s="4" t="s">
        <v>582</v>
      </c>
      <c r="O32" s="311"/>
      <c r="P32" s="236"/>
      <c r="Q32" s="236"/>
      <c r="R32" s="226" t="str">
        <f t="shared" si="22"/>
        <v>#DIV/0!</v>
      </c>
      <c r="S32" s="377"/>
      <c r="T32" s="358" t="s">
        <v>906</v>
      </c>
      <c r="U32" s="55"/>
      <c r="V32" s="55"/>
      <c r="W32" s="55"/>
      <c r="X32" s="376">
        <v>6.2</v>
      </c>
      <c r="Y32" s="3" t="s">
        <v>1143</v>
      </c>
      <c r="Z32" s="358" t="s">
        <v>906</v>
      </c>
      <c r="AA32" s="55"/>
      <c r="AB32" s="55"/>
      <c r="AC32" s="55"/>
      <c r="AD32" s="376">
        <v>5.1</v>
      </c>
    </row>
    <row r="33">
      <c r="M33" s="309"/>
      <c r="N33" s="4" t="s">
        <v>583</v>
      </c>
      <c r="O33" s="117">
        <f t="shared" ref="O33:Q33" si="23">O31-O32</f>
        <v>77</v>
      </c>
      <c r="P33" s="112">
        <f t="shared" si="23"/>
        <v>70</v>
      </c>
      <c r="Q33" s="117">
        <f t="shared" si="23"/>
        <v>65</v>
      </c>
      <c r="R33" s="226">
        <f t="shared" si="22"/>
        <v>70.66666667</v>
      </c>
      <c r="S33" s="377"/>
      <c r="T33" s="358" t="s">
        <v>908</v>
      </c>
      <c r="U33" s="55"/>
      <c r="V33" s="55"/>
      <c r="W33" s="55"/>
      <c r="X33" s="376">
        <v>6.0</v>
      </c>
      <c r="Z33" s="358" t="s">
        <v>908</v>
      </c>
      <c r="AA33" s="55"/>
      <c r="AB33" s="55"/>
      <c r="AC33" s="55"/>
      <c r="AD33" s="376">
        <v>5.1</v>
      </c>
    </row>
    <row r="34">
      <c r="M34" s="309"/>
      <c r="N34" s="308">
        <v>1.035</v>
      </c>
      <c r="S34" s="377"/>
      <c r="T34" s="378" t="s">
        <v>910</v>
      </c>
      <c r="U34" s="55"/>
      <c r="V34" s="55"/>
      <c r="W34" s="55"/>
      <c r="X34" s="379">
        <f>AVERAGE(X29:X31)</f>
        <v>5.566666667</v>
      </c>
      <c r="Z34" s="378" t="s">
        <v>910</v>
      </c>
      <c r="AA34" s="55"/>
      <c r="AB34" s="55"/>
      <c r="AC34" s="55"/>
      <c r="AD34" s="379">
        <f>AVERAGE(AD29:AD31)</f>
        <v>4.866666667</v>
      </c>
    </row>
    <row r="35">
      <c r="M35" s="308"/>
      <c r="N35" s="308">
        <v>80.0</v>
      </c>
      <c r="S35" s="53"/>
      <c r="T35" s="380" t="s">
        <v>912</v>
      </c>
      <c r="U35" s="381"/>
      <c r="V35" s="381"/>
      <c r="W35" s="382"/>
      <c r="X35" s="383">
        <f>AVERAGE(X29:X33)</f>
        <v>5.78</v>
      </c>
      <c r="Z35" s="380" t="s">
        <v>912</v>
      </c>
      <c r="AA35" s="381"/>
      <c r="AB35" s="381"/>
      <c r="AC35" s="382"/>
      <c r="AD35" s="383">
        <f>AVERAGE(AD29:AD33)</f>
        <v>4.96</v>
      </c>
    </row>
    <row r="36">
      <c r="M36" s="308"/>
      <c r="N36" s="309">
        <v>67.6</v>
      </c>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388">
        <v>17.0</v>
      </c>
      <c r="X37" s="389">
        <v>15.0</v>
      </c>
      <c r="Z37" s="386" t="s">
        <v>468</v>
      </c>
      <c r="AA37" s="388">
        <v>14.0</v>
      </c>
      <c r="AB37" s="388">
        <v>13.0</v>
      </c>
      <c r="AC37" s="388">
        <v>12.0</v>
      </c>
      <c r="AD37" s="389">
        <v>11.0</v>
      </c>
    </row>
    <row r="38">
      <c r="N38" s="31" t="s">
        <v>586</v>
      </c>
      <c r="S38" s="55"/>
      <c r="T38" s="386" t="s">
        <v>469</v>
      </c>
      <c r="U38" s="419">
        <v>21.0</v>
      </c>
      <c r="V38" s="420">
        <v>20.0</v>
      </c>
      <c r="W38" s="397">
        <v>17.0</v>
      </c>
      <c r="X38" s="398">
        <v>12.0</v>
      </c>
      <c r="Z38" s="386" t="s">
        <v>469</v>
      </c>
      <c r="AA38" s="396">
        <v>14.0</v>
      </c>
      <c r="AB38" s="396">
        <v>14.0</v>
      </c>
      <c r="AC38" s="397">
        <v>13.0</v>
      </c>
      <c r="AD38" s="398">
        <v>12.0</v>
      </c>
    </row>
    <row r="39">
      <c r="N39" s="3" t="s">
        <v>587</v>
      </c>
      <c r="Q39" s="3" t="s">
        <v>588</v>
      </c>
      <c r="S39" s="55"/>
      <c r="T39" s="386" t="s">
        <v>470</v>
      </c>
      <c r="U39" s="417">
        <v>21.0</v>
      </c>
      <c r="V39" s="421">
        <v>20.0</v>
      </c>
      <c r="W39" s="276">
        <v>17.0</v>
      </c>
      <c r="X39" s="276">
        <v>14.0</v>
      </c>
      <c r="Y39" s="3" t="s">
        <v>1043</v>
      </c>
      <c r="Z39" s="386" t="s">
        <v>470</v>
      </c>
      <c r="AA39" s="388">
        <v>14.0</v>
      </c>
      <c r="AB39" s="276">
        <v>14.0</v>
      </c>
      <c r="AC39" s="276">
        <v>14.0</v>
      </c>
      <c r="AD39" s="276">
        <v>12.0</v>
      </c>
    </row>
    <row r="40">
      <c r="N40" s="3" t="s">
        <v>589</v>
      </c>
      <c r="Q40" s="3" t="s">
        <v>590</v>
      </c>
      <c r="S40" s="394"/>
      <c r="T40" s="395" t="s">
        <v>906</v>
      </c>
      <c r="U40" s="419">
        <v>21.0</v>
      </c>
      <c r="V40" s="420">
        <v>20.0</v>
      </c>
      <c r="W40" s="397">
        <v>17.0</v>
      </c>
      <c r="X40" s="398">
        <v>16.0</v>
      </c>
      <c r="Z40" s="395" t="s">
        <v>906</v>
      </c>
      <c r="AA40" s="396">
        <v>14.0</v>
      </c>
      <c r="AB40" s="396">
        <v>13.0</v>
      </c>
      <c r="AC40" s="397">
        <v>13.0</v>
      </c>
      <c r="AD40" s="398">
        <v>13.0</v>
      </c>
    </row>
    <row r="41">
      <c r="N41" s="3" t="s">
        <v>591</v>
      </c>
      <c r="Q41" s="3" t="s">
        <v>592</v>
      </c>
      <c r="S41" s="394"/>
      <c r="T41" s="395" t="s">
        <v>908</v>
      </c>
      <c r="U41" s="417"/>
      <c r="V41" s="418"/>
      <c r="W41" s="399">
        <v>17.0</v>
      </c>
      <c r="X41" s="389">
        <v>13.0</v>
      </c>
      <c r="Z41" s="395" t="s">
        <v>908</v>
      </c>
      <c r="AA41" s="388">
        <v>14.0</v>
      </c>
      <c r="AB41" s="388">
        <v>12.0</v>
      </c>
      <c r="AC41" s="399">
        <v>12.0</v>
      </c>
      <c r="AD41" s="422">
        <v>13.0</v>
      </c>
    </row>
    <row r="42">
      <c r="N42" s="3" t="s">
        <v>593</v>
      </c>
      <c r="Q42" s="3" t="s">
        <v>594</v>
      </c>
      <c r="S42" s="394"/>
      <c r="T42" s="400" t="s">
        <v>910</v>
      </c>
      <c r="U42" s="359">
        <f t="shared" ref="U42:X42" si="24">AVERAGE(U37:U39)</f>
        <v>21</v>
      </c>
      <c r="V42" s="359">
        <f t="shared" si="24"/>
        <v>20</v>
      </c>
      <c r="W42" s="359">
        <f t="shared" si="24"/>
        <v>17</v>
      </c>
      <c r="X42" s="360">
        <f t="shared" si="24"/>
        <v>13.66666667</v>
      </c>
      <c r="Z42" s="400" t="s">
        <v>910</v>
      </c>
      <c r="AA42" s="359">
        <f t="shared" ref="AA42:AD42" si="25">AVERAGE(AA37:AA39)</f>
        <v>14</v>
      </c>
      <c r="AB42" s="359">
        <f t="shared" si="25"/>
        <v>13.66666667</v>
      </c>
      <c r="AC42" s="359">
        <f t="shared" si="25"/>
        <v>13</v>
      </c>
      <c r="AD42" s="360">
        <f t="shared" si="25"/>
        <v>11.66666667</v>
      </c>
    </row>
    <row r="43">
      <c r="N43" s="3" t="s">
        <v>595</v>
      </c>
      <c r="Q43" s="3" t="s">
        <v>596</v>
      </c>
      <c r="S43" s="55"/>
      <c r="T43" s="401" t="s">
        <v>912</v>
      </c>
      <c r="U43" s="362">
        <f t="shared" ref="U43:X43" si="26">AVERAGE(U37:U41)</f>
        <v>21</v>
      </c>
      <c r="V43" s="362">
        <f t="shared" si="26"/>
        <v>20</v>
      </c>
      <c r="W43" s="362">
        <f t="shared" si="26"/>
        <v>17</v>
      </c>
      <c r="X43" s="363">
        <f t="shared" si="26"/>
        <v>14</v>
      </c>
      <c r="Z43" s="401" t="s">
        <v>912</v>
      </c>
      <c r="AA43" s="362">
        <f t="shared" ref="AA43:AD43" si="27">AVERAGE(AA37:AA41)</f>
        <v>14</v>
      </c>
      <c r="AB43" s="362">
        <f t="shared" si="27"/>
        <v>13.2</v>
      </c>
      <c r="AC43" s="362">
        <f t="shared" si="27"/>
        <v>12.8</v>
      </c>
      <c r="AD43" s="363">
        <f t="shared" si="27"/>
        <v>12.2</v>
      </c>
    </row>
    <row r="44">
      <c r="N44" s="3" t="s">
        <v>597</v>
      </c>
      <c r="Q44" s="3" t="s">
        <v>598</v>
      </c>
      <c r="S44" s="384" t="s">
        <v>78</v>
      </c>
      <c r="T44" s="402" t="s">
        <v>786</v>
      </c>
      <c r="U44" s="403"/>
      <c r="V44" s="403"/>
      <c r="W44" s="403"/>
      <c r="X44" s="412">
        <v>1.4</v>
      </c>
      <c r="Z44" s="402" t="s">
        <v>786</v>
      </c>
      <c r="AA44" s="403"/>
      <c r="AB44" s="403"/>
      <c r="AC44" s="403"/>
      <c r="AD44" s="412">
        <v>5.0</v>
      </c>
    </row>
    <row r="45">
      <c r="N45" s="3" t="s">
        <v>599</v>
      </c>
      <c r="Q45" s="3" t="s">
        <v>600</v>
      </c>
      <c r="S45" s="55"/>
      <c r="T45" s="405" t="s">
        <v>468</v>
      </c>
      <c r="U45" s="55"/>
      <c r="V45" s="55"/>
      <c r="W45" s="55"/>
      <c r="X45" s="376">
        <v>2.0</v>
      </c>
      <c r="Z45" s="405" t="s">
        <v>468</v>
      </c>
      <c r="AA45" s="55"/>
      <c r="AB45" s="55"/>
      <c r="AC45" s="55"/>
      <c r="AD45" s="376">
        <v>3.0</v>
      </c>
    </row>
    <row r="46">
      <c r="S46" s="55"/>
      <c r="T46" s="405" t="s">
        <v>469</v>
      </c>
      <c r="U46" s="55"/>
      <c r="V46" s="55"/>
      <c r="W46" s="55"/>
      <c r="X46" s="375">
        <v>0.0</v>
      </c>
      <c r="Z46" s="405" t="s">
        <v>469</v>
      </c>
      <c r="AA46" s="55"/>
      <c r="AB46" s="55"/>
      <c r="AC46" s="55"/>
      <c r="AD46" s="376">
        <v>2.0</v>
      </c>
    </row>
    <row r="47">
      <c r="N47" s="3" t="s">
        <v>601</v>
      </c>
      <c r="Q47" s="3" t="s">
        <v>602</v>
      </c>
      <c r="S47" s="55"/>
      <c r="T47" s="405" t="s">
        <v>470</v>
      </c>
      <c r="U47" s="55"/>
      <c r="V47" s="55"/>
      <c r="W47" s="55"/>
      <c r="X47" s="376">
        <v>1.4</v>
      </c>
      <c r="Z47" s="405" t="s">
        <v>470</v>
      </c>
      <c r="AA47" s="55"/>
      <c r="AB47" s="55"/>
      <c r="AC47" s="55"/>
      <c r="AD47" s="376">
        <v>3.5</v>
      </c>
    </row>
    <row r="48">
      <c r="Q48" s="3" t="s">
        <v>603</v>
      </c>
      <c r="S48" s="394"/>
      <c r="T48" s="407" t="s">
        <v>906</v>
      </c>
      <c r="U48" s="55"/>
      <c r="V48" s="55"/>
      <c r="W48" s="55"/>
      <c r="X48" s="376">
        <v>0.8</v>
      </c>
      <c r="Z48" s="407" t="s">
        <v>906</v>
      </c>
      <c r="AA48" s="55"/>
      <c r="AB48" s="55"/>
      <c r="AC48" s="55"/>
      <c r="AD48" s="376">
        <v>3.0</v>
      </c>
    </row>
    <row r="49">
      <c r="N49" s="3" t="s">
        <v>604</v>
      </c>
      <c r="S49" s="394"/>
      <c r="T49" s="407" t="s">
        <v>908</v>
      </c>
      <c r="U49" s="55"/>
      <c r="V49" s="408"/>
      <c r="W49" s="408"/>
      <c r="X49" s="376">
        <v>0.8</v>
      </c>
      <c r="Z49" s="407" t="s">
        <v>908</v>
      </c>
      <c r="AA49" s="55"/>
      <c r="AB49" s="408"/>
      <c r="AC49" s="408"/>
      <c r="AD49" s="376">
        <v>2.0</v>
      </c>
    </row>
    <row r="50">
      <c r="R50" s="3" t="s">
        <v>605</v>
      </c>
      <c r="S50" s="394"/>
      <c r="T50" s="409" t="s">
        <v>910</v>
      </c>
      <c r="U50" s="55"/>
      <c r="V50" s="53"/>
      <c r="W50" s="55"/>
      <c r="X50" s="379">
        <f>AVERAGE(X45:X47)</f>
        <v>1.133333333</v>
      </c>
      <c r="Z50" s="409" t="s">
        <v>910</v>
      </c>
      <c r="AA50" s="55"/>
      <c r="AB50" s="53"/>
      <c r="AC50" s="55"/>
      <c r="AD50" s="379">
        <f>AVERAGE(AD45:AD47)</f>
        <v>2.833333333</v>
      </c>
    </row>
    <row r="51">
      <c r="N51" s="3" t="s">
        <v>606</v>
      </c>
      <c r="R51" s="3" t="s">
        <v>607</v>
      </c>
      <c r="S51" s="55"/>
      <c r="T51" s="361" t="s">
        <v>912</v>
      </c>
      <c r="U51" s="382"/>
      <c r="V51" s="410"/>
      <c r="W51" s="410"/>
      <c r="X51" s="383">
        <f>AVERAGE(X45:X49)</f>
        <v>1</v>
      </c>
      <c r="Z51" s="361" t="s">
        <v>912</v>
      </c>
      <c r="AA51" s="382"/>
      <c r="AB51" s="410"/>
      <c r="AC51" s="410"/>
      <c r="AD51" s="383">
        <f>AVERAGE(AD45:AD49)</f>
        <v>2.7</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1148</v>
      </c>
      <c r="Q55" s="3" t="s">
        <v>1149</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1150</v>
      </c>
    </row>
    <row r="64">
      <c r="Q64" s="3" t="s">
        <v>623</v>
      </c>
    </row>
    <row r="65">
      <c r="Q65" s="3" t="s">
        <v>616</v>
      </c>
    </row>
    <row r="66">
      <c r="Q66" s="3" t="s">
        <v>618</v>
      </c>
    </row>
    <row r="68">
      <c r="P68" s="218" t="s">
        <v>619</v>
      </c>
      <c r="Q68" s="31" t="s">
        <v>624</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45896.0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265">
        <v>80.0</v>
      </c>
      <c r="X3" s="266">
        <v>82.0</v>
      </c>
      <c r="Y3" s="258">
        <f t="shared" ref="Y3:Y7" si="3">AVERAGE(U3:X3)</f>
        <v>83.95</v>
      </c>
      <c r="Z3" s="266">
        <v>79.0</v>
      </c>
      <c r="AA3" s="266">
        <v>82.0</v>
      </c>
      <c r="AB3" s="266">
        <v>88.0</v>
      </c>
      <c r="AC3" s="266">
        <v>93.0</v>
      </c>
      <c r="AD3" s="258">
        <f t="shared" ref="AD3:AD7" si="4">AVERAGE(Z3:AC3)</f>
        <v>85.5</v>
      </c>
      <c r="AF3" s="3" t="s">
        <v>1151</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64">
        <v>69.0</v>
      </c>
      <c r="X4" s="264">
        <v>65.0</v>
      </c>
      <c r="Y4" s="258">
        <f t="shared" si="3"/>
        <v>69.45</v>
      </c>
      <c r="Z4" s="264">
        <v>65.0</v>
      </c>
      <c r="AA4" s="264">
        <v>64.0</v>
      </c>
      <c r="AB4" s="264">
        <v>64.0</v>
      </c>
      <c r="AC4" s="264">
        <v>63.0</v>
      </c>
      <c r="AD4" s="258">
        <f t="shared" si="4"/>
        <v>64</v>
      </c>
      <c r="AF4" s="3" t="s">
        <v>1152</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X5" si="5">V4-V6</f>
        <v>56</v>
      </c>
      <c r="W5" s="264">
        <f t="shared" si="5"/>
        <v>56</v>
      </c>
      <c r="X5" s="264">
        <f t="shared" si="5"/>
        <v>54</v>
      </c>
      <c r="Y5" s="248">
        <f t="shared" si="3"/>
        <v>57.4</v>
      </c>
      <c r="Z5" s="264">
        <f t="shared" ref="Z5:AC5" si="6">Z4-Z6</f>
        <v>54</v>
      </c>
      <c r="AA5" s="264">
        <f t="shared" si="6"/>
        <v>53</v>
      </c>
      <c r="AB5" s="264">
        <f t="shared" si="6"/>
        <v>53</v>
      </c>
      <c r="AC5" s="264">
        <f t="shared" si="6"/>
        <v>52</v>
      </c>
      <c r="AD5" s="248">
        <f t="shared" si="4"/>
        <v>53</v>
      </c>
      <c r="AF5" s="3" t="s">
        <v>1153</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55">
        <v>12.0</v>
      </c>
      <c r="W6" s="264">
        <v>13.0</v>
      </c>
      <c r="X6" s="264">
        <v>11.0</v>
      </c>
      <c r="Y6" s="258">
        <f t="shared" si="3"/>
        <v>12.05</v>
      </c>
      <c r="Z6" s="264">
        <v>11.0</v>
      </c>
      <c r="AA6" s="264">
        <v>11.0</v>
      </c>
      <c r="AB6" s="264">
        <v>11.0</v>
      </c>
      <c r="AC6" s="264">
        <v>11.0</v>
      </c>
      <c r="AD6" s="258">
        <f t="shared" si="4"/>
        <v>11</v>
      </c>
      <c r="AF6" s="3" t="s">
        <v>1154</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68">
        <v>7.8</v>
      </c>
      <c r="X7" s="267">
        <v>5.4</v>
      </c>
      <c r="Y7" s="258">
        <f t="shared" si="3"/>
        <v>8.225</v>
      </c>
      <c r="Z7" s="267">
        <v>4.3</v>
      </c>
      <c r="AA7" s="267">
        <v>4.2</v>
      </c>
      <c r="AB7" s="267">
        <v>4.8</v>
      </c>
      <c r="AC7" s="267">
        <v>5.0</v>
      </c>
      <c r="AD7" s="258">
        <f t="shared" si="4"/>
        <v>4.575</v>
      </c>
      <c r="AF7" s="99" t="s">
        <v>1155</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0">
        <v>16.0</v>
      </c>
      <c r="X8" s="269">
        <v>13.0</v>
      </c>
      <c r="Y8" s="258">
        <v>18.5</v>
      </c>
      <c r="Z8" s="269">
        <v>13.0</v>
      </c>
      <c r="AA8" s="269">
        <v>13.0</v>
      </c>
      <c r="AB8" s="269">
        <v>12.0</v>
      </c>
      <c r="AC8" s="269">
        <v>12.0</v>
      </c>
      <c r="AD8" s="258">
        <v>12.6</v>
      </c>
      <c r="AF8" s="3" t="s">
        <v>1156</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-0.1388716677</v>
      </c>
      <c r="Z10" s="343">
        <v>2026.0</v>
      </c>
      <c r="AA10" s="348" t="s">
        <v>1120</v>
      </c>
      <c r="AB10" s="348" t="s">
        <v>1121</v>
      </c>
      <c r="AC10" s="348" t="s">
        <v>1122</v>
      </c>
      <c r="AD10" s="349" t="s">
        <v>1123</v>
      </c>
      <c r="AF10" s="3" t="s">
        <v>1157</v>
      </c>
    </row>
    <row r="11">
      <c r="E11" s="114"/>
      <c r="F11" s="115"/>
      <c r="G11" s="115"/>
      <c r="H11" s="115"/>
      <c r="I11" s="112" t="s">
        <v>406</v>
      </c>
      <c r="J11" s="112" t="s">
        <v>406</v>
      </c>
      <c r="S11" s="350" t="s">
        <v>1006</v>
      </c>
      <c r="T11" s="351" t="s">
        <v>54</v>
      </c>
      <c r="U11" s="348"/>
      <c r="V11" s="348"/>
      <c r="W11" s="411">
        <v>67.0</v>
      </c>
      <c r="X11" s="412">
        <v>66.5</v>
      </c>
      <c r="Y11" s="3" t="s">
        <v>1029</v>
      </c>
      <c r="Z11" s="351" t="s">
        <v>54</v>
      </c>
      <c r="AA11" s="411"/>
      <c r="AB11" s="411"/>
      <c r="AC11" s="411"/>
      <c r="AD11" s="412"/>
    </row>
    <row r="12">
      <c r="E12" s="114" t="s">
        <v>241</v>
      </c>
      <c r="F12" s="115" t="s">
        <v>242</v>
      </c>
      <c r="G12" s="115" t="s">
        <v>242</v>
      </c>
      <c r="H12" s="115" t="s">
        <v>194</v>
      </c>
      <c r="I12" s="115" t="s">
        <v>148</v>
      </c>
      <c r="P12" s="3" t="s">
        <v>1158</v>
      </c>
      <c r="Q12" s="4"/>
      <c r="R12" s="55"/>
      <c r="T12" s="352" t="s">
        <v>468</v>
      </c>
      <c r="U12" s="353">
        <v>76.0</v>
      </c>
      <c r="V12" s="353">
        <v>68.0</v>
      </c>
      <c r="W12" s="354">
        <v>69.0</v>
      </c>
      <c r="X12" s="355">
        <v>65.0</v>
      </c>
      <c r="Z12" s="352" t="s">
        <v>468</v>
      </c>
      <c r="AA12" s="354">
        <v>65.0</v>
      </c>
      <c r="AB12" s="354">
        <v>65.0</v>
      </c>
      <c r="AC12" s="354">
        <v>65.0</v>
      </c>
      <c r="AD12" s="354">
        <v>65.0</v>
      </c>
    </row>
    <row r="13">
      <c r="C13" s="4">
        <v>5.7</v>
      </c>
      <c r="D13" s="4">
        <v>6.5</v>
      </c>
      <c r="E13" s="62">
        <v>7.4</v>
      </c>
      <c r="F13" s="54">
        <v>8.1</v>
      </c>
      <c r="G13" s="54"/>
      <c r="H13" s="62"/>
      <c r="I13" s="62"/>
      <c r="J13" s="62"/>
      <c r="O13" s="4" t="s">
        <v>345</v>
      </c>
      <c r="P13" s="4" t="s">
        <v>347</v>
      </c>
      <c r="Q13" s="4" t="s">
        <v>348</v>
      </c>
      <c r="R13" s="4" t="s">
        <v>581</v>
      </c>
      <c r="T13" s="352" t="s">
        <v>469</v>
      </c>
      <c r="U13" s="353">
        <v>76.0</v>
      </c>
      <c r="V13" s="353">
        <v>68.0</v>
      </c>
      <c r="W13" s="354">
        <v>69.0</v>
      </c>
      <c r="X13" s="356">
        <v>65.0</v>
      </c>
      <c r="Z13" s="352" t="s">
        <v>469</v>
      </c>
      <c r="AA13" s="354">
        <v>65.0</v>
      </c>
      <c r="AB13" s="354">
        <v>63.0</v>
      </c>
      <c r="AC13" s="354">
        <v>62.0</v>
      </c>
      <c r="AD13" s="354">
        <v>60.0</v>
      </c>
      <c r="AG13" s="3" t="s">
        <v>1009</v>
      </c>
    </row>
    <row r="14">
      <c r="D14" s="111"/>
      <c r="E14" s="117"/>
      <c r="F14" s="112"/>
      <c r="G14" s="112"/>
      <c r="H14" s="112"/>
      <c r="I14" s="117"/>
      <c r="J14" s="112"/>
      <c r="N14" s="4" t="s">
        <v>62</v>
      </c>
      <c r="O14" s="423">
        <v>78.9</v>
      </c>
      <c r="P14" s="424">
        <v>80.1</v>
      </c>
      <c r="Q14" s="236">
        <v>82.0</v>
      </c>
      <c r="R14" s="226">
        <f t="shared" ref="R14:R17" si="9">AVERAGE(O14:Q14)</f>
        <v>80.33333333</v>
      </c>
      <c r="T14" s="352" t="s">
        <v>470</v>
      </c>
      <c r="U14" s="353">
        <v>76.0</v>
      </c>
      <c r="V14" s="353">
        <v>68.0</v>
      </c>
      <c r="W14" s="354">
        <v>68.0</v>
      </c>
      <c r="X14" s="355">
        <v>65.0</v>
      </c>
      <c r="Z14" s="352" t="s">
        <v>470</v>
      </c>
      <c r="AA14" s="354">
        <v>65.0</v>
      </c>
      <c r="AB14" s="354">
        <v>65.0</v>
      </c>
      <c r="AC14" s="354">
        <v>65.0</v>
      </c>
      <c r="AD14" s="354">
        <v>65.0</v>
      </c>
      <c r="AE14" s="4" t="s">
        <v>1132</v>
      </c>
      <c r="AF14" s="4" t="s">
        <v>81</v>
      </c>
      <c r="AG14" s="345">
        <v>45863.0</v>
      </c>
      <c r="AH14" s="4" t="s">
        <v>983</v>
      </c>
      <c r="AI14" s="345">
        <v>45954.0</v>
      </c>
      <c r="AJ14" s="345">
        <v>46010.0</v>
      </c>
    </row>
    <row r="15">
      <c r="D15" s="111"/>
      <c r="E15" s="117"/>
      <c r="F15" s="112"/>
      <c r="G15" s="112"/>
      <c r="H15" s="112"/>
      <c r="I15" s="117"/>
      <c r="J15" s="112"/>
      <c r="N15" s="4" t="s">
        <v>28</v>
      </c>
      <c r="O15" s="423">
        <v>71.0</v>
      </c>
      <c r="P15" s="424">
        <v>68.0</v>
      </c>
      <c r="Q15" s="236">
        <v>70.0</v>
      </c>
      <c r="R15" s="226">
        <f t="shared" si="9"/>
        <v>69.66666667</v>
      </c>
      <c r="T15" s="357" t="s">
        <v>906</v>
      </c>
      <c r="U15" s="353">
        <v>76.0</v>
      </c>
      <c r="V15" s="353">
        <v>68.0</v>
      </c>
      <c r="W15" s="354">
        <v>69.0</v>
      </c>
      <c r="X15" s="356">
        <v>65.0</v>
      </c>
      <c r="Z15" s="357" t="s">
        <v>906</v>
      </c>
      <c r="AA15" s="354">
        <v>65.0</v>
      </c>
      <c r="AB15" s="354">
        <v>65.0</v>
      </c>
      <c r="AC15" s="354">
        <v>63.0</v>
      </c>
      <c r="AD15" s="354">
        <v>63.0</v>
      </c>
      <c r="AE15" s="4" t="s">
        <v>81</v>
      </c>
      <c r="AF15" s="41">
        <v>0.07</v>
      </c>
      <c r="AG15" s="4">
        <v>19.0</v>
      </c>
      <c r="AH15" s="4">
        <v>18.0</v>
      </c>
      <c r="AI15" s="4">
        <v>17.0</v>
      </c>
      <c r="AJ15" s="4">
        <v>17.0</v>
      </c>
    </row>
    <row r="16">
      <c r="D16" s="111" t="s">
        <v>241</v>
      </c>
      <c r="E16" s="117">
        <v>7.0</v>
      </c>
      <c r="F16" s="112">
        <v>7.3</v>
      </c>
      <c r="G16" s="112"/>
      <c r="H16" s="112"/>
      <c r="I16" s="117"/>
      <c r="J16" s="112"/>
      <c r="N16" s="4" t="s">
        <v>582</v>
      </c>
      <c r="O16" s="423">
        <v>57.4</v>
      </c>
      <c r="P16" s="424">
        <v>56.1</v>
      </c>
      <c r="Q16" s="236">
        <v>58.0</v>
      </c>
      <c r="R16" s="226">
        <f t="shared" si="9"/>
        <v>57.16666667</v>
      </c>
      <c r="T16" s="358" t="s">
        <v>908</v>
      </c>
      <c r="U16" s="353">
        <v>76.0</v>
      </c>
      <c r="V16" s="353">
        <v>68.0</v>
      </c>
      <c r="W16" s="354"/>
      <c r="X16" s="356"/>
      <c r="Z16" s="358" t="s">
        <v>908</v>
      </c>
      <c r="AA16" s="354"/>
      <c r="AB16" s="354"/>
      <c r="AC16" s="354"/>
      <c r="AD16" s="356"/>
      <c r="AE16" s="4" t="s">
        <v>286</v>
      </c>
      <c r="AF16" s="4">
        <v>20.0</v>
      </c>
      <c r="AG16" s="5">
        <f>(AG15-AF16)*100</f>
        <v>-100</v>
      </c>
      <c r="AH16" s="5">
        <f t="shared" ref="AH16:AJ16" si="10">(AH15-AG15)*100</f>
        <v>-100</v>
      </c>
      <c r="AI16" s="5">
        <f t="shared" si="10"/>
        <v>-100</v>
      </c>
      <c r="AJ16" s="5">
        <f t="shared" si="10"/>
        <v>0</v>
      </c>
    </row>
    <row r="17">
      <c r="C17" s="10"/>
      <c r="D17" s="10"/>
      <c r="E17" s="10"/>
      <c r="F17" s="10"/>
      <c r="G17" s="10"/>
      <c r="H17" s="10"/>
      <c r="I17" s="10"/>
      <c r="J17" s="10"/>
      <c r="N17" s="4" t="s">
        <v>583</v>
      </c>
      <c r="O17" s="112">
        <f t="shared" ref="O17:Q17" si="11">O15-O16</f>
        <v>13.6</v>
      </c>
      <c r="P17" s="112">
        <f t="shared" si="11"/>
        <v>11.9</v>
      </c>
      <c r="Q17" s="112">
        <f t="shared" si="11"/>
        <v>12</v>
      </c>
      <c r="R17" s="226">
        <f t="shared" si="9"/>
        <v>12.5</v>
      </c>
      <c r="T17" s="358" t="s">
        <v>910</v>
      </c>
      <c r="U17" s="359">
        <f t="shared" ref="U17:X17" si="12">AVERAGE(U12:U14)</f>
        <v>76</v>
      </c>
      <c r="V17" s="359">
        <f t="shared" si="12"/>
        <v>68</v>
      </c>
      <c r="W17" s="359">
        <f t="shared" si="12"/>
        <v>68.66666667</v>
      </c>
      <c r="X17" s="360">
        <f t="shared" si="12"/>
        <v>65</v>
      </c>
      <c r="Z17" s="358" t="s">
        <v>910</v>
      </c>
      <c r="AA17" s="359">
        <f t="shared" ref="AA17:AD17" si="13">AVERAGE(AA12:AA14)</f>
        <v>65</v>
      </c>
      <c r="AB17" s="359">
        <f t="shared" si="13"/>
        <v>64.33333333</v>
      </c>
      <c r="AC17" s="359">
        <f t="shared" si="13"/>
        <v>64</v>
      </c>
      <c r="AD17" s="360">
        <f t="shared" si="13"/>
        <v>63.33333333</v>
      </c>
      <c r="AE17" s="35">
        <f>47</f>
        <v>47</v>
      </c>
      <c r="AG17" s="4">
        <v>-100.0</v>
      </c>
      <c r="AH17" s="4">
        <v>-200.0</v>
      </c>
      <c r="AI17" s="4">
        <v>-200.0</v>
      </c>
      <c r="AJ17" s="4">
        <v>-100.0</v>
      </c>
      <c r="AK17" s="4">
        <v>14.0</v>
      </c>
      <c r="AL17" s="3" t="s">
        <v>470</v>
      </c>
    </row>
    <row r="18">
      <c r="E18" s="118"/>
      <c r="F18" s="118"/>
      <c r="G18" s="118"/>
      <c r="H18" s="118"/>
      <c r="I18" s="118"/>
      <c r="J18" s="118"/>
      <c r="K18" s="425">
        <v>78.9</v>
      </c>
      <c r="L18" s="426">
        <v>80.1</v>
      </c>
      <c r="T18" s="361" t="s">
        <v>912</v>
      </c>
      <c r="U18" s="362">
        <f t="shared" ref="U18:X18" si="14">AVERAGE(U12:U16)</f>
        <v>76</v>
      </c>
      <c r="V18" s="362">
        <f t="shared" si="14"/>
        <v>68</v>
      </c>
      <c r="W18" s="362">
        <f t="shared" si="14"/>
        <v>68.75</v>
      </c>
      <c r="X18" s="363">
        <f t="shared" si="14"/>
        <v>65</v>
      </c>
      <c r="Z18" s="361" t="s">
        <v>912</v>
      </c>
      <c r="AA18" s="362">
        <f t="shared" ref="AA18:AD18" si="15">AVERAGE(AA12:AA16)</f>
        <v>65</v>
      </c>
      <c r="AB18" s="362">
        <f t="shared" si="15"/>
        <v>64.5</v>
      </c>
      <c r="AC18" s="362">
        <f t="shared" si="15"/>
        <v>63.75</v>
      </c>
      <c r="AD18" s="363">
        <f t="shared" si="15"/>
        <v>63.25</v>
      </c>
      <c r="AF18" s="4"/>
      <c r="AG18" s="4">
        <v>-100.0</v>
      </c>
      <c r="AH18" s="4">
        <v>-200.0</v>
      </c>
      <c r="AI18" s="4">
        <v>-300.0</v>
      </c>
      <c r="AJ18" s="4">
        <v>-200.0</v>
      </c>
      <c r="AK18" s="4">
        <v>12.0</v>
      </c>
      <c r="AL18" s="3" t="s">
        <v>469</v>
      </c>
    </row>
    <row r="19">
      <c r="E19" s="118"/>
      <c r="F19" s="118"/>
      <c r="G19" s="118"/>
      <c r="H19" s="118"/>
      <c r="I19" s="118"/>
      <c r="J19" s="118"/>
      <c r="K19" s="425">
        <v>10.98</v>
      </c>
      <c r="L19" s="426">
        <v>11.12</v>
      </c>
      <c r="S19" s="364"/>
      <c r="T19" s="364"/>
      <c r="U19" s="365">
        <v>45747.0</v>
      </c>
      <c r="V19" s="365">
        <f t="shared" ref="V19:X19" si="16">EOMONTH(U19,3)</f>
        <v>45838</v>
      </c>
      <c r="W19" s="365">
        <f t="shared" si="16"/>
        <v>45930</v>
      </c>
      <c r="X19" s="365">
        <f t="shared" si="16"/>
        <v>46022</v>
      </c>
      <c r="Z19" s="364"/>
      <c r="AA19" s="427">
        <v>46112.0</v>
      </c>
      <c r="AB19" s="365">
        <f t="shared" ref="AB19:AD19" si="17">EOMONTH(AA19,3)</f>
        <v>46203</v>
      </c>
      <c r="AC19" s="365">
        <f t="shared" si="17"/>
        <v>46295</v>
      </c>
      <c r="AD19" s="365">
        <f t="shared" si="17"/>
        <v>46387</v>
      </c>
    </row>
    <row r="20">
      <c r="E20" s="118"/>
      <c r="F20" s="118"/>
      <c r="G20" s="118"/>
      <c r="H20" s="118"/>
      <c r="I20" s="118"/>
      <c r="J20" s="118"/>
      <c r="K20" s="425">
        <v>7.14</v>
      </c>
      <c r="L20" s="426">
        <v>7.18</v>
      </c>
      <c r="M20" s="308"/>
      <c r="S20" s="366" t="s">
        <v>1011</v>
      </c>
      <c r="T20" s="367" t="s">
        <v>786</v>
      </c>
      <c r="U20" s="368"/>
      <c r="V20" s="348"/>
      <c r="W20" s="348">
        <v>80.0</v>
      </c>
      <c r="X20" s="349">
        <v>79.0</v>
      </c>
      <c r="Z20" s="367" t="s">
        <v>786</v>
      </c>
      <c r="AA20" s="348">
        <v>76.0</v>
      </c>
      <c r="AB20" s="348">
        <v>79.0</v>
      </c>
      <c r="AC20" s="348">
        <v>87.0</v>
      </c>
      <c r="AD20" s="349">
        <v>93.0</v>
      </c>
    </row>
    <row r="21">
      <c r="E21" s="118"/>
      <c r="F21" s="118"/>
      <c r="G21" s="118"/>
      <c r="H21" s="118"/>
      <c r="I21" s="118"/>
      <c r="J21" s="118"/>
      <c r="K21" s="425">
        <v>93.4</v>
      </c>
      <c r="L21" s="426">
        <v>93.2</v>
      </c>
      <c r="M21" s="309"/>
      <c r="S21" s="53"/>
      <c r="T21" s="352" t="s">
        <v>468</v>
      </c>
      <c r="U21" s="353">
        <v>93.0</v>
      </c>
      <c r="V21" s="353">
        <v>81.0</v>
      </c>
      <c r="W21" s="354">
        <v>80.0</v>
      </c>
      <c r="X21" s="355">
        <v>82.0</v>
      </c>
      <c r="Z21" s="352" t="s">
        <v>468</v>
      </c>
      <c r="AA21" s="354">
        <v>80.0</v>
      </c>
      <c r="AB21" s="354">
        <v>82.0</v>
      </c>
      <c r="AC21" s="354">
        <v>85.0</v>
      </c>
      <c r="AD21" s="355">
        <v>90.0</v>
      </c>
    </row>
    <row r="22">
      <c r="E22" s="118"/>
      <c r="F22" s="118"/>
      <c r="G22" s="118"/>
      <c r="H22" s="118"/>
      <c r="I22" s="118"/>
      <c r="J22" s="118"/>
      <c r="K22" s="425">
        <v>1.17</v>
      </c>
      <c r="L22" s="426">
        <v>1.16</v>
      </c>
      <c r="M22" s="309"/>
      <c r="S22" s="369"/>
      <c r="T22" s="352" t="s">
        <v>469</v>
      </c>
      <c r="U22" s="353">
        <v>93.0</v>
      </c>
      <c r="V22" s="353">
        <v>81.0</v>
      </c>
      <c r="W22" s="354">
        <v>80.0</v>
      </c>
      <c r="X22" s="356">
        <v>85.0</v>
      </c>
      <c r="Z22" s="352" t="s">
        <v>469</v>
      </c>
      <c r="AA22" s="354">
        <v>80.0</v>
      </c>
      <c r="AB22" s="354">
        <v>85.0</v>
      </c>
      <c r="AC22" s="354">
        <v>90.0</v>
      </c>
      <c r="AD22" s="356">
        <v>95.0</v>
      </c>
      <c r="AG22" s="345">
        <v>45863.0</v>
      </c>
      <c r="AH22" s="4" t="s">
        <v>983</v>
      </c>
      <c r="AI22" s="345">
        <v>45954.0</v>
      </c>
      <c r="AJ22" s="345">
        <v>46010.0</v>
      </c>
    </row>
    <row r="23">
      <c r="E23" s="118"/>
      <c r="F23" s="118"/>
      <c r="G23" s="118"/>
      <c r="H23" s="118"/>
      <c r="I23" s="118"/>
      <c r="J23" s="118"/>
      <c r="K23" s="425">
        <v>71.0</v>
      </c>
      <c r="L23" s="426">
        <v>68.0</v>
      </c>
      <c r="M23" s="309"/>
      <c r="S23" s="369"/>
      <c r="T23" s="352" t="s">
        <v>470</v>
      </c>
      <c r="U23" s="353">
        <v>93.0</v>
      </c>
      <c r="V23" s="353">
        <v>81.0</v>
      </c>
      <c r="W23" s="354">
        <v>80.0</v>
      </c>
      <c r="X23" s="356">
        <v>80.0</v>
      </c>
      <c r="Z23" s="352" t="s">
        <v>470</v>
      </c>
      <c r="AA23" s="354">
        <v>77.0</v>
      </c>
      <c r="AB23" s="354">
        <v>80.0</v>
      </c>
      <c r="AC23" s="354">
        <v>88.0</v>
      </c>
      <c r="AD23" s="356">
        <v>94.0</v>
      </c>
      <c r="AG23" s="4">
        <v>18.0</v>
      </c>
      <c r="AH23" s="4">
        <v>17.0</v>
      </c>
      <c r="AI23" s="4">
        <v>15.0</v>
      </c>
      <c r="AJ23" s="4">
        <v>14.0</v>
      </c>
    </row>
    <row r="24">
      <c r="E24" s="118"/>
      <c r="F24" s="118"/>
      <c r="G24" s="118"/>
      <c r="H24" s="118"/>
      <c r="I24" s="118"/>
      <c r="J24" s="118"/>
      <c r="K24" s="425">
        <v>57.4</v>
      </c>
      <c r="L24" s="426">
        <v>56.1</v>
      </c>
      <c r="M24" s="309"/>
      <c r="N24" s="308"/>
      <c r="S24" s="364"/>
      <c r="T24" s="357" t="s">
        <v>906</v>
      </c>
      <c r="U24" s="353">
        <v>93.0</v>
      </c>
      <c r="V24" s="353">
        <v>81.0</v>
      </c>
      <c r="W24" s="354">
        <v>80.0</v>
      </c>
      <c r="X24" s="356">
        <v>80.0</v>
      </c>
      <c r="Z24" s="357" t="s">
        <v>906</v>
      </c>
      <c r="AA24" s="354">
        <v>78.0</v>
      </c>
      <c r="AB24" s="354">
        <v>80.0</v>
      </c>
      <c r="AC24" s="354">
        <v>87.0</v>
      </c>
      <c r="AD24" s="356">
        <v>93.0</v>
      </c>
      <c r="AG24" s="4">
        <v>18.0</v>
      </c>
      <c r="AH24" s="4">
        <v>16.0</v>
      </c>
      <c r="AI24" s="4">
        <v>15.0</v>
      </c>
      <c r="AJ24" s="4">
        <v>14.0</v>
      </c>
    </row>
    <row r="25">
      <c r="E25" s="118"/>
      <c r="F25" s="118"/>
      <c r="G25" s="118"/>
      <c r="H25" s="118"/>
      <c r="I25" s="118"/>
      <c r="J25" s="118"/>
      <c r="M25" s="308"/>
      <c r="N25" s="308"/>
      <c r="S25" s="370"/>
      <c r="T25" s="358" t="s">
        <v>908</v>
      </c>
      <c r="U25" s="353">
        <v>93.0</v>
      </c>
      <c r="V25" s="353">
        <v>81.0</v>
      </c>
      <c r="W25" s="354">
        <v>80.0</v>
      </c>
      <c r="X25" s="356"/>
      <c r="Z25" s="358" t="s">
        <v>908</v>
      </c>
      <c r="AA25" s="354"/>
      <c r="AB25" s="354"/>
      <c r="AC25" s="354"/>
      <c r="AD25" s="356"/>
    </row>
    <row r="26">
      <c r="A26" s="3"/>
      <c r="B26" s="12"/>
      <c r="C26" s="12"/>
      <c r="D26" s="13"/>
      <c r="E26" s="13"/>
      <c r="F26" s="13"/>
      <c r="G26" s="13"/>
      <c r="H26" s="13"/>
      <c r="I26" s="13"/>
      <c r="J26" s="13"/>
      <c r="M26" s="308"/>
      <c r="N26" s="309"/>
      <c r="S26" s="370"/>
      <c r="T26" s="358" t="s">
        <v>910</v>
      </c>
      <c r="U26" s="359">
        <f t="shared" ref="U26:X26" si="18">AVERAGE(U21:U23)</f>
        <v>93</v>
      </c>
      <c r="V26" s="359">
        <f t="shared" si="18"/>
        <v>81</v>
      </c>
      <c r="W26" s="359">
        <f t="shared" si="18"/>
        <v>80</v>
      </c>
      <c r="X26" s="360">
        <f t="shared" si="18"/>
        <v>82.33333333</v>
      </c>
      <c r="Z26" s="358" t="s">
        <v>910</v>
      </c>
      <c r="AA26" s="359">
        <f t="shared" ref="AA26:AD26" si="19">AVERAGE(AA21:AA23)</f>
        <v>79</v>
      </c>
      <c r="AB26" s="359">
        <f t="shared" si="19"/>
        <v>82.33333333</v>
      </c>
      <c r="AC26" s="359">
        <f t="shared" si="19"/>
        <v>87.66666667</v>
      </c>
      <c r="AD26" s="360">
        <f t="shared" si="19"/>
        <v>93</v>
      </c>
    </row>
    <row r="27">
      <c r="S27" s="55"/>
      <c r="T27" s="361" t="s">
        <v>912</v>
      </c>
      <c r="U27" s="362">
        <f t="shared" ref="U27:X27" si="20">AVERAGE(U21:U25)</f>
        <v>93</v>
      </c>
      <c r="V27" s="362">
        <f t="shared" si="20"/>
        <v>81</v>
      </c>
      <c r="W27" s="362">
        <f t="shared" si="20"/>
        <v>80</v>
      </c>
      <c r="X27" s="363">
        <f t="shared" si="20"/>
        <v>81.75</v>
      </c>
      <c r="Z27" s="361" t="s">
        <v>912</v>
      </c>
      <c r="AA27" s="362">
        <f t="shared" ref="AA27:AD27" si="21">AVERAGE(AA21:AA25)</f>
        <v>78.75</v>
      </c>
      <c r="AB27" s="362">
        <f t="shared" si="21"/>
        <v>81.75</v>
      </c>
      <c r="AC27" s="362">
        <f t="shared" si="21"/>
        <v>87.5</v>
      </c>
      <c r="AD27" s="363">
        <f t="shared" si="21"/>
        <v>93</v>
      </c>
    </row>
    <row r="28">
      <c r="Q28" s="4"/>
      <c r="R28" s="55"/>
      <c r="S28" s="366" t="s">
        <v>81</v>
      </c>
      <c r="T28" s="371" t="s">
        <v>786</v>
      </c>
      <c r="U28" s="372"/>
      <c r="V28" s="372"/>
      <c r="W28" s="372"/>
      <c r="X28" s="373">
        <v>4.8</v>
      </c>
      <c r="Y28" s="99" t="s">
        <v>1159</v>
      </c>
      <c r="Z28" s="371" t="s">
        <v>786</v>
      </c>
      <c r="AA28" s="372"/>
      <c r="AB28" s="372"/>
      <c r="AC28" s="372"/>
      <c r="AD28" s="373">
        <v>5.0</v>
      </c>
    </row>
    <row r="29">
      <c r="Q29" s="4"/>
      <c r="R29" s="55"/>
      <c r="S29" s="53"/>
      <c r="T29" s="374" t="s">
        <v>468</v>
      </c>
      <c r="U29" s="53"/>
      <c r="V29" s="53"/>
      <c r="W29" s="53"/>
      <c r="X29" s="376">
        <v>6.4</v>
      </c>
      <c r="Y29" s="99" t="s">
        <v>1160</v>
      </c>
      <c r="Z29" s="374" t="s">
        <v>468</v>
      </c>
      <c r="AA29" s="53"/>
      <c r="AB29" s="53"/>
      <c r="AC29" s="53"/>
      <c r="AD29" s="376">
        <v>4.5</v>
      </c>
      <c r="AE29" s="99" t="s">
        <v>1161</v>
      </c>
    </row>
    <row r="30">
      <c r="M30" s="308"/>
      <c r="Q30" s="4"/>
      <c r="R30" s="55"/>
      <c r="S30" s="53"/>
      <c r="T30" s="352" t="s">
        <v>469</v>
      </c>
      <c r="U30" s="53"/>
      <c r="V30" s="53"/>
      <c r="W30" s="53"/>
      <c r="X30" s="376">
        <v>5.0</v>
      </c>
      <c r="Y30" s="99" t="s">
        <v>1162</v>
      </c>
      <c r="Z30" s="352" t="s">
        <v>469</v>
      </c>
      <c r="AA30" s="53"/>
      <c r="AB30" s="53"/>
      <c r="AC30" s="53"/>
      <c r="AD30" s="376">
        <v>5.0</v>
      </c>
      <c r="AE30" s="99" t="s">
        <v>1162</v>
      </c>
    </row>
    <row r="31">
      <c r="M31" s="309"/>
      <c r="Q31" s="4"/>
      <c r="R31" s="55"/>
      <c r="S31" s="53"/>
      <c r="T31" s="374" t="s">
        <v>470</v>
      </c>
      <c r="U31" s="53"/>
      <c r="V31" s="53"/>
      <c r="W31" s="53"/>
      <c r="X31" s="376">
        <v>4.8</v>
      </c>
      <c r="Y31" s="99"/>
      <c r="Z31" s="374" t="s">
        <v>470</v>
      </c>
      <c r="AA31" s="53"/>
      <c r="AB31" s="53"/>
      <c r="AC31" s="53"/>
      <c r="AD31" s="376">
        <v>5.5</v>
      </c>
      <c r="AE31" s="3" t="s">
        <v>1163</v>
      </c>
    </row>
    <row r="32">
      <c r="M32" s="309"/>
      <c r="Q32" s="4"/>
      <c r="R32" s="55"/>
      <c r="S32" s="377"/>
      <c r="T32" s="358" t="s">
        <v>906</v>
      </c>
      <c r="U32" s="55"/>
      <c r="V32" s="55"/>
      <c r="W32" s="55"/>
      <c r="X32" s="376">
        <v>6.0</v>
      </c>
      <c r="Z32" s="358" t="s">
        <v>906</v>
      </c>
      <c r="AA32" s="55"/>
      <c r="AB32" s="55"/>
      <c r="AC32" s="55"/>
      <c r="AD32" s="376">
        <v>5.6</v>
      </c>
      <c r="AE32" s="3" t="s">
        <v>1164</v>
      </c>
    </row>
    <row r="33">
      <c r="M33" s="309"/>
      <c r="Q33" s="4"/>
      <c r="R33" s="55"/>
      <c r="S33" s="377"/>
      <c r="T33" s="358" t="s">
        <v>908</v>
      </c>
      <c r="U33" s="55"/>
      <c r="V33" s="55"/>
      <c r="W33" s="55"/>
      <c r="X33" s="376"/>
      <c r="Z33" s="358" t="s">
        <v>908</v>
      </c>
      <c r="AA33" s="55"/>
      <c r="AB33" s="55"/>
      <c r="AC33" s="55"/>
      <c r="AD33" s="376"/>
    </row>
    <row r="34">
      <c r="M34" s="309"/>
      <c r="Q34" s="4"/>
      <c r="R34" s="55"/>
      <c r="S34" s="377"/>
      <c r="T34" s="378" t="s">
        <v>910</v>
      </c>
      <c r="U34" s="55"/>
      <c r="V34" s="55"/>
      <c r="W34" s="55"/>
      <c r="X34" s="379">
        <f>AVERAGE(X29:X31)</f>
        <v>5.4</v>
      </c>
      <c r="Z34" s="378" t="s">
        <v>910</v>
      </c>
      <c r="AA34" s="55"/>
      <c r="AB34" s="55"/>
      <c r="AC34" s="55"/>
      <c r="AD34" s="379">
        <f>AVERAGE(AD29:AD31)</f>
        <v>5</v>
      </c>
    </row>
    <row r="35">
      <c r="M35" s="308"/>
      <c r="Q35" s="4"/>
      <c r="R35" s="55"/>
      <c r="S35" s="53"/>
      <c r="T35" s="380" t="s">
        <v>912</v>
      </c>
      <c r="U35" s="381"/>
      <c r="V35" s="381"/>
      <c r="W35" s="382"/>
      <c r="X35" s="383">
        <f>AVERAGE(X29:X33)</f>
        <v>5.55</v>
      </c>
      <c r="Z35" s="380" t="s">
        <v>912</v>
      </c>
      <c r="AA35" s="381"/>
      <c r="AB35" s="381"/>
      <c r="AC35" s="382"/>
      <c r="AD35" s="383">
        <f>AVERAGE(AD29:AD33)</f>
        <v>5.15</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388">
        <v>16.0</v>
      </c>
      <c r="X37" s="389">
        <v>13.0</v>
      </c>
      <c r="Z37" s="386" t="s">
        <v>468</v>
      </c>
      <c r="AA37" s="388">
        <v>13.0</v>
      </c>
      <c r="AB37" s="388">
        <v>13.0</v>
      </c>
      <c r="AC37" s="388">
        <v>12.0</v>
      </c>
      <c r="AD37" s="389">
        <v>11.0</v>
      </c>
    </row>
    <row r="38">
      <c r="N38" s="31" t="s">
        <v>586</v>
      </c>
      <c r="S38" s="55"/>
      <c r="T38" s="386" t="s">
        <v>469</v>
      </c>
      <c r="U38" s="419">
        <v>21.0</v>
      </c>
      <c r="V38" s="420">
        <v>20.0</v>
      </c>
      <c r="W38" s="397">
        <v>16.0</v>
      </c>
      <c r="X38" s="398">
        <v>12.0</v>
      </c>
      <c r="Z38" s="386" t="s">
        <v>469</v>
      </c>
      <c r="AA38" s="396">
        <v>12.0</v>
      </c>
      <c r="AB38" s="396">
        <v>12.0</v>
      </c>
      <c r="AC38" s="397">
        <v>12.0</v>
      </c>
      <c r="AD38" s="398">
        <v>12.0</v>
      </c>
    </row>
    <row r="39">
      <c r="N39" s="3" t="s">
        <v>587</v>
      </c>
      <c r="Q39" s="3" t="s">
        <v>588</v>
      </c>
      <c r="S39" s="55"/>
      <c r="T39" s="386" t="s">
        <v>470</v>
      </c>
      <c r="U39" s="417">
        <v>21.0</v>
      </c>
      <c r="V39" s="421">
        <v>20.0</v>
      </c>
      <c r="W39" s="276">
        <v>16.0</v>
      </c>
      <c r="X39" s="276">
        <v>14.0</v>
      </c>
      <c r="Z39" s="386" t="s">
        <v>470</v>
      </c>
      <c r="AA39" s="388">
        <v>13.0</v>
      </c>
      <c r="AB39" s="276">
        <v>13.0</v>
      </c>
      <c r="AC39" s="276">
        <v>13.0</v>
      </c>
      <c r="AD39" s="276">
        <v>12.0</v>
      </c>
    </row>
    <row r="40">
      <c r="N40" s="3" t="s">
        <v>589</v>
      </c>
      <c r="Q40" s="3" t="s">
        <v>590</v>
      </c>
      <c r="S40" s="394"/>
      <c r="T40" s="395" t="s">
        <v>906</v>
      </c>
      <c r="U40" s="419">
        <v>21.0</v>
      </c>
      <c r="V40" s="420">
        <v>20.0</v>
      </c>
      <c r="W40" s="397">
        <v>16.0</v>
      </c>
      <c r="X40" s="398">
        <v>14.0</v>
      </c>
      <c r="Z40" s="395" t="s">
        <v>906</v>
      </c>
      <c r="AA40" s="396">
        <v>13.0</v>
      </c>
      <c r="AB40" s="396">
        <v>13.0</v>
      </c>
      <c r="AC40" s="397">
        <v>13.0</v>
      </c>
      <c r="AD40" s="398">
        <v>13.0</v>
      </c>
    </row>
    <row r="41">
      <c r="N41" s="3" t="s">
        <v>591</v>
      </c>
      <c r="Q41" s="3" t="s">
        <v>592</v>
      </c>
      <c r="S41" s="394"/>
      <c r="T41" s="395" t="s">
        <v>908</v>
      </c>
      <c r="U41" s="417"/>
      <c r="V41" s="418"/>
      <c r="W41" s="399"/>
      <c r="X41" s="389"/>
      <c r="Z41" s="395" t="s">
        <v>908</v>
      </c>
      <c r="AA41" s="388"/>
      <c r="AB41" s="388"/>
      <c r="AC41" s="399"/>
      <c r="AD41" s="399"/>
    </row>
    <row r="42">
      <c r="N42" s="3" t="s">
        <v>593</v>
      </c>
      <c r="Q42" s="3" t="s">
        <v>594</v>
      </c>
      <c r="S42" s="394"/>
      <c r="T42" s="400" t="s">
        <v>910</v>
      </c>
      <c r="U42" s="359">
        <f t="shared" ref="U42:X42" si="22">AVERAGE(U37:U39)</f>
        <v>21</v>
      </c>
      <c r="V42" s="359">
        <f t="shared" si="22"/>
        <v>20</v>
      </c>
      <c r="W42" s="359">
        <f t="shared" si="22"/>
        <v>16</v>
      </c>
      <c r="X42" s="360">
        <f t="shared" si="22"/>
        <v>13</v>
      </c>
      <c r="Z42" s="400" t="s">
        <v>910</v>
      </c>
      <c r="AA42" s="359">
        <f t="shared" ref="AA42:AD42" si="23">AVERAGE(AA37:AA39)</f>
        <v>12.66666667</v>
      </c>
      <c r="AB42" s="359">
        <f t="shared" si="23"/>
        <v>12.66666667</v>
      </c>
      <c r="AC42" s="359">
        <f t="shared" si="23"/>
        <v>12.33333333</v>
      </c>
      <c r="AD42" s="360">
        <f t="shared" si="23"/>
        <v>11.66666667</v>
      </c>
    </row>
    <row r="43">
      <c r="N43" s="3" t="s">
        <v>595</v>
      </c>
      <c r="Q43" s="3" t="s">
        <v>596</v>
      </c>
      <c r="S43" s="55"/>
      <c r="T43" s="401" t="s">
        <v>912</v>
      </c>
      <c r="U43" s="362">
        <f t="shared" ref="U43:X43" si="24">AVERAGE(U37:U41)</f>
        <v>21</v>
      </c>
      <c r="V43" s="362">
        <f t="shared" si="24"/>
        <v>20</v>
      </c>
      <c r="W43" s="362">
        <f t="shared" si="24"/>
        <v>16</v>
      </c>
      <c r="X43" s="363">
        <f t="shared" si="24"/>
        <v>13.25</v>
      </c>
      <c r="Z43" s="401" t="s">
        <v>912</v>
      </c>
      <c r="AA43" s="362">
        <f t="shared" ref="AA43:AD43" si="25">AVERAGE(AA37:AA41)</f>
        <v>12.75</v>
      </c>
      <c r="AB43" s="362">
        <f t="shared" si="25"/>
        <v>12.75</v>
      </c>
      <c r="AC43" s="362">
        <f t="shared" si="25"/>
        <v>12.5</v>
      </c>
      <c r="AD43" s="363">
        <f t="shared" si="25"/>
        <v>12</v>
      </c>
    </row>
    <row r="44">
      <c r="N44" s="3" t="s">
        <v>597</v>
      </c>
      <c r="Q44" s="3" t="s">
        <v>598</v>
      </c>
      <c r="S44" s="384" t="s">
        <v>78</v>
      </c>
      <c r="T44" s="402" t="s">
        <v>786</v>
      </c>
      <c r="U44" s="403"/>
      <c r="V44" s="403"/>
      <c r="W44" s="403"/>
      <c r="X44" s="412">
        <v>1.5</v>
      </c>
      <c r="Z44" s="402" t="s">
        <v>786</v>
      </c>
      <c r="AA44" s="403"/>
      <c r="AB44" s="403"/>
      <c r="AC44" s="403"/>
      <c r="AD44" s="412">
        <v>3.8</v>
      </c>
      <c r="AE44" s="3" t="s">
        <v>1165</v>
      </c>
    </row>
    <row r="45">
      <c r="N45" s="3" t="s">
        <v>599</v>
      </c>
      <c r="Q45" s="3" t="s">
        <v>600</v>
      </c>
      <c r="S45" s="55"/>
      <c r="T45" s="405" t="s">
        <v>468</v>
      </c>
      <c r="U45" s="55"/>
      <c r="V45" s="55"/>
      <c r="W45" s="55"/>
      <c r="X45" s="376">
        <v>1.7</v>
      </c>
      <c r="Z45" s="405" t="s">
        <v>468</v>
      </c>
      <c r="AA45" s="55"/>
      <c r="AB45" s="55"/>
      <c r="AC45" s="55"/>
      <c r="AD45" s="376">
        <v>3.0</v>
      </c>
    </row>
    <row r="46">
      <c r="S46" s="55"/>
      <c r="T46" s="405" t="s">
        <v>469</v>
      </c>
      <c r="U46" s="55"/>
      <c r="V46" s="55"/>
      <c r="W46" s="55"/>
      <c r="X46" s="376">
        <v>1.0</v>
      </c>
      <c r="Z46" s="405" t="s">
        <v>469</v>
      </c>
      <c r="AA46" s="55"/>
      <c r="AB46" s="55"/>
      <c r="AC46" s="55"/>
      <c r="AD46" s="376">
        <v>3.0</v>
      </c>
    </row>
    <row r="47">
      <c r="N47" s="3" t="s">
        <v>601</v>
      </c>
      <c r="Q47" s="3" t="s">
        <v>602</v>
      </c>
      <c r="S47" s="55"/>
      <c r="T47" s="405" t="s">
        <v>470</v>
      </c>
      <c r="U47" s="55"/>
      <c r="V47" s="55"/>
      <c r="W47" s="55"/>
      <c r="X47" s="376">
        <v>1.7</v>
      </c>
      <c r="Z47" s="405" t="s">
        <v>470</v>
      </c>
      <c r="AA47" s="55"/>
      <c r="AB47" s="55"/>
      <c r="AC47" s="55"/>
      <c r="AD47" s="376">
        <v>3.8</v>
      </c>
    </row>
    <row r="48">
      <c r="Q48" s="3" t="s">
        <v>603</v>
      </c>
      <c r="S48" s="394"/>
      <c r="T48" s="407" t="s">
        <v>906</v>
      </c>
      <c r="U48" s="55"/>
      <c r="V48" s="55"/>
      <c r="W48" s="55"/>
      <c r="X48" s="376">
        <v>1.0</v>
      </c>
      <c r="Z48" s="407" t="s">
        <v>906</v>
      </c>
      <c r="AA48" s="55"/>
      <c r="AB48" s="55"/>
      <c r="AC48" s="55"/>
      <c r="AD48" s="376">
        <v>3.0</v>
      </c>
    </row>
    <row r="49">
      <c r="N49" s="3" t="s">
        <v>604</v>
      </c>
      <c r="S49" s="394"/>
      <c r="T49" s="407" t="s">
        <v>908</v>
      </c>
      <c r="U49" s="55"/>
      <c r="V49" s="408"/>
      <c r="W49" s="408"/>
      <c r="X49" s="376"/>
      <c r="Z49" s="407" t="s">
        <v>908</v>
      </c>
      <c r="AA49" s="55"/>
      <c r="AB49" s="408"/>
      <c r="AC49" s="408"/>
      <c r="AD49" s="376"/>
    </row>
    <row r="50">
      <c r="R50" s="3" t="s">
        <v>605</v>
      </c>
      <c r="S50" s="394"/>
      <c r="T50" s="409" t="s">
        <v>910</v>
      </c>
      <c r="U50" s="55"/>
      <c r="V50" s="53"/>
      <c r="W50" s="55"/>
      <c r="X50" s="379">
        <f>AVERAGE(X45:X47)</f>
        <v>1.466666667</v>
      </c>
      <c r="Z50" s="409" t="s">
        <v>910</v>
      </c>
      <c r="AA50" s="55"/>
      <c r="AB50" s="53"/>
      <c r="AC50" s="55"/>
      <c r="AD50" s="379">
        <f>AVERAGE(AD45:AD47)</f>
        <v>3.266666667</v>
      </c>
    </row>
    <row r="51">
      <c r="N51" s="3" t="s">
        <v>606</v>
      </c>
      <c r="R51" s="3" t="s">
        <v>607</v>
      </c>
      <c r="S51" s="55"/>
      <c r="T51" s="361" t="s">
        <v>912</v>
      </c>
      <c r="U51" s="382"/>
      <c r="V51" s="410"/>
      <c r="W51" s="410"/>
      <c r="X51" s="383">
        <f>AVERAGE(X45:X49)</f>
        <v>1.35</v>
      </c>
      <c r="Z51" s="361" t="s">
        <v>912</v>
      </c>
      <c r="AA51" s="382"/>
      <c r="AB51" s="410"/>
      <c r="AC51" s="410"/>
      <c r="AD51" s="383">
        <f>AVERAGE(AD45:AD49)</f>
        <v>3.2</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1166</v>
      </c>
      <c r="Q55" s="3" t="s">
        <v>1167</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1168</v>
      </c>
    </row>
    <row r="64">
      <c r="Q64" s="3" t="s">
        <v>623</v>
      </c>
    </row>
    <row r="65">
      <c r="Q65" s="3" t="s">
        <v>616</v>
      </c>
    </row>
    <row r="66">
      <c r="Q66" s="3" t="s">
        <v>618</v>
      </c>
    </row>
    <row r="68">
      <c r="P68" s="218" t="s">
        <v>619</v>
      </c>
      <c r="Q68" s="31" t="s">
        <v>624</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45924.0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265">
        <v>81.0</v>
      </c>
      <c r="X3" s="266">
        <v>85.0</v>
      </c>
      <c r="Y3" s="258">
        <f t="shared" ref="Y3:Y7" si="3">AVERAGE(U3:X3)</f>
        <v>84.95</v>
      </c>
      <c r="Z3" s="266">
        <v>81.0</v>
      </c>
      <c r="AA3" s="266">
        <v>84.0</v>
      </c>
      <c r="AB3" s="266">
        <v>90.0</v>
      </c>
      <c r="AC3" s="266">
        <v>95.0</v>
      </c>
      <c r="AD3" s="258">
        <f t="shared" ref="AD3:AD7" si="4">AVERAGE(Z3:AC3)</f>
        <v>87.5</v>
      </c>
      <c r="AF3" s="3" t="s">
        <v>1169</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64">
        <v>69.0</v>
      </c>
      <c r="X4" s="264">
        <v>65.0</v>
      </c>
      <c r="Y4" s="258">
        <f t="shared" si="3"/>
        <v>69.45</v>
      </c>
      <c r="Z4" s="264">
        <v>65.0</v>
      </c>
      <c r="AA4" s="264">
        <v>64.0</v>
      </c>
      <c r="AB4" s="264">
        <v>64.0</v>
      </c>
      <c r="AC4" s="264">
        <v>63.0</v>
      </c>
      <c r="AD4" s="258">
        <f t="shared" si="4"/>
        <v>64</v>
      </c>
      <c r="AF4" s="3" t="s">
        <v>1170</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X5" si="5">V4-V6</f>
        <v>56</v>
      </c>
      <c r="W5" s="264">
        <f t="shared" si="5"/>
        <v>56</v>
      </c>
      <c r="X5" s="264">
        <f t="shared" si="5"/>
        <v>54</v>
      </c>
      <c r="Y5" s="248">
        <f t="shared" si="3"/>
        <v>57.4</v>
      </c>
      <c r="Z5" s="264">
        <f t="shared" ref="Z5:AC5" si="6">Z4-Z6</f>
        <v>54</v>
      </c>
      <c r="AA5" s="264">
        <f t="shared" si="6"/>
        <v>53</v>
      </c>
      <c r="AB5" s="264">
        <f t="shared" si="6"/>
        <v>53</v>
      </c>
      <c r="AC5" s="264">
        <f t="shared" si="6"/>
        <v>52</v>
      </c>
      <c r="AD5" s="248">
        <f t="shared" si="4"/>
        <v>53</v>
      </c>
      <c r="AF5" s="3" t="s">
        <v>1171</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55">
        <v>12.0</v>
      </c>
      <c r="W6" s="264">
        <v>13.0</v>
      </c>
      <c r="X6" s="264">
        <v>11.0</v>
      </c>
      <c r="Y6" s="258">
        <f t="shared" si="3"/>
        <v>12.05</v>
      </c>
      <c r="Z6" s="264">
        <v>11.0</v>
      </c>
      <c r="AA6" s="264">
        <v>11.0</v>
      </c>
      <c r="AB6" s="264">
        <v>11.0</v>
      </c>
      <c r="AC6" s="264">
        <v>11.0</v>
      </c>
      <c r="AD6" s="258">
        <f t="shared" si="4"/>
        <v>11</v>
      </c>
      <c r="AF6" s="3" t="s">
        <v>1172</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68">
        <v>8.0</v>
      </c>
      <c r="X7" s="267">
        <v>6.2</v>
      </c>
      <c r="Y7" s="258">
        <f t="shared" si="3"/>
        <v>8.475</v>
      </c>
      <c r="Z7" s="267">
        <v>5.7</v>
      </c>
      <c r="AA7" s="267">
        <v>5.6</v>
      </c>
      <c r="AB7" s="267">
        <v>5.5</v>
      </c>
      <c r="AC7" s="267">
        <v>5.9</v>
      </c>
      <c r="AD7" s="258">
        <f t="shared" si="4"/>
        <v>5.675</v>
      </c>
      <c r="AF7" s="99" t="s">
        <v>1173</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0">
        <v>17.0</v>
      </c>
      <c r="X8" s="269">
        <v>17.0</v>
      </c>
      <c r="Y8" s="258">
        <v>19.2</v>
      </c>
      <c r="Z8" s="269">
        <v>16.0</v>
      </c>
      <c r="AA8" s="269">
        <v>15.0</v>
      </c>
      <c r="AB8" s="269">
        <v>15.0</v>
      </c>
      <c r="AC8" s="269">
        <v>14.0</v>
      </c>
      <c r="AD8" s="258">
        <v>15.5</v>
      </c>
      <c r="AF8" s="3" t="s">
        <v>1174</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-0.1388716677</v>
      </c>
      <c r="Z10" s="343">
        <v>2026.0</v>
      </c>
      <c r="AA10" s="348" t="s">
        <v>1120</v>
      </c>
      <c r="AB10" s="348" t="s">
        <v>1121</v>
      </c>
      <c r="AC10" s="348" t="s">
        <v>1122</v>
      </c>
      <c r="AD10" s="349" t="s">
        <v>1123</v>
      </c>
      <c r="AF10" s="3" t="s">
        <v>1175</v>
      </c>
    </row>
    <row r="11">
      <c r="E11" s="114"/>
      <c r="F11" s="115"/>
      <c r="G11" s="115"/>
      <c r="H11" s="115"/>
      <c r="I11" s="112" t="s">
        <v>406</v>
      </c>
      <c r="J11" s="112" t="s">
        <v>406</v>
      </c>
      <c r="S11" s="350" t="s">
        <v>1006</v>
      </c>
      <c r="T11" s="351" t="s">
        <v>54</v>
      </c>
      <c r="U11" s="348"/>
      <c r="V11" s="348"/>
      <c r="W11" s="411"/>
      <c r="X11" s="412">
        <v>68.0</v>
      </c>
      <c r="Y11" s="3" t="s">
        <v>1029</v>
      </c>
      <c r="Z11" s="351" t="s">
        <v>54</v>
      </c>
      <c r="AA11" s="411">
        <v>67.0</v>
      </c>
      <c r="AB11" s="411">
        <v>66.5</v>
      </c>
      <c r="AC11" s="411">
        <v>66.0</v>
      </c>
      <c r="AD11" s="412">
        <v>66.0</v>
      </c>
      <c r="AF11" s="3" t="s">
        <v>1176</v>
      </c>
    </row>
    <row r="12">
      <c r="E12" s="114" t="s">
        <v>241</v>
      </c>
      <c r="F12" s="115" t="s">
        <v>242</v>
      </c>
      <c r="G12" s="115" t="s">
        <v>242</v>
      </c>
      <c r="H12" s="115" t="s">
        <v>194</v>
      </c>
      <c r="I12" s="115" t="s">
        <v>148</v>
      </c>
      <c r="O12" s="3" t="s">
        <v>1177</v>
      </c>
      <c r="P12" s="3" t="s">
        <v>1178</v>
      </c>
      <c r="Q12" s="4"/>
      <c r="R12" s="55"/>
      <c r="T12" s="352" t="s">
        <v>468</v>
      </c>
      <c r="U12" s="353">
        <v>76.0</v>
      </c>
      <c r="V12" s="353">
        <v>68.0</v>
      </c>
      <c r="W12" s="354">
        <v>69.0</v>
      </c>
      <c r="X12" s="355">
        <v>65.0</v>
      </c>
      <c r="Z12" s="352" t="s">
        <v>468</v>
      </c>
      <c r="AA12" s="354">
        <v>65.0</v>
      </c>
      <c r="AB12" s="354">
        <v>65.0</v>
      </c>
      <c r="AC12" s="354">
        <v>65.0</v>
      </c>
      <c r="AD12" s="354">
        <v>65.0</v>
      </c>
      <c r="AF12" s="3" t="s">
        <v>1179</v>
      </c>
    </row>
    <row r="13">
      <c r="C13" s="4">
        <v>5.7</v>
      </c>
      <c r="D13" s="4">
        <v>6.5</v>
      </c>
      <c r="E13" s="62">
        <v>7.4</v>
      </c>
      <c r="F13" s="54">
        <v>8.1</v>
      </c>
      <c r="G13" s="54"/>
      <c r="H13" s="62"/>
      <c r="I13" s="62"/>
      <c r="J13" s="62"/>
      <c r="O13" s="4" t="s">
        <v>345</v>
      </c>
      <c r="P13" s="4" t="s">
        <v>347</v>
      </c>
      <c r="Q13" s="4" t="s">
        <v>348</v>
      </c>
      <c r="R13" s="4" t="s">
        <v>581</v>
      </c>
      <c r="T13" s="352" t="s">
        <v>469</v>
      </c>
      <c r="U13" s="353">
        <v>76.0</v>
      </c>
      <c r="V13" s="353">
        <v>68.0</v>
      </c>
      <c r="W13" s="354">
        <v>69.0</v>
      </c>
      <c r="X13" s="356">
        <v>65.0</v>
      </c>
      <c r="Z13" s="352" t="s">
        <v>469</v>
      </c>
      <c r="AA13" s="354">
        <v>65.0</v>
      </c>
      <c r="AB13" s="354">
        <v>63.0</v>
      </c>
      <c r="AC13" s="354">
        <v>62.0</v>
      </c>
      <c r="AD13" s="354">
        <v>60.0</v>
      </c>
      <c r="AG13" s="31" t="s">
        <v>1009</v>
      </c>
    </row>
    <row r="14">
      <c r="D14" s="111"/>
      <c r="E14" s="117"/>
      <c r="F14" s="112"/>
      <c r="G14" s="112"/>
      <c r="H14" s="112"/>
      <c r="I14" s="117"/>
      <c r="J14" s="112"/>
      <c r="N14" s="4" t="s">
        <v>62</v>
      </c>
      <c r="O14" s="423">
        <v>78.9</v>
      </c>
      <c r="P14" s="423">
        <v>80.1</v>
      </c>
      <c r="Q14" s="236">
        <v>82.8</v>
      </c>
      <c r="R14" s="226">
        <f t="shared" ref="R14:R17" si="9">AVERAGE(O14:Q14)</f>
        <v>80.6</v>
      </c>
      <c r="T14" s="352" t="s">
        <v>470</v>
      </c>
      <c r="U14" s="353">
        <v>76.0</v>
      </c>
      <c r="V14" s="353">
        <v>68.0</v>
      </c>
      <c r="W14" s="354">
        <v>68.0</v>
      </c>
      <c r="X14" s="355">
        <v>65.0</v>
      </c>
      <c r="Z14" s="352" t="s">
        <v>470</v>
      </c>
      <c r="AA14" s="354">
        <v>65.0</v>
      </c>
      <c r="AB14" s="354">
        <v>65.0</v>
      </c>
      <c r="AC14" s="354">
        <v>65.0</v>
      </c>
      <c r="AD14" s="354">
        <v>65.0</v>
      </c>
      <c r="AE14" s="4"/>
      <c r="AF14" s="4"/>
      <c r="AG14" s="428">
        <v>45954.0</v>
      </c>
      <c r="AH14" s="428">
        <v>46010.0</v>
      </c>
    </row>
    <row r="15">
      <c r="D15" s="111"/>
      <c r="E15" s="117"/>
      <c r="F15" s="112"/>
      <c r="G15" s="112"/>
      <c r="H15" s="112"/>
      <c r="I15" s="117"/>
      <c r="J15" s="112"/>
      <c r="N15" s="4" t="s">
        <v>28</v>
      </c>
      <c r="O15" s="423">
        <v>71.0</v>
      </c>
      <c r="P15" s="232">
        <v>67.9</v>
      </c>
      <c r="Q15" s="236">
        <v>67.4</v>
      </c>
      <c r="R15" s="226">
        <f t="shared" si="9"/>
        <v>68.76666667</v>
      </c>
      <c r="T15" s="357" t="s">
        <v>906</v>
      </c>
      <c r="U15" s="353">
        <v>76.0</v>
      </c>
      <c r="V15" s="353">
        <v>68.0</v>
      </c>
      <c r="W15" s="354">
        <v>69.0</v>
      </c>
      <c r="X15" s="356">
        <v>65.0</v>
      </c>
      <c r="Z15" s="357" t="s">
        <v>906</v>
      </c>
      <c r="AA15" s="354">
        <v>65.0</v>
      </c>
      <c r="AB15" s="354">
        <v>65.0</v>
      </c>
      <c r="AC15" s="354">
        <v>63.0</v>
      </c>
      <c r="AD15" s="354">
        <v>63.0</v>
      </c>
      <c r="AE15" s="4"/>
      <c r="AF15" s="41"/>
      <c r="AG15" s="4">
        <v>17.0</v>
      </c>
      <c r="AH15" s="4">
        <v>17.0</v>
      </c>
      <c r="AK15" s="3">
        <v>17.0</v>
      </c>
    </row>
    <row r="16">
      <c r="D16" s="111" t="s">
        <v>241</v>
      </c>
      <c r="E16" s="117">
        <v>7.0</v>
      </c>
      <c r="F16" s="112">
        <v>7.3</v>
      </c>
      <c r="G16" s="112"/>
      <c r="H16" s="112"/>
      <c r="I16" s="117"/>
      <c r="J16" s="112"/>
      <c r="N16" s="4" t="s">
        <v>582</v>
      </c>
      <c r="O16" s="232">
        <v>57.1</v>
      </c>
      <c r="P16" s="232">
        <v>56.1</v>
      </c>
      <c r="Q16" s="236">
        <v>55.9</v>
      </c>
      <c r="R16" s="226">
        <f t="shared" si="9"/>
        <v>56.36666667</v>
      </c>
      <c r="T16" s="358" t="s">
        <v>908</v>
      </c>
      <c r="U16" s="353">
        <v>76.0</v>
      </c>
      <c r="V16" s="353">
        <v>68.0</v>
      </c>
      <c r="W16" s="354">
        <v>69.0</v>
      </c>
      <c r="X16" s="356">
        <v>65.0</v>
      </c>
      <c r="Z16" s="358" t="s">
        <v>908</v>
      </c>
      <c r="AA16" s="354">
        <v>65.0</v>
      </c>
      <c r="AB16" s="354">
        <v>65.0</v>
      </c>
      <c r="AC16" s="354">
        <v>63.0</v>
      </c>
      <c r="AD16" s="354">
        <v>63.0</v>
      </c>
      <c r="AE16" s="4"/>
      <c r="AF16" s="4"/>
      <c r="AG16" s="4">
        <v>0.0</v>
      </c>
      <c r="AH16" s="5">
        <f>(AH15-AG15)*100</f>
        <v>0</v>
      </c>
      <c r="AI16" s="4">
        <v>17.0</v>
      </c>
      <c r="AJ16" s="3" t="s">
        <v>468</v>
      </c>
      <c r="AK16" s="3">
        <v>17.0</v>
      </c>
    </row>
    <row r="17">
      <c r="C17" s="10"/>
      <c r="D17" s="10"/>
      <c r="E17" s="10"/>
      <c r="F17" s="10"/>
      <c r="G17" s="10"/>
      <c r="H17" s="10"/>
      <c r="I17" s="10"/>
      <c r="J17" s="10"/>
      <c r="N17" s="4" t="s">
        <v>583</v>
      </c>
      <c r="O17" s="112">
        <f t="shared" ref="O17:Q17" si="10">O15-O16</f>
        <v>13.9</v>
      </c>
      <c r="P17" s="112">
        <f t="shared" si="10"/>
        <v>11.8</v>
      </c>
      <c r="Q17" s="112">
        <f t="shared" si="10"/>
        <v>11.5</v>
      </c>
      <c r="R17" s="226">
        <f t="shared" si="9"/>
        <v>12.4</v>
      </c>
      <c r="T17" s="358" t="s">
        <v>910</v>
      </c>
      <c r="U17" s="359">
        <f t="shared" ref="U17:X17" si="11">AVERAGE(U12:U14)</f>
        <v>76</v>
      </c>
      <c r="V17" s="359">
        <f t="shared" si="11"/>
        <v>68</v>
      </c>
      <c r="W17" s="359">
        <f t="shared" si="11"/>
        <v>68.66666667</v>
      </c>
      <c r="X17" s="360">
        <f t="shared" si="11"/>
        <v>65</v>
      </c>
      <c r="Z17" s="358" t="s">
        <v>910</v>
      </c>
      <c r="AA17" s="359">
        <f t="shared" ref="AA17:AD17" si="12">AVERAGE(AA12:AA14)</f>
        <v>65</v>
      </c>
      <c r="AB17" s="359">
        <f t="shared" si="12"/>
        <v>64.33333333</v>
      </c>
      <c r="AC17" s="359">
        <f t="shared" si="12"/>
        <v>64</v>
      </c>
      <c r="AD17" s="360">
        <f t="shared" si="12"/>
        <v>63.33333333</v>
      </c>
      <c r="AG17" s="4">
        <v>-100.0</v>
      </c>
      <c r="AH17" s="4">
        <v>0.0</v>
      </c>
      <c r="AI17" s="4">
        <v>16.0</v>
      </c>
      <c r="AJ17" s="3" t="s">
        <v>470</v>
      </c>
      <c r="AK17" s="3">
        <v>16.0</v>
      </c>
    </row>
    <row r="18">
      <c r="E18" s="118"/>
      <c r="F18" s="118"/>
      <c r="G18" s="118"/>
      <c r="H18" s="118"/>
      <c r="I18" s="118"/>
      <c r="J18" s="118"/>
      <c r="K18" s="425">
        <v>78.9</v>
      </c>
      <c r="L18" s="426">
        <v>80.1</v>
      </c>
      <c r="T18" s="361" t="s">
        <v>912</v>
      </c>
      <c r="U18" s="362">
        <f t="shared" ref="U18:X18" si="13">AVERAGE(U12:U16)</f>
        <v>76</v>
      </c>
      <c r="V18" s="362">
        <f t="shared" si="13"/>
        <v>68</v>
      </c>
      <c r="W18" s="362">
        <f t="shared" si="13"/>
        <v>68.8</v>
      </c>
      <c r="X18" s="363">
        <f t="shared" si="13"/>
        <v>65</v>
      </c>
      <c r="Z18" s="361" t="s">
        <v>912</v>
      </c>
      <c r="AA18" s="362">
        <f t="shared" ref="AA18:AD18" si="14">AVERAGE(AA12:AA16)</f>
        <v>65</v>
      </c>
      <c r="AB18" s="362">
        <f t="shared" si="14"/>
        <v>64.6</v>
      </c>
      <c r="AC18" s="362">
        <f t="shared" si="14"/>
        <v>63.6</v>
      </c>
      <c r="AD18" s="363">
        <f t="shared" si="14"/>
        <v>63.2</v>
      </c>
      <c r="AF18" s="4"/>
      <c r="AG18" s="4">
        <v>0.0</v>
      </c>
      <c r="AH18" s="4">
        <v>0.0</v>
      </c>
      <c r="AI18" s="4">
        <v>17.0</v>
      </c>
      <c r="AJ18" s="3" t="s">
        <v>469</v>
      </c>
    </row>
    <row r="19">
      <c r="E19" s="118"/>
      <c r="F19" s="118"/>
      <c r="G19" s="118"/>
      <c r="H19" s="118"/>
      <c r="I19" s="118"/>
      <c r="J19" s="118"/>
      <c r="K19" s="425">
        <v>10.98</v>
      </c>
      <c r="L19" s="426">
        <v>11.12</v>
      </c>
      <c r="S19" s="364"/>
      <c r="T19" s="364"/>
      <c r="U19" s="365">
        <v>45747.0</v>
      </c>
      <c r="V19" s="365">
        <f t="shared" ref="V19:X19" si="15">EOMONTH(U19,3)</f>
        <v>45838</v>
      </c>
      <c r="W19" s="365">
        <f t="shared" si="15"/>
        <v>45930</v>
      </c>
      <c r="X19" s="365">
        <f t="shared" si="15"/>
        <v>46022</v>
      </c>
      <c r="Z19" s="364"/>
      <c r="AA19" s="427">
        <v>46112.0</v>
      </c>
      <c r="AB19" s="365">
        <f t="shared" ref="AB19:AD19" si="16">EOMONTH(AA19,3)</f>
        <v>46203</v>
      </c>
      <c r="AC19" s="365">
        <f t="shared" si="16"/>
        <v>46295</v>
      </c>
      <c r="AD19" s="365">
        <f t="shared" si="16"/>
        <v>46387</v>
      </c>
      <c r="AG19" s="4">
        <v>0.0</v>
      </c>
      <c r="AH19" s="4">
        <v>-100.0</v>
      </c>
      <c r="AI19" s="4">
        <v>16.0</v>
      </c>
      <c r="AJ19" s="3" t="s">
        <v>906</v>
      </c>
    </row>
    <row r="20">
      <c r="E20" s="118"/>
      <c r="F20" s="118"/>
      <c r="G20" s="118"/>
      <c r="H20" s="118"/>
      <c r="I20" s="118"/>
      <c r="J20" s="118"/>
      <c r="K20" s="425">
        <v>7.14</v>
      </c>
      <c r="L20" s="426">
        <v>7.18</v>
      </c>
      <c r="M20" s="308"/>
      <c r="S20" s="366" t="s">
        <v>1011</v>
      </c>
      <c r="T20" s="367" t="s">
        <v>786</v>
      </c>
      <c r="U20" s="368"/>
      <c r="V20" s="348"/>
      <c r="W20" s="348">
        <v>81.0</v>
      </c>
      <c r="X20" s="349">
        <v>82.0</v>
      </c>
      <c r="Z20" s="367" t="s">
        <v>786</v>
      </c>
      <c r="AA20" s="348">
        <v>80.0</v>
      </c>
      <c r="AB20" s="348">
        <v>83.0</v>
      </c>
      <c r="AC20" s="348">
        <v>91.0</v>
      </c>
      <c r="AD20" s="349">
        <v>96.0</v>
      </c>
      <c r="AG20" s="4">
        <v>0.0</v>
      </c>
      <c r="AH20" s="4">
        <v>0.0</v>
      </c>
      <c r="AI20" s="4">
        <v>17.0</v>
      </c>
      <c r="AJ20" s="3" t="s">
        <v>1180</v>
      </c>
    </row>
    <row r="21">
      <c r="E21" s="118"/>
      <c r="F21" s="118"/>
      <c r="G21" s="118"/>
      <c r="H21" s="118"/>
      <c r="I21" s="118"/>
      <c r="J21" s="118"/>
      <c r="K21" s="425">
        <v>93.4</v>
      </c>
      <c r="L21" s="426">
        <v>93.2</v>
      </c>
      <c r="M21" s="309"/>
      <c r="S21" s="53"/>
      <c r="T21" s="352" t="s">
        <v>468</v>
      </c>
      <c r="U21" s="353">
        <v>93.0</v>
      </c>
      <c r="V21" s="353">
        <v>81.0</v>
      </c>
      <c r="W21" s="354"/>
      <c r="X21" s="355">
        <v>87.0</v>
      </c>
      <c r="Z21" s="352" t="s">
        <v>468</v>
      </c>
      <c r="AA21" s="354">
        <v>82.0</v>
      </c>
      <c r="AB21" s="354">
        <v>85.0</v>
      </c>
      <c r="AC21" s="354">
        <v>88.0</v>
      </c>
      <c r="AD21" s="355">
        <v>95.0</v>
      </c>
    </row>
    <row r="22">
      <c r="E22" s="118"/>
      <c r="F22" s="118"/>
      <c r="G22" s="118"/>
      <c r="H22" s="118"/>
      <c r="I22" s="118"/>
      <c r="J22" s="118"/>
      <c r="K22" s="425">
        <v>1.17</v>
      </c>
      <c r="L22" s="426">
        <v>1.16</v>
      </c>
      <c r="M22" s="309"/>
      <c r="S22" s="369"/>
      <c r="T22" s="352" t="s">
        <v>469</v>
      </c>
      <c r="U22" s="353">
        <v>93.0</v>
      </c>
      <c r="V22" s="353">
        <v>81.0</v>
      </c>
      <c r="W22" s="354"/>
      <c r="X22" s="356">
        <v>85.0</v>
      </c>
      <c r="Z22" s="352" t="s">
        <v>469</v>
      </c>
      <c r="AA22" s="354">
        <v>80.0</v>
      </c>
      <c r="AB22" s="354">
        <v>85.0</v>
      </c>
      <c r="AC22" s="354">
        <v>90.0</v>
      </c>
      <c r="AD22" s="356">
        <v>95.0</v>
      </c>
      <c r="AG22" s="345">
        <v>45863.0</v>
      </c>
      <c r="AH22" s="4" t="s">
        <v>983</v>
      </c>
      <c r="AI22" s="345">
        <v>45954.0</v>
      </c>
      <c r="AJ22" s="345">
        <v>46010.0</v>
      </c>
    </row>
    <row r="23">
      <c r="E23" s="118"/>
      <c r="F23" s="118"/>
      <c r="G23" s="118"/>
      <c r="H23" s="118"/>
      <c r="I23" s="118"/>
      <c r="J23" s="118"/>
      <c r="K23" s="425">
        <v>71.0</v>
      </c>
      <c r="L23" s="426">
        <v>68.0</v>
      </c>
      <c r="M23" s="309"/>
      <c r="S23" s="369"/>
      <c r="T23" s="352" t="s">
        <v>470</v>
      </c>
      <c r="U23" s="353">
        <v>93.0</v>
      </c>
      <c r="V23" s="353">
        <v>81.0</v>
      </c>
      <c r="W23" s="354"/>
      <c r="X23" s="356">
        <v>82.0</v>
      </c>
      <c r="Z23" s="352" t="s">
        <v>470</v>
      </c>
      <c r="AA23" s="354">
        <v>80.0</v>
      </c>
      <c r="AB23" s="354">
        <v>83.0</v>
      </c>
      <c r="AC23" s="354">
        <v>91.0</v>
      </c>
      <c r="AD23" s="356">
        <v>96.0</v>
      </c>
      <c r="AG23" s="4">
        <v>18.0</v>
      </c>
      <c r="AH23" s="4">
        <v>17.0</v>
      </c>
      <c r="AI23" s="4">
        <v>15.0</v>
      </c>
      <c r="AJ23" s="4">
        <v>14.0</v>
      </c>
    </row>
    <row r="24">
      <c r="E24" s="118"/>
      <c r="F24" s="118"/>
      <c r="G24" s="118"/>
      <c r="H24" s="118"/>
      <c r="I24" s="118"/>
      <c r="J24" s="118"/>
      <c r="K24" s="425">
        <v>57.4</v>
      </c>
      <c r="L24" s="426">
        <v>56.1</v>
      </c>
      <c r="M24" s="309"/>
      <c r="N24" s="308"/>
      <c r="S24" s="364"/>
      <c r="T24" s="357" t="s">
        <v>906</v>
      </c>
      <c r="U24" s="353">
        <v>93.0</v>
      </c>
      <c r="V24" s="353">
        <v>81.0</v>
      </c>
      <c r="W24" s="354"/>
      <c r="X24" s="356">
        <v>83.0</v>
      </c>
      <c r="Z24" s="357" t="s">
        <v>906</v>
      </c>
      <c r="AA24" s="354">
        <v>81.0</v>
      </c>
      <c r="AB24" s="354">
        <v>83.0</v>
      </c>
      <c r="AC24" s="354">
        <v>91.0</v>
      </c>
      <c r="AD24" s="356">
        <v>96.0</v>
      </c>
      <c r="AG24" s="4">
        <v>18.0</v>
      </c>
      <c r="AH24" s="4">
        <v>16.0</v>
      </c>
      <c r="AI24" s="4">
        <v>15.0</v>
      </c>
      <c r="AJ24" s="4">
        <v>14.0</v>
      </c>
    </row>
    <row r="25">
      <c r="E25" s="118"/>
      <c r="F25" s="118"/>
      <c r="G25" s="118"/>
      <c r="H25" s="118"/>
      <c r="I25" s="118"/>
      <c r="J25" s="118"/>
      <c r="M25" s="308"/>
      <c r="N25" s="308"/>
      <c r="S25" s="370"/>
      <c r="T25" s="358" t="s">
        <v>908</v>
      </c>
      <c r="U25" s="353">
        <v>93.0</v>
      </c>
      <c r="V25" s="353">
        <v>81.0</v>
      </c>
      <c r="W25" s="354"/>
      <c r="X25" s="356">
        <v>86.0</v>
      </c>
      <c r="Z25" s="358" t="s">
        <v>908</v>
      </c>
      <c r="AA25" s="354">
        <v>81.0</v>
      </c>
      <c r="AB25" s="354">
        <v>83.0</v>
      </c>
      <c r="AC25" s="354">
        <v>93.0</v>
      </c>
      <c r="AD25" s="356">
        <v>98.0</v>
      </c>
    </row>
    <row r="26">
      <c r="A26" s="3"/>
      <c r="B26" s="12"/>
      <c r="C26" s="12"/>
      <c r="D26" s="13"/>
      <c r="E26" s="13"/>
      <c r="F26" s="13"/>
      <c r="G26" s="13"/>
      <c r="H26" s="13"/>
      <c r="I26" s="13"/>
      <c r="J26" s="13"/>
      <c r="M26" s="308"/>
      <c r="N26" s="309"/>
      <c r="S26" s="370"/>
      <c r="T26" s="358" t="s">
        <v>910</v>
      </c>
      <c r="U26" s="359">
        <f t="shared" ref="U26:X26" si="17">AVERAGE(U21:U23)</f>
        <v>93</v>
      </c>
      <c r="V26" s="359">
        <f t="shared" si="17"/>
        <v>81</v>
      </c>
      <c r="W26" s="359" t="str">
        <f t="shared" si="17"/>
        <v>#DIV/0!</v>
      </c>
      <c r="X26" s="360">
        <f t="shared" si="17"/>
        <v>84.66666667</v>
      </c>
      <c r="Z26" s="358" t="s">
        <v>910</v>
      </c>
      <c r="AA26" s="359">
        <f t="shared" ref="AA26:AD26" si="18">AVERAGE(AA21:AA23)</f>
        <v>80.66666667</v>
      </c>
      <c r="AB26" s="359">
        <f t="shared" si="18"/>
        <v>84.33333333</v>
      </c>
      <c r="AC26" s="359">
        <f t="shared" si="18"/>
        <v>89.66666667</v>
      </c>
      <c r="AD26" s="360">
        <f t="shared" si="18"/>
        <v>95.33333333</v>
      </c>
    </row>
    <row r="27">
      <c r="S27" s="55"/>
      <c r="T27" s="361" t="s">
        <v>912</v>
      </c>
      <c r="U27" s="362">
        <f t="shared" ref="U27:X27" si="19">AVERAGE(U21:U25)</f>
        <v>93</v>
      </c>
      <c r="V27" s="362">
        <f t="shared" si="19"/>
        <v>81</v>
      </c>
      <c r="W27" s="362" t="str">
        <f t="shared" si="19"/>
        <v>#DIV/0!</v>
      </c>
      <c r="X27" s="363">
        <f t="shared" si="19"/>
        <v>84.6</v>
      </c>
      <c r="Z27" s="361" t="s">
        <v>912</v>
      </c>
      <c r="AA27" s="362">
        <f t="shared" ref="AA27:AD27" si="20">AVERAGE(AA21:AA25)</f>
        <v>80.8</v>
      </c>
      <c r="AB27" s="362">
        <f t="shared" si="20"/>
        <v>83.8</v>
      </c>
      <c r="AC27" s="362">
        <f t="shared" si="20"/>
        <v>90.6</v>
      </c>
      <c r="AD27" s="363">
        <f t="shared" si="20"/>
        <v>96</v>
      </c>
    </row>
    <row r="28">
      <c r="Q28" s="4"/>
      <c r="R28" s="55"/>
      <c r="S28" s="366" t="s">
        <v>81</v>
      </c>
      <c r="T28" s="371" t="s">
        <v>786</v>
      </c>
      <c r="U28" s="372"/>
      <c r="V28" s="372"/>
      <c r="W28" s="372"/>
      <c r="X28" s="373">
        <v>5.2</v>
      </c>
      <c r="Y28" s="99" t="s">
        <v>1181</v>
      </c>
      <c r="Z28" s="371" t="s">
        <v>786</v>
      </c>
      <c r="AA28" s="372"/>
      <c r="AB28" s="372"/>
      <c r="AC28" s="372"/>
      <c r="AD28" s="373">
        <v>5.9</v>
      </c>
    </row>
    <row r="29">
      <c r="Q29" s="4"/>
      <c r="R29" s="55"/>
      <c r="S29" s="53"/>
      <c r="T29" s="374" t="s">
        <v>468</v>
      </c>
      <c r="U29" s="53"/>
      <c r="V29" s="53"/>
      <c r="W29" s="53"/>
      <c r="X29" s="376">
        <v>6.5</v>
      </c>
      <c r="Y29" s="99" t="s">
        <v>1160</v>
      </c>
      <c r="Z29" s="374" t="s">
        <v>468</v>
      </c>
      <c r="AA29" s="53"/>
      <c r="AB29" s="53"/>
      <c r="AC29" s="53"/>
      <c r="AD29" s="376"/>
      <c r="AE29" s="99"/>
    </row>
    <row r="30">
      <c r="M30" s="308"/>
      <c r="Q30" s="4"/>
      <c r="R30" s="55"/>
      <c r="S30" s="53"/>
      <c r="T30" s="352" t="s">
        <v>469</v>
      </c>
      <c r="U30" s="53"/>
      <c r="V30" s="53"/>
      <c r="W30" s="53"/>
      <c r="X30" s="376">
        <v>6.0</v>
      </c>
      <c r="Y30" s="99" t="s">
        <v>1182</v>
      </c>
      <c r="Z30" s="352" t="s">
        <v>469</v>
      </c>
      <c r="AA30" s="53"/>
      <c r="AB30" s="53"/>
      <c r="AC30" s="53"/>
      <c r="AD30" s="376"/>
      <c r="AE30" s="99"/>
    </row>
    <row r="31">
      <c r="M31" s="309"/>
      <c r="Q31" s="4"/>
      <c r="R31" s="55"/>
      <c r="S31" s="53"/>
      <c r="T31" s="374" t="s">
        <v>470</v>
      </c>
      <c r="U31" s="53"/>
      <c r="V31" s="53"/>
      <c r="W31" s="53"/>
      <c r="X31" s="376">
        <v>6.0</v>
      </c>
      <c r="Y31" s="99"/>
      <c r="Z31" s="374" t="s">
        <v>470</v>
      </c>
      <c r="AA31" s="53"/>
      <c r="AB31" s="53"/>
      <c r="AC31" s="53"/>
      <c r="AD31" s="376"/>
    </row>
    <row r="32">
      <c r="M32" s="309"/>
      <c r="Q32" s="4"/>
      <c r="R32" s="55"/>
      <c r="S32" s="377"/>
      <c r="T32" s="358" t="s">
        <v>906</v>
      </c>
      <c r="U32" s="55"/>
      <c r="V32" s="55"/>
      <c r="W32" s="55"/>
      <c r="X32" s="376">
        <v>6.3</v>
      </c>
      <c r="Z32" s="358" t="s">
        <v>906</v>
      </c>
      <c r="AA32" s="55"/>
      <c r="AB32" s="55"/>
      <c r="AC32" s="55"/>
      <c r="AD32" s="376"/>
    </row>
    <row r="33">
      <c r="M33" s="309"/>
      <c r="Q33" s="4"/>
      <c r="R33" s="55"/>
      <c r="S33" s="377"/>
      <c r="T33" s="358" t="s">
        <v>908</v>
      </c>
      <c r="U33" s="55"/>
      <c r="V33" s="55"/>
      <c r="W33" s="55"/>
      <c r="X33" s="376">
        <v>5.9</v>
      </c>
      <c r="Z33" s="358" t="s">
        <v>908</v>
      </c>
      <c r="AA33" s="55"/>
      <c r="AB33" s="55"/>
      <c r="AC33" s="55"/>
      <c r="AD33" s="376"/>
    </row>
    <row r="34">
      <c r="M34" s="309"/>
      <c r="Q34" s="4"/>
      <c r="R34" s="55"/>
      <c r="S34" s="377"/>
      <c r="T34" s="378" t="s">
        <v>910</v>
      </c>
      <c r="U34" s="55"/>
      <c r="V34" s="55"/>
      <c r="W34" s="55"/>
      <c r="X34" s="379">
        <f>AVERAGE(X29:X31)</f>
        <v>6.166666667</v>
      </c>
      <c r="Z34" s="378" t="s">
        <v>910</v>
      </c>
      <c r="AA34" s="55"/>
      <c r="AB34" s="55"/>
      <c r="AC34" s="55"/>
      <c r="AD34" s="379" t="str">
        <f>AVERAGE(AD29:AD31)</f>
        <v>#DIV/0!</v>
      </c>
    </row>
    <row r="35">
      <c r="M35" s="308"/>
      <c r="Q35" s="4"/>
      <c r="R35" s="55"/>
      <c r="S35" s="53"/>
      <c r="T35" s="380" t="s">
        <v>912</v>
      </c>
      <c r="U35" s="381"/>
      <c r="V35" s="381"/>
      <c r="W35" s="382"/>
      <c r="X35" s="383">
        <f>AVERAGE(X29:X33)</f>
        <v>6.14</v>
      </c>
      <c r="Z35" s="380" t="s">
        <v>912</v>
      </c>
      <c r="AA35" s="381"/>
      <c r="AB35" s="381"/>
      <c r="AC35" s="382"/>
      <c r="AD35" s="383" t="str">
        <f>AVERAGE(AD29:AD33)</f>
        <v>#DIV/0!</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388">
        <v>17.0</v>
      </c>
      <c r="X37" s="389">
        <v>17.0</v>
      </c>
      <c r="Z37" s="386" t="s">
        <v>468</v>
      </c>
      <c r="AA37" s="388"/>
      <c r="AB37" s="388"/>
      <c r="AC37" s="388"/>
      <c r="AD37" s="389"/>
    </row>
    <row r="38">
      <c r="N38" s="31" t="s">
        <v>586</v>
      </c>
      <c r="S38" s="55"/>
      <c r="T38" s="386" t="s">
        <v>469</v>
      </c>
      <c r="U38" s="419">
        <v>21.0</v>
      </c>
      <c r="V38" s="420">
        <v>20.0</v>
      </c>
      <c r="W38" s="397">
        <v>17.0</v>
      </c>
      <c r="X38" s="398">
        <v>17.0</v>
      </c>
      <c r="Z38" s="386" t="s">
        <v>469</v>
      </c>
      <c r="AA38" s="396"/>
      <c r="AB38" s="396"/>
      <c r="AC38" s="397"/>
      <c r="AD38" s="398"/>
    </row>
    <row r="39">
      <c r="N39" s="3" t="s">
        <v>587</v>
      </c>
      <c r="Q39" s="3" t="s">
        <v>588</v>
      </c>
      <c r="S39" s="55"/>
      <c r="T39" s="386" t="s">
        <v>470</v>
      </c>
      <c r="U39" s="417">
        <v>21.0</v>
      </c>
      <c r="V39" s="421">
        <v>20.0</v>
      </c>
      <c r="W39" s="276">
        <v>17.0</v>
      </c>
      <c r="X39" s="276">
        <v>16.0</v>
      </c>
      <c r="Z39" s="386" t="s">
        <v>470</v>
      </c>
      <c r="AA39" s="388"/>
      <c r="AB39" s="276"/>
      <c r="AC39" s="276"/>
      <c r="AD39" s="276"/>
    </row>
    <row r="40">
      <c r="N40" s="3" t="s">
        <v>589</v>
      </c>
      <c r="Q40" s="3" t="s">
        <v>590</v>
      </c>
      <c r="S40" s="394"/>
      <c r="T40" s="395" t="s">
        <v>906</v>
      </c>
      <c r="U40" s="419">
        <v>21.0</v>
      </c>
      <c r="V40" s="420">
        <v>20.0</v>
      </c>
      <c r="W40" s="397">
        <v>17.0</v>
      </c>
      <c r="X40" s="398">
        <v>16.0</v>
      </c>
      <c r="Z40" s="395" t="s">
        <v>906</v>
      </c>
      <c r="AA40" s="396"/>
      <c r="AB40" s="396"/>
      <c r="AC40" s="397"/>
      <c r="AD40" s="398"/>
    </row>
    <row r="41">
      <c r="N41" s="3" t="s">
        <v>591</v>
      </c>
      <c r="Q41" s="3" t="s">
        <v>592</v>
      </c>
      <c r="S41" s="394"/>
      <c r="T41" s="395" t="s">
        <v>908</v>
      </c>
      <c r="U41" s="417"/>
      <c r="V41" s="418"/>
      <c r="W41" s="399">
        <v>17.0</v>
      </c>
      <c r="X41" s="389">
        <v>17.0</v>
      </c>
      <c r="Z41" s="395" t="s">
        <v>908</v>
      </c>
      <c r="AA41" s="388"/>
      <c r="AB41" s="388"/>
      <c r="AC41" s="399"/>
      <c r="AD41" s="399"/>
    </row>
    <row r="42">
      <c r="N42" s="3" t="s">
        <v>593</v>
      </c>
      <c r="Q42" s="3" t="s">
        <v>594</v>
      </c>
      <c r="S42" s="394"/>
      <c r="T42" s="400" t="s">
        <v>910</v>
      </c>
      <c r="U42" s="359">
        <f t="shared" ref="U42:X42" si="21">AVERAGE(U37:U39)</f>
        <v>21</v>
      </c>
      <c r="V42" s="359">
        <f t="shared" si="21"/>
        <v>20</v>
      </c>
      <c r="W42" s="359">
        <f t="shared" si="21"/>
        <v>17</v>
      </c>
      <c r="X42" s="360">
        <f t="shared" si="21"/>
        <v>16.66666667</v>
      </c>
      <c r="Z42" s="400" t="s">
        <v>910</v>
      </c>
      <c r="AA42" s="359" t="str">
        <f t="shared" ref="AA42:AD42" si="22">AVERAGE(AA37:AA39)</f>
        <v>#DIV/0!</v>
      </c>
      <c r="AB42" s="359" t="str">
        <f t="shared" si="22"/>
        <v>#DIV/0!</v>
      </c>
      <c r="AC42" s="359" t="str">
        <f t="shared" si="22"/>
        <v>#DIV/0!</v>
      </c>
      <c r="AD42" s="360" t="str">
        <f t="shared" si="22"/>
        <v>#DIV/0!</v>
      </c>
    </row>
    <row r="43">
      <c r="N43" s="3" t="s">
        <v>595</v>
      </c>
      <c r="Q43" s="3" t="s">
        <v>596</v>
      </c>
      <c r="S43" s="55"/>
      <c r="T43" s="401" t="s">
        <v>912</v>
      </c>
      <c r="U43" s="362">
        <f t="shared" ref="U43:X43" si="23">AVERAGE(U37:U41)</f>
        <v>21</v>
      </c>
      <c r="V43" s="362">
        <f t="shared" si="23"/>
        <v>20</v>
      </c>
      <c r="W43" s="362">
        <f t="shared" si="23"/>
        <v>17</v>
      </c>
      <c r="X43" s="363">
        <f t="shared" si="23"/>
        <v>16.6</v>
      </c>
      <c r="Z43" s="401" t="s">
        <v>912</v>
      </c>
      <c r="AA43" s="362" t="str">
        <f t="shared" ref="AA43:AD43" si="24">AVERAGE(AA37:AA41)</f>
        <v>#DIV/0!</v>
      </c>
      <c r="AB43" s="362" t="str">
        <f t="shared" si="24"/>
        <v>#DIV/0!</v>
      </c>
      <c r="AC43" s="362" t="str">
        <f t="shared" si="24"/>
        <v>#DIV/0!</v>
      </c>
      <c r="AD43" s="363" t="str">
        <f t="shared" si="24"/>
        <v>#DIV/0!</v>
      </c>
    </row>
    <row r="44">
      <c r="N44" s="3" t="s">
        <v>597</v>
      </c>
      <c r="Q44" s="3" t="s">
        <v>598</v>
      </c>
      <c r="S44" s="384" t="s">
        <v>78</v>
      </c>
      <c r="T44" s="402" t="s">
        <v>786</v>
      </c>
      <c r="U44" s="403"/>
      <c r="V44" s="403"/>
      <c r="W44" s="403"/>
      <c r="X44" s="412">
        <v>0.5</v>
      </c>
      <c r="Z44" s="402" t="s">
        <v>786</v>
      </c>
      <c r="AA44" s="403"/>
      <c r="AB44" s="403"/>
      <c r="AC44" s="403"/>
      <c r="AD44" s="412">
        <v>2.0</v>
      </c>
      <c r="AE44" s="3" t="s">
        <v>1165</v>
      </c>
    </row>
    <row r="45">
      <c r="N45" s="3" t="s">
        <v>599</v>
      </c>
      <c r="Q45" s="3" t="s">
        <v>600</v>
      </c>
      <c r="S45" s="55"/>
      <c r="T45" s="405" t="s">
        <v>468</v>
      </c>
      <c r="U45" s="55"/>
      <c r="V45" s="55"/>
      <c r="W45" s="55"/>
      <c r="X45" s="376">
        <v>1.0</v>
      </c>
      <c r="Z45" s="405" t="s">
        <v>468</v>
      </c>
      <c r="AA45" s="55"/>
      <c r="AB45" s="55"/>
      <c r="AC45" s="55"/>
      <c r="AD45" s="376">
        <v>1.0</v>
      </c>
    </row>
    <row r="46">
      <c r="S46" s="55"/>
      <c r="T46" s="405" t="s">
        <v>469</v>
      </c>
      <c r="U46" s="55"/>
      <c r="V46" s="55"/>
      <c r="W46" s="55"/>
      <c r="X46" s="376">
        <v>1.0</v>
      </c>
      <c r="Z46" s="405" t="s">
        <v>469</v>
      </c>
      <c r="AA46" s="55"/>
      <c r="AB46" s="55"/>
      <c r="AC46" s="55"/>
      <c r="AD46" s="376">
        <v>1.0</v>
      </c>
    </row>
    <row r="47">
      <c r="N47" s="3" t="s">
        <v>601</v>
      </c>
      <c r="Q47" s="3" t="s">
        <v>602</v>
      </c>
      <c r="S47" s="55"/>
      <c r="T47" s="405" t="s">
        <v>470</v>
      </c>
      <c r="U47" s="55"/>
      <c r="V47" s="55"/>
      <c r="W47" s="55"/>
      <c r="X47" s="376">
        <v>0.5</v>
      </c>
      <c r="Z47" s="405" t="s">
        <v>470</v>
      </c>
      <c r="AA47" s="55"/>
      <c r="AB47" s="55"/>
      <c r="AC47" s="55"/>
      <c r="AD47" s="376">
        <v>2.0</v>
      </c>
    </row>
    <row r="48">
      <c r="Q48" s="3" t="s">
        <v>603</v>
      </c>
      <c r="S48" s="394"/>
      <c r="T48" s="407" t="s">
        <v>906</v>
      </c>
      <c r="U48" s="55"/>
      <c r="V48" s="55"/>
      <c r="W48" s="55"/>
      <c r="X48" s="376">
        <v>1.0</v>
      </c>
      <c r="Z48" s="407" t="s">
        <v>906</v>
      </c>
      <c r="AA48" s="55"/>
      <c r="AB48" s="55"/>
      <c r="AC48" s="55"/>
      <c r="AD48" s="376">
        <v>1.5</v>
      </c>
    </row>
    <row r="49">
      <c r="N49" s="3" t="s">
        <v>604</v>
      </c>
      <c r="S49" s="394"/>
      <c r="T49" s="407" t="s">
        <v>908</v>
      </c>
      <c r="U49" s="55"/>
      <c r="V49" s="408"/>
      <c r="W49" s="408"/>
      <c r="X49" s="376">
        <v>0.8</v>
      </c>
      <c r="Z49" s="407" t="s">
        <v>908</v>
      </c>
      <c r="AA49" s="55"/>
      <c r="AB49" s="408"/>
      <c r="AC49" s="408"/>
      <c r="AD49" s="376">
        <v>1.2</v>
      </c>
    </row>
    <row r="50">
      <c r="R50" s="3" t="s">
        <v>605</v>
      </c>
      <c r="S50" s="394"/>
      <c r="T50" s="409" t="s">
        <v>910</v>
      </c>
      <c r="U50" s="55"/>
      <c r="V50" s="53"/>
      <c r="W50" s="55"/>
      <c r="X50" s="379">
        <f>AVERAGE(X45:X47)</f>
        <v>0.8333333333</v>
      </c>
      <c r="Z50" s="409" t="s">
        <v>910</v>
      </c>
      <c r="AA50" s="55"/>
      <c r="AB50" s="53"/>
      <c r="AC50" s="55"/>
      <c r="AD50" s="379">
        <f>AVERAGE(AD45:AD47)</f>
        <v>1.333333333</v>
      </c>
    </row>
    <row r="51">
      <c r="N51" s="3" t="s">
        <v>606</v>
      </c>
      <c r="R51" s="3" t="s">
        <v>607</v>
      </c>
      <c r="S51" s="55"/>
      <c r="T51" s="361" t="s">
        <v>912</v>
      </c>
      <c r="U51" s="382"/>
      <c r="V51" s="410"/>
      <c r="W51" s="410"/>
      <c r="X51" s="383">
        <f>AVERAGE(X45:X49)</f>
        <v>0.86</v>
      </c>
      <c r="Z51" s="361" t="s">
        <v>912</v>
      </c>
      <c r="AA51" s="382"/>
      <c r="AB51" s="410"/>
      <c r="AC51" s="410"/>
      <c r="AD51" s="383">
        <f>AVERAGE(AD45:AD49)</f>
        <v>1.34</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1183</v>
      </c>
      <c r="Q55" s="3" t="s">
        <v>1184</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1185</v>
      </c>
    </row>
    <row r="64">
      <c r="Q64" s="3" t="s">
        <v>623</v>
      </c>
    </row>
    <row r="65">
      <c r="Q65" s="3" t="s">
        <v>616</v>
      </c>
    </row>
    <row r="66">
      <c r="Q66" s="3" t="s">
        <v>618</v>
      </c>
    </row>
    <row r="68">
      <c r="P68" s="218" t="s">
        <v>619</v>
      </c>
      <c r="Q68" s="31" t="s">
        <v>624</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45952.0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266">
        <v>80.0</v>
      </c>
      <c r="Y3" s="258">
        <f t="shared" ref="Y3:Y7" si="3">AVERAGE(U3:X3)</f>
        <v>83.7</v>
      </c>
      <c r="Z3" s="266">
        <v>78.0</v>
      </c>
      <c r="AA3" s="266">
        <v>81.0</v>
      </c>
      <c r="AB3" s="266">
        <v>86.0</v>
      </c>
      <c r="AC3" s="266">
        <v>90.0</v>
      </c>
      <c r="AD3" s="258">
        <f t="shared" ref="AD3:AD7" si="4">AVERAGE(Z3:AC3)</f>
        <v>83.75</v>
      </c>
      <c r="AF3" s="3" t="s">
        <v>1186</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64">
        <v>65.0</v>
      </c>
      <c r="Y4" s="258">
        <f t="shared" si="3"/>
        <v>69.45</v>
      </c>
      <c r="Z4" s="264">
        <v>65.0</v>
      </c>
      <c r="AA4" s="264">
        <v>64.0</v>
      </c>
      <c r="AB4" s="264">
        <v>64.0</v>
      </c>
      <c r="AC4" s="264">
        <v>63.0</v>
      </c>
      <c r="AD4" s="258">
        <f t="shared" si="4"/>
        <v>64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X5" si="5">V4-V6</f>
        <v>56</v>
      </c>
      <c r="W5" s="255">
        <f t="shared" si="5"/>
        <v>56</v>
      </c>
      <c r="X5" s="264">
        <f t="shared" si="5"/>
        <v>54</v>
      </c>
      <c r="Y5" s="248">
        <f t="shared" si="3"/>
        <v>57.4</v>
      </c>
      <c r="Z5" s="264">
        <f t="shared" ref="Z5:AC5" si="6">Z4-Z6</f>
        <v>54</v>
      </c>
      <c r="AA5" s="264">
        <f t="shared" si="6"/>
        <v>53</v>
      </c>
      <c r="AB5" s="264">
        <f t="shared" si="6"/>
        <v>53</v>
      </c>
      <c r="AC5" s="264">
        <f t="shared" si="6"/>
        <v>52</v>
      </c>
      <c r="AD5" s="248">
        <f t="shared" si="4"/>
        <v>53</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55">
        <v>12.0</v>
      </c>
      <c r="W6" s="255">
        <v>13.0</v>
      </c>
      <c r="X6" s="264">
        <v>11.0</v>
      </c>
      <c r="Y6" s="258">
        <f t="shared" si="3"/>
        <v>12.05</v>
      </c>
      <c r="Z6" s="264">
        <v>11.0</v>
      </c>
      <c r="AA6" s="264">
        <v>11.0</v>
      </c>
      <c r="AB6" s="264">
        <v>11.0</v>
      </c>
      <c r="AC6" s="264">
        <v>11.0</v>
      </c>
      <c r="AD6" s="258">
        <f t="shared" si="4"/>
        <v>11</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67">
        <v>6.6</v>
      </c>
      <c r="Y7" s="258">
        <f t="shared" si="3"/>
        <v>8.575</v>
      </c>
      <c r="Z7" s="267">
        <v>6.1</v>
      </c>
      <c r="AA7" s="267">
        <v>6.0</v>
      </c>
      <c r="AB7" s="267">
        <v>5.7</v>
      </c>
      <c r="AC7" s="267">
        <v>5.6</v>
      </c>
      <c r="AD7" s="258">
        <f t="shared" si="4"/>
        <v>5.85</v>
      </c>
      <c r="AF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69">
        <v>17.0</v>
      </c>
      <c r="Y8" s="258">
        <v>19.2</v>
      </c>
      <c r="Z8" s="269">
        <v>16.0</v>
      </c>
      <c r="AA8" s="269">
        <v>15.0</v>
      </c>
      <c r="AB8" s="269">
        <v>15.0</v>
      </c>
      <c r="AC8" s="269">
        <v>14.0</v>
      </c>
      <c r="AD8" s="258">
        <v>15.5</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-0.1388716677</v>
      </c>
      <c r="Z10" s="343">
        <v>2026.0</v>
      </c>
      <c r="AA10" s="348" t="s">
        <v>1120</v>
      </c>
      <c r="AB10" s="348" t="s">
        <v>1121</v>
      </c>
      <c r="AC10" s="348" t="s">
        <v>1122</v>
      </c>
      <c r="AD10" s="349" t="s">
        <v>1123</v>
      </c>
    </row>
    <row r="11">
      <c r="E11" s="114"/>
      <c r="F11" s="115"/>
      <c r="G11" s="115"/>
      <c r="H11" s="115"/>
      <c r="I11" s="112" t="s">
        <v>406</v>
      </c>
      <c r="J11" s="112" t="s">
        <v>406</v>
      </c>
      <c r="S11" s="350" t="s">
        <v>1006</v>
      </c>
      <c r="T11" s="351" t="s">
        <v>54</v>
      </c>
      <c r="U11" s="348"/>
      <c r="V11" s="348"/>
      <c r="W11" s="411"/>
      <c r="X11" s="412">
        <v>62.0</v>
      </c>
      <c r="Y11" s="350" t="s">
        <v>1006</v>
      </c>
      <c r="Z11" s="351" t="s">
        <v>54</v>
      </c>
      <c r="AA11" s="411">
        <v>62.0</v>
      </c>
      <c r="AB11" s="411">
        <v>62.0</v>
      </c>
      <c r="AC11" s="411">
        <v>62.0</v>
      </c>
      <c r="AD11" s="412">
        <v>62.5</v>
      </c>
    </row>
    <row r="12">
      <c r="E12" s="114" t="s">
        <v>241</v>
      </c>
      <c r="F12" s="115" t="s">
        <v>242</v>
      </c>
      <c r="G12" s="115" t="s">
        <v>242</v>
      </c>
      <c r="H12" s="115" t="s">
        <v>194</v>
      </c>
      <c r="I12" s="115" t="s">
        <v>148</v>
      </c>
      <c r="O12" s="3" t="s">
        <v>1177</v>
      </c>
      <c r="P12" s="3" t="s">
        <v>1187</v>
      </c>
      <c r="Q12" s="4"/>
      <c r="R12" s="55"/>
      <c r="T12" s="352" t="s">
        <v>468</v>
      </c>
      <c r="U12" s="353">
        <v>76.0</v>
      </c>
      <c r="V12" s="353">
        <v>68.0</v>
      </c>
      <c r="W12" s="354"/>
      <c r="X12" s="355">
        <v>64.0</v>
      </c>
      <c r="Z12" s="352" t="s">
        <v>468</v>
      </c>
      <c r="AA12" s="354"/>
      <c r="AB12" s="354"/>
      <c r="AC12" s="354"/>
      <c r="AD12" s="354"/>
    </row>
    <row r="13">
      <c r="C13" s="4">
        <v>5.7</v>
      </c>
      <c r="D13" s="4">
        <v>6.5</v>
      </c>
      <c r="E13" s="62">
        <v>7.4</v>
      </c>
      <c r="F13" s="54">
        <v>8.1</v>
      </c>
      <c r="G13" s="54"/>
      <c r="H13" s="62"/>
      <c r="I13" s="62"/>
      <c r="J13" s="62"/>
      <c r="O13" s="4" t="s">
        <v>345</v>
      </c>
      <c r="P13" s="4" t="s">
        <v>347</v>
      </c>
      <c r="Q13" s="4" t="s">
        <v>348</v>
      </c>
      <c r="R13" s="4" t="s">
        <v>581</v>
      </c>
      <c r="T13" s="352" t="s">
        <v>469</v>
      </c>
      <c r="U13" s="353">
        <v>76.0</v>
      </c>
      <c r="V13" s="353">
        <v>68.0</v>
      </c>
      <c r="W13" s="354"/>
      <c r="X13" s="356">
        <v>65.0</v>
      </c>
      <c r="Z13" s="352" t="s">
        <v>469</v>
      </c>
      <c r="AA13" s="354"/>
      <c r="AB13" s="354"/>
      <c r="AC13" s="354"/>
      <c r="AD13" s="354"/>
      <c r="AG13" s="31" t="s">
        <v>1009</v>
      </c>
    </row>
    <row r="14">
      <c r="D14" s="111"/>
      <c r="E14" s="117"/>
      <c r="F14" s="112"/>
      <c r="G14" s="112"/>
      <c r="H14" s="112"/>
      <c r="I14" s="117"/>
      <c r="J14" s="112"/>
      <c r="N14" s="4" t="s">
        <v>62</v>
      </c>
      <c r="O14" s="423">
        <v>78.9</v>
      </c>
      <c r="P14" s="423">
        <v>80.1</v>
      </c>
      <c r="Q14" s="232">
        <v>83.0</v>
      </c>
      <c r="R14" s="226">
        <f t="shared" ref="R14:R17" si="9">AVERAGE(O14:Q14)</f>
        <v>80.66666667</v>
      </c>
      <c r="T14" s="352" t="s">
        <v>470</v>
      </c>
      <c r="U14" s="353">
        <v>76.0</v>
      </c>
      <c r="V14" s="353">
        <v>68.0</v>
      </c>
      <c r="W14" s="354"/>
      <c r="X14" s="355">
        <v>65.0</v>
      </c>
      <c r="Z14" s="352" t="s">
        <v>470</v>
      </c>
      <c r="AA14" s="354"/>
      <c r="AB14" s="354"/>
      <c r="AC14" s="354"/>
      <c r="AD14" s="354"/>
      <c r="AE14" s="4"/>
      <c r="AF14" s="4"/>
      <c r="AG14" s="428">
        <v>45954.0</v>
      </c>
      <c r="AH14" s="428">
        <v>46010.0</v>
      </c>
    </row>
    <row r="15">
      <c r="D15" s="111"/>
      <c r="E15" s="117"/>
      <c r="F15" s="112"/>
      <c r="G15" s="112"/>
      <c r="H15" s="112"/>
      <c r="I15" s="117"/>
      <c r="J15" s="112"/>
      <c r="N15" s="4" t="s">
        <v>28</v>
      </c>
      <c r="O15" s="423">
        <v>71.0</v>
      </c>
      <c r="P15" s="232">
        <v>67.9</v>
      </c>
      <c r="Q15" s="232">
        <v>68.0</v>
      </c>
      <c r="R15" s="226">
        <f t="shared" si="9"/>
        <v>68.96666667</v>
      </c>
      <c r="T15" s="357" t="s">
        <v>906</v>
      </c>
      <c r="U15" s="353">
        <v>76.0</v>
      </c>
      <c r="V15" s="353">
        <v>68.0</v>
      </c>
      <c r="W15" s="354"/>
      <c r="X15" s="356">
        <v>64.0</v>
      </c>
      <c r="Z15" s="357" t="s">
        <v>906</v>
      </c>
      <c r="AA15" s="354"/>
      <c r="AB15" s="354"/>
      <c r="AC15" s="354"/>
      <c r="AD15" s="354"/>
      <c r="AE15" s="4"/>
      <c r="AF15" s="41"/>
      <c r="AG15" s="4">
        <v>17.0</v>
      </c>
      <c r="AH15" s="4">
        <v>17.0</v>
      </c>
      <c r="AK15" s="3">
        <v>17.0</v>
      </c>
    </row>
    <row r="16">
      <c r="D16" s="111" t="s">
        <v>241</v>
      </c>
      <c r="E16" s="117">
        <v>7.0</v>
      </c>
      <c r="F16" s="112">
        <v>7.3</v>
      </c>
      <c r="G16" s="112"/>
      <c r="H16" s="112"/>
      <c r="I16" s="117"/>
      <c r="J16" s="112"/>
      <c r="N16" s="4" t="s">
        <v>582</v>
      </c>
      <c r="O16" s="232">
        <v>57.1</v>
      </c>
      <c r="P16" s="232">
        <v>56.1</v>
      </c>
      <c r="Q16" s="232">
        <v>55.6</v>
      </c>
      <c r="R16" s="226">
        <f t="shared" si="9"/>
        <v>56.26666667</v>
      </c>
      <c r="T16" s="358" t="s">
        <v>908</v>
      </c>
      <c r="U16" s="353">
        <v>76.0</v>
      </c>
      <c r="V16" s="353">
        <v>68.0</v>
      </c>
      <c r="W16" s="354"/>
      <c r="X16" s="356">
        <v>64.0</v>
      </c>
      <c r="Z16" s="358" t="s">
        <v>908</v>
      </c>
      <c r="AA16" s="354"/>
      <c r="AB16" s="354"/>
      <c r="AC16" s="354"/>
      <c r="AD16" s="354"/>
      <c r="AE16" s="4"/>
      <c r="AF16" s="4"/>
      <c r="AG16" s="4">
        <v>0.0</v>
      </c>
      <c r="AH16" s="5">
        <f>(AH15-AG15)*100</f>
        <v>0</v>
      </c>
      <c r="AI16" s="4">
        <v>17.0</v>
      </c>
      <c r="AJ16" s="3" t="s">
        <v>468</v>
      </c>
      <c r="AK16" s="3">
        <v>17.0</v>
      </c>
    </row>
    <row r="17">
      <c r="C17" s="10"/>
      <c r="D17" s="10"/>
      <c r="E17" s="10"/>
      <c r="F17" s="10"/>
      <c r="G17" s="10"/>
      <c r="H17" s="10"/>
      <c r="I17" s="10"/>
      <c r="J17" s="10"/>
      <c r="N17" s="4" t="s">
        <v>583</v>
      </c>
      <c r="O17" s="112">
        <f t="shared" ref="O17:Q17" si="10">O15-O16</f>
        <v>13.9</v>
      </c>
      <c r="P17" s="112">
        <f t="shared" si="10"/>
        <v>11.8</v>
      </c>
      <c r="Q17" s="112">
        <f t="shared" si="10"/>
        <v>12.4</v>
      </c>
      <c r="R17" s="226">
        <f t="shared" si="9"/>
        <v>12.7</v>
      </c>
      <c r="T17" s="358" t="s">
        <v>910</v>
      </c>
      <c r="U17" s="359">
        <f t="shared" ref="U17:X17" si="11">AVERAGE(U12:U14)</f>
        <v>76</v>
      </c>
      <c r="V17" s="359">
        <f t="shared" si="11"/>
        <v>68</v>
      </c>
      <c r="W17" s="359" t="str">
        <f t="shared" si="11"/>
        <v>#DIV/0!</v>
      </c>
      <c r="X17" s="360">
        <f t="shared" si="11"/>
        <v>64.66666667</v>
      </c>
      <c r="Z17" s="358" t="s">
        <v>910</v>
      </c>
      <c r="AA17" s="359" t="str">
        <f t="shared" ref="AA17:AD17" si="12">AVERAGE(AA12:AA14)</f>
        <v>#DIV/0!</v>
      </c>
      <c r="AB17" s="359" t="str">
        <f t="shared" si="12"/>
        <v>#DIV/0!</v>
      </c>
      <c r="AC17" s="359" t="str">
        <f t="shared" si="12"/>
        <v>#DIV/0!</v>
      </c>
      <c r="AD17" s="360" t="str">
        <f t="shared" si="12"/>
        <v>#DIV/0!</v>
      </c>
      <c r="AG17" s="4">
        <v>-100.0</v>
      </c>
      <c r="AH17" s="4">
        <v>0.0</v>
      </c>
      <c r="AI17" s="4">
        <v>16.0</v>
      </c>
      <c r="AJ17" s="3" t="s">
        <v>470</v>
      </c>
      <c r="AK17" s="3">
        <v>16.0</v>
      </c>
    </row>
    <row r="18">
      <c r="E18" s="118"/>
      <c r="F18" s="118"/>
      <c r="G18" s="118"/>
      <c r="H18" s="118"/>
      <c r="I18" s="118"/>
      <c r="J18" s="118"/>
      <c r="K18" s="425">
        <v>78.9</v>
      </c>
      <c r="L18" s="426">
        <v>80.1</v>
      </c>
      <c r="T18" s="361" t="s">
        <v>912</v>
      </c>
      <c r="U18" s="362">
        <f t="shared" ref="U18:X18" si="13">AVERAGE(U12:U16)</f>
        <v>76</v>
      </c>
      <c r="V18" s="362">
        <f t="shared" si="13"/>
        <v>68</v>
      </c>
      <c r="W18" s="362" t="str">
        <f t="shared" si="13"/>
        <v>#DIV/0!</v>
      </c>
      <c r="X18" s="363">
        <f t="shared" si="13"/>
        <v>64.4</v>
      </c>
      <c r="Z18" s="361" t="s">
        <v>912</v>
      </c>
      <c r="AA18" s="362" t="str">
        <f t="shared" ref="AA18:AD18" si="14">AVERAGE(AA12:AA16)</f>
        <v>#DIV/0!</v>
      </c>
      <c r="AB18" s="362" t="str">
        <f t="shared" si="14"/>
        <v>#DIV/0!</v>
      </c>
      <c r="AC18" s="362" t="str">
        <f t="shared" si="14"/>
        <v>#DIV/0!</v>
      </c>
      <c r="AD18" s="363" t="str">
        <f t="shared" si="14"/>
        <v>#DIV/0!</v>
      </c>
      <c r="AF18" s="4"/>
      <c r="AG18" s="4">
        <v>0.0</v>
      </c>
      <c r="AH18" s="4">
        <v>0.0</v>
      </c>
      <c r="AI18" s="4">
        <v>17.0</v>
      </c>
      <c r="AJ18" s="3" t="s">
        <v>469</v>
      </c>
    </row>
    <row r="19">
      <c r="E19" s="118"/>
      <c r="F19" s="118"/>
      <c r="G19" s="118"/>
      <c r="H19" s="118"/>
      <c r="I19" s="118"/>
      <c r="J19" s="118"/>
      <c r="K19" s="425">
        <v>10.98</v>
      </c>
      <c r="L19" s="426">
        <v>11.12</v>
      </c>
      <c r="S19" s="364"/>
      <c r="T19" s="364"/>
      <c r="U19" s="365">
        <v>45747.0</v>
      </c>
      <c r="V19" s="365">
        <f t="shared" ref="V19:X19" si="15">EOMONTH(U19,3)</f>
        <v>45838</v>
      </c>
      <c r="W19" s="365">
        <f t="shared" si="15"/>
        <v>45930</v>
      </c>
      <c r="X19" s="365">
        <f t="shared" si="15"/>
        <v>46022</v>
      </c>
      <c r="Z19" s="364"/>
      <c r="AA19" s="427">
        <v>46112.0</v>
      </c>
      <c r="AB19" s="365">
        <f t="shared" ref="AB19:AD19" si="16">EOMONTH(AA19,3)</f>
        <v>46203</v>
      </c>
      <c r="AC19" s="365">
        <f t="shared" si="16"/>
        <v>46295</v>
      </c>
      <c r="AD19" s="365">
        <f t="shared" si="16"/>
        <v>46387</v>
      </c>
      <c r="AG19" s="4">
        <v>0.0</v>
      </c>
      <c r="AH19" s="4">
        <v>-100.0</v>
      </c>
      <c r="AI19" s="4">
        <v>16.0</v>
      </c>
      <c r="AJ19" s="3" t="s">
        <v>906</v>
      </c>
    </row>
    <row r="20">
      <c r="E20" s="118"/>
      <c r="F20" s="118"/>
      <c r="G20" s="118"/>
      <c r="H20" s="118"/>
      <c r="I20" s="118"/>
      <c r="J20" s="118"/>
      <c r="K20" s="425">
        <v>7.14</v>
      </c>
      <c r="L20" s="426">
        <v>7.18</v>
      </c>
      <c r="M20" s="308"/>
      <c r="O20" s="3" t="s">
        <v>1177</v>
      </c>
      <c r="P20" s="3" t="s">
        <v>1187</v>
      </c>
      <c r="Q20" s="4"/>
      <c r="R20" s="55"/>
      <c r="S20" s="366" t="s">
        <v>1011</v>
      </c>
      <c r="T20" s="367" t="s">
        <v>786</v>
      </c>
      <c r="U20" s="368"/>
      <c r="V20" s="348"/>
      <c r="W20" s="348"/>
      <c r="X20" s="349">
        <v>79.0</v>
      </c>
      <c r="Y20" s="366" t="s">
        <v>1011</v>
      </c>
      <c r="Z20" s="367" t="s">
        <v>786</v>
      </c>
      <c r="AA20" s="348">
        <v>77.0</v>
      </c>
      <c r="AB20" s="348">
        <v>79.0</v>
      </c>
      <c r="AC20" s="348">
        <v>87.0</v>
      </c>
      <c r="AD20" s="349">
        <v>93.0</v>
      </c>
      <c r="AG20" s="4">
        <v>0.0</v>
      </c>
      <c r="AH20" s="4">
        <v>0.0</v>
      </c>
      <c r="AI20" s="4">
        <v>17.0</v>
      </c>
      <c r="AJ20" s="3" t="s">
        <v>1180</v>
      </c>
    </row>
    <row r="21">
      <c r="E21" s="118"/>
      <c r="F21" s="118"/>
      <c r="G21" s="118"/>
      <c r="H21" s="118"/>
      <c r="I21" s="118"/>
      <c r="J21" s="118"/>
      <c r="K21" s="425">
        <v>93.4</v>
      </c>
      <c r="L21" s="426">
        <v>93.2</v>
      </c>
      <c r="M21" s="309"/>
      <c r="O21" s="4" t="s">
        <v>350</v>
      </c>
      <c r="P21" s="4" t="s">
        <v>353</v>
      </c>
      <c r="Q21" s="4" t="s">
        <v>355</v>
      </c>
      <c r="R21" s="4" t="s">
        <v>581</v>
      </c>
      <c r="S21" s="53"/>
      <c r="T21" s="352" t="s">
        <v>468</v>
      </c>
      <c r="U21" s="353">
        <v>93.0</v>
      </c>
      <c r="V21" s="353">
        <v>81.0</v>
      </c>
      <c r="W21" s="353">
        <v>81.0</v>
      </c>
      <c r="X21" s="355">
        <v>81.0</v>
      </c>
      <c r="Y21" s="3" t="s">
        <v>1188</v>
      </c>
      <c r="Z21" s="352" t="s">
        <v>468</v>
      </c>
      <c r="AA21" s="354">
        <v>81.0</v>
      </c>
      <c r="AB21" s="354">
        <v>83.0</v>
      </c>
      <c r="AC21" s="354">
        <v>85.0</v>
      </c>
      <c r="AD21" s="355">
        <v>87.0</v>
      </c>
      <c r="AE21" s="3" t="s">
        <v>1189</v>
      </c>
    </row>
    <row r="22">
      <c r="E22" s="118"/>
      <c r="F22" s="118"/>
      <c r="G22" s="118"/>
      <c r="H22" s="118"/>
      <c r="I22" s="118"/>
      <c r="J22" s="118"/>
      <c r="K22" s="425">
        <v>1.17</v>
      </c>
      <c r="L22" s="426">
        <v>1.16</v>
      </c>
      <c r="M22" s="309"/>
      <c r="N22" s="4" t="s">
        <v>62</v>
      </c>
      <c r="O22" s="236">
        <v>81.0</v>
      </c>
      <c r="P22" s="236"/>
      <c r="Q22" s="236"/>
      <c r="R22" s="226">
        <f t="shared" ref="R22:R25" si="17">AVERAGE(O22:Q22)</f>
        <v>81</v>
      </c>
      <c r="S22" s="369"/>
      <c r="T22" s="352" t="s">
        <v>469</v>
      </c>
      <c r="U22" s="353">
        <v>93.0</v>
      </c>
      <c r="V22" s="353">
        <v>81.0</v>
      </c>
      <c r="W22" s="353">
        <v>81.0</v>
      </c>
      <c r="X22" s="356">
        <v>81.0</v>
      </c>
      <c r="Z22" s="352" t="s">
        <v>469</v>
      </c>
      <c r="AA22" s="354">
        <v>77.0</v>
      </c>
      <c r="AB22" s="354">
        <v>80.0</v>
      </c>
      <c r="AC22" s="354">
        <v>87.0</v>
      </c>
      <c r="AD22" s="356">
        <v>93.0</v>
      </c>
      <c r="AE22" s="3" t="s">
        <v>1190</v>
      </c>
      <c r="AG22" s="345">
        <v>45863.0</v>
      </c>
      <c r="AH22" s="4" t="s">
        <v>983</v>
      </c>
      <c r="AI22" s="345">
        <v>45954.0</v>
      </c>
      <c r="AJ22" s="345">
        <v>46010.0</v>
      </c>
    </row>
    <row r="23">
      <c r="E23" s="118"/>
      <c r="F23" s="118"/>
      <c r="G23" s="118"/>
      <c r="H23" s="118"/>
      <c r="I23" s="118"/>
      <c r="J23" s="118"/>
      <c r="K23" s="425">
        <v>71.0</v>
      </c>
      <c r="L23" s="426">
        <v>68.0</v>
      </c>
      <c r="M23" s="309"/>
      <c r="N23" s="4" t="s">
        <v>28</v>
      </c>
      <c r="O23" s="236">
        <v>65.0</v>
      </c>
      <c r="P23" s="236"/>
      <c r="Q23" s="236"/>
      <c r="R23" s="226">
        <f t="shared" si="17"/>
        <v>65</v>
      </c>
      <c r="S23" s="369"/>
      <c r="T23" s="352" t="s">
        <v>470</v>
      </c>
      <c r="U23" s="353">
        <v>93.0</v>
      </c>
      <c r="V23" s="353">
        <v>81.0</v>
      </c>
      <c r="W23" s="353">
        <v>81.0</v>
      </c>
      <c r="X23" s="356">
        <v>79.0</v>
      </c>
      <c r="Z23" s="352" t="s">
        <v>470</v>
      </c>
      <c r="AA23" s="354">
        <v>77.0</v>
      </c>
      <c r="AB23" s="354">
        <v>79.0</v>
      </c>
      <c r="AC23" s="354">
        <v>85.0</v>
      </c>
      <c r="AD23" s="356">
        <v>90.0</v>
      </c>
      <c r="AG23" s="4">
        <v>18.0</v>
      </c>
      <c r="AH23" s="4">
        <v>17.0</v>
      </c>
      <c r="AI23" s="4">
        <v>15.0</v>
      </c>
      <c r="AJ23" s="4">
        <v>14.0</v>
      </c>
    </row>
    <row r="24">
      <c r="E24" s="118"/>
      <c r="F24" s="118"/>
      <c r="G24" s="118"/>
      <c r="H24" s="118"/>
      <c r="I24" s="118"/>
      <c r="J24" s="118"/>
      <c r="K24" s="425">
        <v>57.4</v>
      </c>
      <c r="L24" s="426">
        <v>56.1</v>
      </c>
      <c r="M24" s="309"/>
      <c r="N24" s="4" t="s">
        <v>582</v>
      </c>
      <c r="O24" s="236">
        <v>52.1</v>
      </c>
      <c r="P24" s="236"/>
      <c r="Q24" s="236"/>
      <c r="R24" s="226">
        <f t="shared" si="17"/>
        <v>52.1</v>
      </c>
      <c r="S24" s="364"/>
      <c r="T24" s="357" t="s">
        <v>906</v>
      </c>
      <c r="U24" s="353">
        <v>93.0</v>
      </c>
      <c r="V24" s="353">
        <v>81.0</v>
      </c>
      <c r="W24" s="353">
        <v>81.0</v>
      </c>
      <c r="X24" s="356">
        <v>80.0</v>
      </c>
      <c r="Z24" s="357" t="s">
        <v>906</v>
      </c>
      <c r="AA24" s="354">
        <v>78.0</v>
      </c>
      <c r="AB24" s="354">
        <v>80.0</v>
      </c>
      <c r="AC24" s="354">
        <v>86.0</v>
      </c>
      <c r="AD24" s="356">
        <v>91.0</v>
      </c>
      <c r="AG24" s="4">
        <v>18.0</v>
      </c>
      <c r="AH24" s="4">
        <v>16.0</v>
      </c>
      <c r="AI24" s="4">
        <v>15.0</v>
      </c>
      <c r="AJ24" s="4">
        <v>14.0</v>
      </c>
    </row>
    <row r="25">
      <c r="E25" s="118"/>
      <c r="F25" s="118"/>
      <c r="G25" s="118"/>
      <c r="H25" s="118"/>
      <c r="I25" s="118"/>
      <c r="J25" s="118"/>
      <c r="M25" s="308"/>
      <c r="N25" s="4" t="s">
        <v>583</v>
      </c>
      <c r="O25" s="112">
        <f t="shared" ref="O25:Q25" si="18">O23-O24</f>
        <v>12.9</v>
      </c>
      <c r="P25" s="112">
        <f t="shared" si="18"/>
        <v>0</v>
      </c>
      <c r="Q25" s="112">
        <f t="shared" si="18"/>
        <v>0</v>
      </c>
      <c r="R25" s="226">
        <f t="shared" si="17"/>
        <v>4.3</v>
      </c>
      <c r="S25" s="370"/>
      <c r="T25" s="358" t="s">
        <v>908</v>
      </c>
      <c r="U25" s="353">
        <v>93.0</v>
      </c>
      <c r="V25" s="353">
        <v>81.0</v>
      </c>
      <c r="W25" s="353">
        <v>81.0</v>
      </c>
      <c r="X25" s="356">
        <v>79.0</v>
      </c>
      <c r="Z25" s="358" t="s">
        <v>908</v>
      </c>
      <c r="AA25" s="354">
        <v>77.0</v>
      </c>
      <c r="AB25" s="354">
        <v>83.0</v>
      </c>
      <c r="AC25" s="354">
        <v>90.0</v>
      </c>
      <c r="AD25" s="356">
        <v>95.0</v>
      </c>
    </row>
    <row r="26">
      <c r="A26" s="3"/>
      <c r="B26" s="12"/>
      <c r="C26" s="12"/>
      <c r="D26" s="13"/>
      <c r="E26" s="13"/>
      <c r="F26" s="13"/>
      <c r="G26" s="13"/>
      <c r="H26" s="13"/>
      <c r="I26" s="13"/>
      <c r="J26" s="13"/>
      <c r="M26" s="308"/>
      <c r="N26" s="309"/>
      <c r="S26" s="370"/>
      <c r="T26" s="358" t="s">
        <v>910</v>
      </c>
      <c r="U26" s="359">
        <f t="shared" ref="U26:X26" si="19">AVERAGE(U21:U23)</f>
        <v>93</v>
      </c>
      <c r="V26" s="359">
        <f t="shared" si="19"/>
        <v>81</v>
      </c>
      <c r="W26" s="359">
        <f t="shared" si="19"/>
        <v>81</v>
      </c>
      <c r="X26" s="360">
        <f t="shared" si="19"/>
        <v>80.33333333</v>
      </c>
      <c r="Z26" s="358" t="s">
        <v>910</v>
      </c>
      <c r="AA26" s="359">
        <f t="shared" ref="AA26:AD26" si="20">AVERAGE(AA21:AA23)</f>
        <v>78.33333333</v>
      </c>
      <c r="AB26" s="359">
        <f t="shared" si="20"/>
        <v>80.66666667</v>
      </c>
      <c r="AC26" s="359">
        <f t="shared" si="20"/>
        <v>85.66666667</v>
      </c>
      <c r="AD26" s="360">
        <f t="shared" si="20"/>
        <v>90</v>
      </c>
    </row>
    <row r="27">
      <c r="S27" s="55"/>
      <c r="T27" s="361" t="s">
        <v>912</v>
      </c>
      <c r="U27" s="362">
        <f t="shared" ref="U27:X27" si="21">AVERAGE(U21:U25)</f>
        <v>93</v>
      </c>
      <c r="V27" s="362">
        <f t="shared" si="21"/>
        <v>81</v>
      </c>
      <c r="W27" s="362">
        <f t="shared" si="21"/>
        <v>81</v>
      </c>
      <c r="X27" s="363">
        <f t="shared" si="21"/>
        <v>80</v>
      </c>
      <c r="Z27" s="361" t="s">
        <v>912</v>
      </c>
      <c r="AA27" s="362">
        <f t="shared" ref="AA27:AD27" si="22">AVERAGE(AA21:AA25)</f>
        <v>78</v>
      </c>
      <c r="AB27" s="362">
        <f t="shared" si="22"/>
        <v>81</v>
      </c>
      <c r="AC27" s="362">
        <f t="shared" si="22"/>
        <v>86.6</v>
      </c>
      <c r="AD27" s="363">
        <f t="shared" si="22"/>
        <v>91.2</v>
      </c>
    </row>
    <row r="28">
      <c r="Q28" s="4"/>
      <c r="R28" s="55"/>
      <c r="S28" s="366" t="s">
        <v>81</v>
      </c>
      <c r="T28" s="371" t="s">
        <v>786</v>
      </c>
      <c r="U28" s="372"/>
      <c r="V28" s="372"/>
      <c r="W28" s="372"/>
      <c r="X28" s="373">
        <v>5.5</v>
      </c>
      <c r="Y28" s="366" t="s">
        <v>81</v>
      </c>
      <c r="Z28" s="371" t="s">
        <v>786</v>
      </c>
      <c r="AA28" s="372"/>
      <c r="AB28" s="372"/>
      <c r="AC28" s="372"/>
      <c r="AD28" s="373">
        <v>5.6</v>
      </c>
    </row>
    <row r="29">
      <c r="Q29" s="4"/>
      <c r="R29" s="55"/>
      <c r="S29" s="53"/>
      <c r="T29" s="374" t="s">
        <v>468</v>
      </c>
      <c r="U29" s="53"/>
      <c r="V29" s="53"/>
      <c r="W29" s="53"/>
      <c r="X29" s="376">
        <v>6.9</v>
      </c>
      <c r="Y29" s="99" t="s">
        <v>1191</v>
      </c>
      <c r="Z29" s="374" t="s">
        <v>468</v>
      </c>
      <c r="AA29" s="53"/>
      <c r="AB29" s="53"/>
      <c r="AC29" s="53"/>
      <c r="AD29" s="376">
        <v>5.6</v>
      </c>
      <c r="AE29" s="99" t="s">
        <v>1192</v>
      </c>
    </row>
    <row r="30">
      <c r="M30" s="308"/>
      <c r="Q30" s="4"/>
      <c r="R30" s="55"/>
      <c r="S30" s="53"/>
      <c r="T30" s="352" t="s">
        <v>469</v>
      </c>
      <c r="U30" s="53"/>
      <c r="V30" s="53"/>
      <c r="W30" s="53"/>
      <c r="X30" s="376">
        <v>6.7</v>
      </c>
      <c r="Y30" s="99" t="s">
        <v>1193</v>
      </c>
      <c r="Z30" s="352" t="s">
        <v>469</v>
      </c>
      <c r="AA30" s="53"/>
      <c r="AB30" s="53"/>
      <c r="AC30" s="53"/>
      <c r="AD30" s="376">
        <v>5.6</v>
      </c>
      <c r="AE30" s="99" t="s">
        <v>1194</v>
      </c>
    </row>
    <row r="31">
      <c r="M31" s="309"/>
      <c r="Q31" s="4"/>
      <c r="R31" s="55"/>
      <c r="S31" s="53"/>
      <c r="T31" s="374" t="s">
        <v>470</v>
      </c>
      <c r="U31" s="53"/>
      <c r="V31" s="53"/>
      <c r="W31" s="53"/>
      <c r="X31" s="376">
        <v>6.25</v>
      </c>
      <c r="Y31" s="99" t="s">
        <v>1195</v>
      </c>
      <c r="Z31" s="374" t="s">
        <v>470</v>
      </c>
      <c r="AA31" s="53"/>
      <c r="AB31" s="53"/>
      <c r="AC31" s="53"/>
      <c r="AD31" s="376">
        <v>5.6</v>
      </c>
    </row>
    <row r="32">
      <c r="M32" s="309"/>
      <c r="Q32" s="4"/>
      <c r="R32" s="55"/>
      <c r="S32" s="377"/>
      <c r="T32" s="358" t="s">
        <v>906</v>
      </c>
      <c r="U32" s="55"/>
      <c r="V32" s="55"/>
      <c r="W32" s="55"/>
      <c r="X32" s="376">
        <v>6.8</v>
      </c>
      <c r="Z32" s="358" t="s">
        <v>906</v>
      </c>
      <c r="AA32" s="55"/>
      <c r="AB32" s="55"/>
      <c r="AC32" s="55"/>
      <c r="AD32" s="376">
        <v>5.6</v>
      </c>
    </row>
    <row r="33">
      <c r="M33" s="309"/>
      <c r="Q33" s="4"/>
      <c r="R33" s="55"/>
      <c r="S33" s="377"/>
      <c r="T33" s="358" t="s">
        <v>908</v>
      </c>
      <c r="U33" s="55"/>
      <c r="V33" s="55"/>
      <c r="W33" s="55"/>
      <c r="X33" s="376">
        <v>6.3</v>
      </c>
      <c r="Z33" s="358" t="s">
        <v>908</v>
      </c>
      <c r="AA33" s="55"/>
      <c r="AB33" s="55"/>
      <c r="AC33" s="55"/>
      <c r="AD33" s="376">
        <v>5.6</v>
      </c>
    </row>
    <row r="34">
      <c r="M34" s="309"/>
      <c r="Q34" s="4"/>
      <c r="R34" s="55"/>
      <c r="S34" s="377"/>
      <c r="T34" s="378" t="s">
        <v>910</v>
      </c>
      <c r="U34" s="55"/>
      <c r="V34" s="55"/>
      <c r="W34" s="55"/>
      <c r="X34" s="379">
        <f>AVERAGE(X29:X31)</f>
        <v>6.616666667</v>
      </c>
      <c r="Z34" s="378" t="s">
        <v>910</v>
      </c>
      <c r="AA34" s="55"/>
      <c r="AB34" s="55"/>
      <c r="AC34" s="55"/>
      <c r="AD34" s="379">
        <f>AVERAGE(AD29:AD31)</f>
        <v>5.6</v>
      </c>
    </row>
    <row r="35">
      <c r="M35" s="308"/>
      <c r="Q35" s="4"/>
      <c r="R35" s="55"/>
      <c r="S35" s="53"/>
      <c r="T35" s="380" t="s">
        <v>912</v>
      </c>
      <c r="U35" s="381"/>
      <c r="V35" s="381"/>
      <c r="W35" s="382"/>
      <c r="X35" s="383">
        <f>AVERAGE(X29:X33)</f>
        <v>6.59</v>
      </c>
      <c r="Z35" s="380" t="s">
        <v>912</v>
      </c>
      <c r="AA35" s="381"/>
      <c r="AB35" s="381"/>
      <c r="AC35" s="382"/>
      <c r="AD35" s="383">
        <f>AVERAGE(AD29:AD33)</f>
        <v>5.6</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418">
        <v>17.0</v>
      </c>
      <c r="X37" s="389">
        <v>17.0</v>
      </c>
      <c r="Y37" s="3" t="s">
        <v>1196</v>
      </c>
      <c r="Z37" s="386" t="s">
        <v>468</v>
      </c>
      <c r="AA37" s="388">
        <v>16.0</v>
      </c>
      <c r="AB37" s="276">
        <v>15.0</v>
      </c>
      <c r="AC37" s="276">
        <v>15.0</v>
      </c>
      <c r="AD37" s="276">
        <v>14.0</v>
      </c>
    </row>
    <row r="38">
      <c r="N38" s="31" t="s">
        <v>586</v>
      </c>
      <c r="S38" s="55"/>
      <c r="T38" s="386" t="s">
        <v>469</v>
      </c>
      <c r="U38" s="419">
        <v>21.0</v>
      </c>
      <c r="V38" s="420">
        <v>20.0</v>
      </c>
      <c r="W38" s="418">
        <v>17.0</v>
      </c>
      <c r="X38" s="398">
        <v>17.0</v>
      </c>
      <c r="Y38" s="3" t="s">
        <v>1197</v>
      </c>
      <c r="Z38" s="386" t="s">
        <v>469</v>
      </c>
      <c r="AA38" s="396">
        <v>16.0</v>
      </c>
      <c r="AB38" s="396">
        <v>15.0</v>
      </c>
      <c r="AC38" s="397">
        <v>15.0</v>
      </c>
      <c r="AD38" s="398">
        <v>14.0</v>
      </c>
    </row>
    <row r="39">
      <c r="N39" s="3" t="s">
        <v>587</v>
      </c>
      <c r="Q39" s="3" t="s">
        <v>588</v>
      </c>
      <c r="S39" s="55"/>
      <c r="T39" s="386" t="s">
        <v>470</v>
      </c>
      <c r="U39" s="417">
        <v>21.0</v>
      </c>
      <c r="V39" s="421">
        <v>20.0</v>
      </c>
      <c r="W39" s="418">
        <v>17.0</v>
      </c>
      <c r="X39" s="276">
        <v>16.0</v>
      </c>
      <c r="Y39" s="3" t="s">
        <v>1198</v>
      </c>
      <c r="Z39" s="386" t="s">
        <v>470</v>
      </c>
      <c r="AA39" s="388">
        <v>16.0</v>
      </c>
      <c r="AB39" s="276">
        <v>15.0</v>
      </c>
      <c r="AC39" s="276">
        <v>15.0</v>
      </c>
      <c r="AD39" s="276">
        <v>14.0</v>
      </c>
    </row>
    <row r="40">
      <c r="N40" s="3" t="s">
        <v>589</v>
      </c>
      <c r="Q40" s="3" t="s">
        <v>590</v>
      </c>
      <c r="S40" s="394"/>
      <c r="T40" s="395" t="s">
        <v>906</v>
      </c>
      <c r="U40" s="419">
        <v>21.0</v>
      </c>
      <c r="V40" s="420">
        <v>20.0</v>
      </c>
      <c r="W40" s="418">
        <v>17.0</v>
      </c>
      <c r="X40" s="398">
        <v>16.0</v>
      </c>
      <c r="Y40" s="3" t="s">
        <v>1199</v>
      </c>
      <c r="Z40" s="395" t="s">
        <v>906</v>
      </c>
      <c r="AA40" s="396">
        <v>15.0</v>
      </c>
      <c r="AB40" s="396">
        <v>14.0</v>
      </c>
      <c r="AC40" s="397">
        <v>14.0</v>
      </c>
      <c r="AD40" s="398">
        <v>13.0</v>
      </c>
      <c r="AE40" s="3" t="s">
        <v>1200</v>
      </c>
    </row>
    <row r="41">
      <c r="N41" s="3" t="s">
        <v>591</v>
      </c>
      <c r="Q41" s="3" t="s">
        <v>592</v>
      </c>
      <c r="S41" s="394"/>
      <c r="T41" s="395" t="s">
        <v>908</v>
      </c>
      <c r="U41" s="417"/>
      <c r="V41" s="418"/>
      <c r="W41" s="418">
        <v>17.0</v>
      </c>
      <c r="X41" s="389">
        <v>17.0</v>
      </c>
      <c r="Z41" s="395" t="s">
        <v>908</v>
      </c>
      <c r="AA41" s="388">
        <v>16.0</v>
      </c>
      <c r="AB41" s="388">
        <v>14.0</v>
      </c>
      <c r="AC41" s="399">
        <v>13.0</v>
      </c>
      <c r="AD41" s="399">
        <v>13.0</v>
      </c>
      <c r="AE41" s="3" t="s">
        <v>1200</v>
      </c>
    </row>
    <row r="42">
      <c r="N42" s="3" t="s">
        <v>593</v>
      </c>
      <c r="Q42" s="3" t="s">
        <v>594</v>
      </c>
      <c r="S42" s="394"/>
      <c r="T42" s="400" t="s">
        <v>910</v>
      </c>
      <c r="U42" s="359">
        <f t="shared" ref="U42:X42" si="23">AVERAGE(U37:U39)</f>
        <v>21</v>
      </c>
      <c r="V42" s="359">
        <f t="shared" si="23"/>
        <v>20</v>
      </c>
      <c r="W42" s="359">
        <f t="shared" si="23"/>
        <v>17</v>
      </c>
      <c r="X42" s="360">
        <f t="shared" si="23"/>
        <v>16.66666667</v>
      </c>
      <c r="Z42" s="400" t="s">
        <v>910</v>
      </c>
      <c r="AA42" s="359">
        <f t="shared" ref="AA42:AD42" si="24">AVERAGE(AA37:AA39)</f>
        <v>16</v>
      </c>
      <c r="AB42" s="359">
        <f t="shared" si="24"/>
        <v>15</v>
      </c>
      <c r="AC42" s="359">
        <f t="shared" si="24"/>
        <v>15</v>
      </c>
      <c r="AD42" s="360">
        <f t="shared" si="24"/>
        <v>14</v>
      </c>
    </row>
    <row r="43">
      <c r="N43" s="3" t="s">
        <v>595</v>
      </c>
      <c r="Q43" s="3" t="s">
        <v>596</v>
      </c>
      <c r="S43" s="55"/>
      <c r="T43" s="401" t="s">
        <v>912</v>
      </c>
      <c r="U43" s="362">
        <f t="shared" ref="U43:X43" si="25">AVERAGE(U37:U41)</f>
        <v>21</v>
      </c>
      <c r="V43" s="362">
        <f t="shared" si="25"/>
        <v>20</v>
      </c>
      <c r="W43" s="362">
        <f t="shared" si="25"/>
        <v>17</v>
      </c>
      <c r="X43" s="363">
        <f t="shared" si="25"/>
        <v>16.6</v>
      </c>
      <c r="Z43" s="401" t="s">
        <v>912</v>
      </c>
      <c r="AA43" s="362">
        <f t="shared" ref="AA43:AD43" si="26">AVERAGE(AA37:AA41)</f>
        <v>15.8</v>
      </c>
      <c r="AB43" s="362">
        <f t="shared" si="26"/>
        <v>14.6</v>
      </c>
      <c r="AC43" s="362">
        <f t="shared" si="26"/>
        <v>14.4</v>
      </c>
      <c r="AD43" s="363">
        <f t="shared" si="26"/>
        <v>13.6</v>
      </c>
    </row>
    <row r="44">
      <c r="N44" s="3" t="s">
        <v>597</v>
      </c>
      <c r="Q44" s="3" t="s">
        <v>598</v>
      </c>
      <c r="S44" s="384" t="s">
        <v>78</v>
      </c>
      <c r="T44" s="402" t="s">
        <v>786</v>
      </c>
      <c r="U44" s="403"/>
      <c r="V44" s="403"/>
      <c r="W44" s="403"/>
      <c r="X44" s="412">
        <v>0.7</v>
      </c>
      <c r="Z44" s="402" t="s">
        <v>786</v>
      </c>
      <c r="AA44" s="403"/>
      <c r="AB44" s="403"/>
      <c r="AC44" s="403"/>
      <c r="AD44" s="412">
        <v>1.7</v>
      </c>
      <c r="AE44" s="3" t="s">
        <v>1165</v>
      </c>
    </row>
    <row r="45">
      <c r="N45" s="3" t="s">
        <v>599</v>
      </c>
      <c r="Q45" s="3" t="s">
        <v>600</v>
      </c>
      <c r="S45" s="55"/>
      <c r="T45" s="405" t="s">
        <v>468</v>
      </c>
      <c r="U45" s="55"/>
      <c r="V45" s="55"/>
      <c r="W45" s="55"/>
      <c r="X45" s="376">
        <v>1.0</v>
      </c>
      <c r="Z45" s="405" t="s">
        <v>468</v>
      </c>
      <c r="AA45" s="55"/>
      <c r="AB45" s="55"/>
      <c r="AC45" s="55"/>
      <c r="AD45" s="376">
        <v>1.0</v>
      </c>
    </row>
    <row r="46">
      <c r="S46" s="55"/>
      <c r="T46" s="405" t="s">
        <v>469</v>
      </c>
      <c r="U46" s="55"/>
      <c r="V46" s="55"/>
      <c r="W46" s="55"/>
      <c r="X46" s="376">
        <v>1.0</v>
      </c>
      <c r="Z46" s="405" t="s">
        <v>469</v>
      </c>
      <c r="AA46" s="55"/>
      <c r="AB46" s="55"/>
      <c r="AC46" s="55"/>
      <c r="AD46" s="376">
        <v>1.0</v>
      </c>
    </row>
    <row r="47">
      <c r="N47" s="3" t="s">
        <v>601</v>
      </c>
      <c r="Q47" s="3" t="s">
        <v>602</v>
      </c>
      <c r="S47" s="55"/>
      <c r="T47" s="405" t="s">
        <v>470</v>
      </c>
      <c r="U47" s="55"/>
      <c r="V47" s="55"/>
      <c r="W47" s="55"/>
      <c r="X47" s="376">
        <v>0.5</v>
      </c>
      <c r="Z47" s="405" t="s">
        <v>470</v>
      </c>
      <c r="AA47" s="55"/>
      <c r="AB47" s="55"/>
      <c r="AC47" s="55"/>
      <c r="AD47" s="376">
        <v>1.7</v>
      </c>
    </row>
    <row r="48">
      <c r="Q48" s="3" t="s">
        <v>603</v>
      </c>
      <c r="S48" s="394"/>
      <c r="T48" s="407" t="s">
        <v>906</v>
      </c>
      <c r="U48" s="55"/>
      <c r="V48" s="55"/>
      <c r="W48" s="55"/>
      <c r="X48" s="376">
        <v>1.0</v>
      </c>
      <c r="Z48" s="407" t="s">
        <v>906</v>
      </c>
      <c r="AA48" s="55"/>
      <c r="AB48" s="55"/>
      <c r="AC48" s="55"/>
      <c r="AD48" s="376">
        <v>1.5</v>
      </c>
    </row>
    <row r="49">
      <c r="N49" s="3" t="s">
        <v>604</v>
      </c>
      <c r="S49" s="394"/>
      <c r="T49" s="407" t="s">
        <v>908</v>
      </c>
      <c r="U49" s="55"/>
      <c r="V49" s="408"/>
      <c r="W49" s="408"/>
      <c r="X49" s="376">
        <v>0.8</v>
      </c>
      <c r="Z49" s="407" t="s">
        <v>908</v>
      </c>
      <c r="AA49" s="55"/>
      <c r="AB49" s="408"/>
      <c r="AC49" s="408"/>
      <c r="AD49" s="376">
        <v>1.4</v>
      </c>
    </row>
    <row r="50">
      <c r="R50" s="3" t="s">
        <v>605</v>
      </c>
      <c r="S50" s="394"/>
      <c r="T50" s="409" t="s">
        <v>910</v>
      </c>
      <c r="U50" s="55"/>
      <c r="V50" s="53"/>
      <c r="W50" s="55"/>
      <c r="X50" s="379">
        <f>AVERAGE(X45:X47)</f>
        <v>0.8333333333</v>
      </c>
      <c r="Z50" s="409" t="s">
        <v>910</v>
      </c>
      <c r="AA50" s="55"/>
      <c r="AB50" s="53"/>
      <c r="AC50" s="55"/>
      <c r="AD50" s="379">
        <f>AVERAGE(AD45:AD47)</f>
        <v>1.233333333</v>
      </c>
    </row>
    <row r="51">
      <c r="N51" s="3" t="s">
        <v>606</v>
      </c>
      <c r="R51" s="3" t="s">
        <v>607</v>
      </c>
      <c r="S51" s="55"/>
      <c r="T51" s="361" t="s">
        <v>912</v>
      </c>
      <c r="U51" s="382"/>
      <c r="V51" s="410"/>
      <c r="W51" s="410"/>
      <c r="X51" s="383">
        <f>AVERAGE(X45:X49)</f>
        <v>0.86</v>
      </c>
      <c r="Z51" s="361" t="s">
        <v>912</v>
      </c>
      <c r="AA51" s="382"/>
      <c r="AB51" s="410"/>
      <c r="AC51" s="410"/>
      <c r="AD51" s="383">
        <f>AVERAGE(AD45:AD49)</f>
        <v>1.32</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1201</v>
      </c>
      <c r="Q55" s="3" t="s">
        <v>1202</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1203</v>
      </c>
    </row>
    <row r="64">
      <c r="Q64" s="3" t="s">
        <v>623</v>
      </c>
    </row>
    <row r="65">
      <c r="Q65" s="3" t="s">
        <v>616</v>
      </c>
    </row>
    <row r="66">
      <c r="Q66" s="3" t="s">
        <v>618</v>
      </c>
    </row>
    <row r="68">
      <c r="P68" s="218" t="s">
        <v>619</v>
      </c>
      <c r="Q68" s="31" t="s">
        <v>624</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45981.0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266">
        <v>81.0</v>
      </c>
      <c r="Y3" s="258">
        <f t="shared" ref="Y3:Y7" si="3">AVERAGE(U3:X3)</f>
        <v>83.95</v>
      </c>
      <c r="Z3" s="266">
        <v>80.0</v>
      </c>
      <c r="AA3" s="266">
        <v>82.0</v>
      </c>
      <c r="AB3" s="266">
        <v>85.0</v>
      </c>
      <c r="AC3" s="266">
        <v>88.0</v>
      </c>
      <c r="AD3" s="258">
        <f t="shared" ref="AD3:AD7" si="4">AVERAGE(Z3:AC3)</f>
        <v>83.75</v>
      </c>
      <c r="AF3" s="3" t="s">
        <v>1204</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64">
        <v>64.0</v>
      </c>
      <c r="Y4" s="258">
        <f t="shared" si="3"/>
        <v>69.2</v>
      </c>
      <c r="Z4" s="264">
        <v>64.0</v>
      </c>
      <c r="AA4" s="264">
        <v>63.0</v>
      </c>
      <c r="AB4" s="264">
        <v>63.0</v>
      </c>
      <c r="AC4" s="264">
        <v>62.0</v>
      </c>
      <c r="AD4" s="258">
        <f t="shared" si="4"/>
        <v>63</v>
      </c>
      <c r="AF4" s="3" t="s">
        <v>1205</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X5" si="5">V4-V6</f>
        <v>56</v>
      </c>
      <c r="W5" s="255">
        <f t="shared" si="5"/>
        <v>56</v>
      </c>
      <c r="X5" s="430">
        <f t="shared" si="5"/>
        <v>49</v>
      </c>
      <c r="Y5" s="248">
        <f t="shared" si="3"/>
        <v>56.15</v>
      </c>
      <c r="Z5" s="430">
        <f t="shared" ref="Z5:AC5" si="6">Z4-Z6</f>
        <v>50</v>
      </c>
      <c r="AA5" s="430">
        <f t="shared" si="6"/>
        <v>51</v>
      </c>
      <c r="AB5" s="430">
        <f t="shared" si="6"/>
        <v>52</v>
      </c>
      <c r="AC5" s="430">
        <f t="shared" si="6"/>
        <v>51</v>
      </c>
      <c r="AD5" s="248">
        <f t="shared" si="4"/>
        <v>51</v>
      </c>
      <c r="AF5" s="3" t="s">
        <v>1206</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55">
        <v>12.0</v>
      </c>
      <c r="W6" s="255">
        <v>13.0</v>
      </c>
      <c r="X6" s="264">
        <v>15.0</v>
      </c>
      <c r="Y6" s="258">
        <f t="shared" si="3"/>
        <v>13.05</v>
      </c>
      <c r="Z6" s="264">
        <v>14.0</v>
      </c>
      <c r="AA6" s="264">
        <v>12.0</v>
      </c>
      <c r="AB6" s="264">
        <v>11.0</v>
      </c>
      <c r="AC6" s="264">
        <v>11.0</v>
      </c>
      <c r="AD6" s="258">
        <f t="shared" si="4"/>
        <v>12</v>
      </c>
      <c r="AF6" s="3" t="s">
        <v>1207</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67">
        <v>6.1</v>
      </c>
      <c r="Y7" s="258">
        <f t="shared" si="3"/>
        <v>8.45</v>
      </c>
      <c r="Z7" s="267">
        <v>5.9</v>
      </c>
      <c r="AA7" s="267">
        <v>5.9</v>
      </c>
      <c r="AB7" s="267">
        <v>5.6</v>
      </c>
      <c r="AC7" s="267">
        <v>6.2</v>
      </c>
      <c r="AD7" s="258">
        <f t="shared" si="4"/>
        <v>5.9</v>
      </c>
      <c r="AF7" s="99" t="s">
        <v>1208</v>
      </c>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69">
        <v>16.0</v>
      </c>
      <c r="Y8" s="258">
        <v>19.2</v>
      </c>
      <c r="Z8" s="269">
        <v>15.5</v>
      </c>
      <c r="AA8" s="269">
        <v>15.0</v>
      </c>
      <c r="AB8" s="269">
        <v>14.5</v>
      </c>
      <c r="AC8" s="269">
        <v>14.0</v>
      </c>
      <c r="AD8" s="258">
        <v>15.0</v>
      </c>
      <c r="AF8" s="3" t="s">
        <v>1209</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-0.1419714817</v>
      </c>
      <c r="Z10" s="343">
        <v>2026.0</v>
      </c>
      <c r="AA10" s="348" t="s">
        <v>1120</v>
      </c>
      <c r="AB10" s="348" t="s">
        <v>1121</v>
      </c>
      <c r="AC10" s="348" t="s">
        <v>1122</v>
      </c>
      <c r="AD10" s="349" t="s">
        <v>1123</v>
      </c>
      <c r="AF10" s="3" t="s">
        <v>1210</v>
      </c>
    </row>
    <row r="11">
      <c r="E11" s="114"/>
      <c r="F11" s="115"/>
      <c r="G11" s="115"/>
      <c r="H11" s="115"/>
      <c r="I11" s="112" t="s">
        <v>406</v>
      </c>
      <c r="J11" s="112" t="s">
        <v>406</v>
      </c>
      <c r="S11" s="350" t="s">
        <v>1006</v>
      </c>
      <c r="T11" s="351" t="s">
        <v>54</v>
      </c>
      <c r="U11" s="348"/>
      <c r="V11" s="348"/>
      <c r="W11" s="411"/>
      <c r="X11" s="412">
        <v>63.4</v>
      </c>
      <c r="Y11" s="350" t="s">
        <v>1006</v>
      </c>
      <c r="Z11" s="351" t="s">
        <v>54</v>
      </c>
      <c r="AA11" s="411">
        <v>63.2</v>
      </c>
      <c r="AB11" s="411">
        <v>62.7</v>
      </c>
      <c r="AC11" s="411">
        <v>62.6</v>
      </c>
      <c r="AD11" s="412">
        <v>62.4</v>
      </c>
      <c r="AE11" s="3" t="s">
        <v>1211</v>
      </c>
    </row>
    <row r="12">
      <c r="E12" s="114" t="s">
        <v>241</v>
      </c>
      <c r="F12" s="115" t="s">
        <v>242</v>
      </c>
      <c r="G12" s="115" t="s">
        <v>242</v>
      </c>
      <c r="H12" s="115" t="s">
        <v>194</v>
      </c>
      <c r="I12" s="115" t="s">
        <v>148</v>
      </c>
      <c r="T12" s="352" t="s">
        <v>468</v>
      </c>
      <c r="U12" s="353">
        <v>76.0</v>
      </c>
      <c r="V12" s="353">
        <v>68.0</v>
      </c>
      <c r="W12" s="354"/>
      <c r="X12" s="355">
        <v>64.0</v>
      </c>
      <c r="Z12" s="352" t="s">
        <v>468</v>
      </c>
      <c r="AA12" s="354"/>
      <c r="AB12" s="354"/>
      <c r="AC12" s="354"/>
      <c r="AD12" s="354"/>
      <c r="AF12" s="3" t="s">
        <v>1212</v>
      </c>
    </row>
    <row r="13">
      <c r="C13" s="4">
        <v>5.7</v>
      </c>
      <c r="D13" s="4">
        <v>6.5</v>
      </c>
      <c r="E13" s="62">
        <v>7.4</v>
      </c>
      <c r="F13" s="54">
        <v>8.1</v>
      </c>
      <c r="G13" s="54"/>
      <c r="H13" s="62"/>
      <c r="I13" s="62"/>
      <c r="J13" s="62"/>
      <c r="T13" s="352" t="s">
        <v>469</v>
      </c>
      <c r="U13" s="353">
        <v>76.0</v>
      </c>
      <c r="V13" s="353">
        <v>68.0</v>
      </c>
      <c r="W13" s="354"/>
      <c r="X13" s="356">
        <v>64.0</v>
      </c>
      <c r="Z13" s="352" t="s">
        <v>469</v>
      </c>
      <c r="AA13" s="354"/>
      <c r="AB13" s="354"/>
      <c r="AC13" s="354"/>
      <c r="AD13" s="354"/>
    </row>
    <row r="14">
      <c r="D14" s="111"/>
      <c r="E14" s="117"/>
      <c r="F14" s="112"/>
      <c r="G14" s="112"/>
      <c r="H14" s="112"/>
      <c r="I14" s="117"/>
      <c r="J14" s="112"/>
      <c r="O14" s="3" t="s">
        <v>1177</v>
      </c>
      <c r="P14" s="3" t="s">
        <v>1213</v>
      </c>
      <c r="Q14" s="4"/>
      <c r="R14" s="55"/>
      <c r="T14" s="352" t="s">
        <v>470</v>
      </c>
      <c r="U14" s="353">
        <v>76.0</v>
      </c>
      <c r="V14" s="353">
        <v>68.0</v>
      </c>
      <c r="W14" s="354"/>
      <c r="X14" s="355">
        <v>64.0</v>
      </c>
      <c r="Z14" s="352" t="s">
        <v>470</v>
      </c>
      <c r="AA14" s="354"/>
      <c r="AB14" s="354"/>
      <c r="AC14" s="354"/>
      <c r="AD14" s="354"/>
      <c r="AE14" s="4"/>
      <c r="AF14" s="4"/>
    </row>
    <row r="15">
      <c r="D15" s="111"/>
      <c r="E15" s="117"/>
      <c r="F15" s="112"/>
      <c r="G15" s="112"/>
      <c r="H15" s="112"/>
      <c r="I15" s="117"/>
      <c r="J15" s="112"/>
      <c r="O15" s="4" t="s">
        <v>350</v>
      </c>
      <c r="P15" s="4" t="s">
        <v>353</v>
      </c>
      <c r="Q15" s="4" t="s">
        <v>355</v>
      </c>
      <c r="R15" s="4" t="s">
        <v>581</v>
      </c>
      <c r="T15" s="357" t="s">
        <v>906</v>
      </c>
      <c r="U15" s="353">
        <v>76.0</v>
      </c>
      <c r="V15" s="353">
        <v>68.0</v>
      </c>
      <c r="W15" s="354"/>
      <c r="X15" s="356"/>
      <c r="Z15" s="357" t="s">
        <v>906</v>
      </c>
      <c r="AA15" s="354"/>
      <c r="AB15" s="354"/>
      <c r="AC15" s="354"/>
      <c r="AD15" s="354"/>
      <c r="AE15" s="4"/>
      <c r="AF15" s="41"/>
    </row>
    <row r="16">
      <c r="D16" s="111" t="s">
        <v>241</v>
      </c>
      <c r="E16" s="117">
        <v>7.0</v>
      </c>
      <c r="F16" s="112">
        <v>7.3</v>
      </c>
      <c r="G16" s="112"/>
      <c r="H16" s="112"/>
      <c r="I16" s="117"/>
      <c r="J16" s="112"/>
      <c r="N16" s="4" t="s">
        <v>62</v>
      </c>
      <c r="O16" s="346">
        <v>80.85</v>
      </c>
      <c r="P16" s="236">
        <v>81.1</v>
      </c>
      <c r="Q16" s="236">
        <v>80.0</v>
      </c>
      <c r="R16" s="226">
        <f t="shared" ref="R16:R19" si="9">AVERAGE(O16:Q16)</f>
        <v>80.65</v>
      </c>
      <c r="T16" s="358" t="s">
        <v>908</v>
      </c>
      <c r="U16" s="353">
        <v>76.0</v>
      </c>
      <c r="V16" s="353">
        <v>68.0</v>
      </c>
      <c r="W16" s="354"/>
      <c r="X16" s="356"/>
      <c r="Z16" s="358" t="s">
        <v>908</v>
      </c>
      <c r="AA16" s="354"/>
      <c r="AB16" s="354"/>
      <c r="AC16" s="354"/>
      <c r="AD16" s="354"/>
      <c r="AE16" s="4"/>
      <c r="AF16" s="4"/>
    </row>
    <row r="17">
      <c r="C17" s="10"/>
      <c r="D17" s="10"/>
      <c r="E17" s="10"/>
      <c r="F17" s="10"/>
      <c r="G17" s="10"/>
      <c r="H17" s="10"/>
      <c r="I17" s="10"/>
      <c r="J17" s="10"/>
      <c r="N17" s="4" t="s">
        <v>28</v>
      </c>
      <c r="O17" s="346">
        <v>64.54</v>
      </c>
      <c r="P17" s="311">
        <v>63.65</v>
      </c>
      <c r="Q17" s="236">
        <v>64.0</v>
      </c>
      <c r="R17" s="226">
        <f t="shared" si="9"/>
        <v>64.06333333</v>
      </c>
      <c r="T17" s="358" t="s">
        <v>910</v>
      </c>
      <c r="U17" s="359">
        <f t="shared" ref="U17:X17" si="10">AVERAGE(U12:U14)</f>
        <v>76</v>
      </c>
      <c r="V17" s="359">
        <f t="shared" si="10"/>
        <v>68</v>
      </c>
      <c r="W17" s="359" t="str">
        <f t="shared" si="10"/>
        <v>#DIV/0!</v>
      </c>
      <c r="X17" s="360">
        <f t="shared" si="10"/>
        <v>64</v>
      </c>
      <c r="Z17" s="358" t="s">
        <v>910</v>
      </c>
      <c r="AA17" s="359" t="str">
        <f t="shared" ref="AA17:AD17" si="11">AVERAGE(AA12:AA14)</f>
        <v>#DIV/0!</v>
      </c>
      <c r="AB17" s="359" t="str">
        <f t="shared" si="11"/>
        <v>#DIV/0!</v>
      </c>
      <c r="AC17" s="359" t="str">
        <f t="shared" si="11"/>
        <v>#DIV/0!</v>
      </c>
      <c r="AD17" s="360" t="str">
        <f t="shared" si="11"/>
        <v>#DIV/0!</v>
      </c>
    </row>
    <row r="18">
      <c r="E18" s="118"/>
      <c r="F18" s="118"/>
      <c r="G18" s="118"/>
      <c r="H18" s="118"/>
      <c r="I18" s="118"/>
      <c r="J18" s="118"/>
      <c r="K18" s="425">
        <v>78.9</v>
      </c>
      <c r="L18" s="426">
        <v>80.1</v>
      </c>
      <c r="N18" s="4" t="s">
        <v>582</v>
      </c>
      <c r="O18" s="346">
        <v>51.8</v>
      </c>
      <c r="P18" s="311">
        <v>49.3</v>
      </c>
      <c r="Q18" s="236">
        <v>48.0</v>
      </c>
      <c r="R18" s="226">
        <f t="shared" si="9"/>
        <v>49.7</v>
      </c>
      <c r="T18" s="361" t="s">
        <v>912</v>
      </c>
      <c r="U18" s="362">
        <f t="shared" ref="U18:X18" si="12">AVERAGE(U12:U16)</f>
        <v>76</v>
      </c>
      <c r="V18" s="362">
        <f t="shared" si="12"/>
        <v>68</v>
      </c>
      <c r="W18" s="362" t="str">
        <f t="shared" si="12"/>
        <v>#DIV/0!</v>
      </c>
      <c r="X18" s="363">
        <f t="shared" si="12"/>
        <v>64</v>
      </c>
      <c r="Z18" s="361" t="s">
        <v>912</v>
      </c>
      <c r="AA18" s="362" t="str">
        <f t="shared" ref="AA18:AD18" si="13">AVERAGE(AA12:AA16)</f>
        <v>#DIV/0!</v>
      </c>
      <c r="AB18" s="362" t="str">
        <f t="shared" si="13"/>
        <v>#DIV/0!</v>
      </c>
      <c r="AC18" s="362" t="str">
        <f t="shared" si="13"/>
        <v>#DIV/0!</v>
      </c>
      <c r="AD18" s="363" t="str">
        <f t="shared" si="13"/>
        <v>#DIV/0!</v>
      </c>
      <c r="AF18" s="4"/>
    </row>
    <row r="19">
      <c r="E19" s="118"/>
      <c r="F19" s="118"/>
      <c r="G19" s="118"/>
      <c r="H19" s="118"/>
      <c r="I19" s="118"/>
      <c r="J19" s="118"/>
      <c r="K19" s="425">
        <v>10.98</v>
      </c>
      <c r="L19" s="426">
        <v>11.12</v>
      </c>
      <c r="N19" s="4" t="s">
        <v>1214</v>
      </c>
      <c r="O19" s="117">
        <f t="shared" ref="O19:Q19" si="14">O17-O18</f>
        <v>12.74</v>
      </c>
      <c r="P19" s="117">
        <f t="shared" si="14"/>
        <v>14.35</v>
      </c>
      <c r="Q19" s="112">
        <f t="shared" si="14"/>
        <v>16</v>
      </c>
      <c r="R19" s="226">
        <f t="shared" si="9"/>
        <v>14.36333333</v>
      </c>
      <c r="S19" s="364"/>
      <c r="T19" s="364"/>
      <c r="U19" s="365">
        <v>45747.0</v>
      </c>
      <c r="V19" s="365">
        <f t="shared" ref="V19:X19" si="15">EOMONTH(U19,3)</f>
        <v>45838</v>
      </c>
      <c r="W19" s="365">
        <f t="shared" si="15"/>
        <v>45930</v>
      </c>
      <c r="X19" s="365">
        <f t="shared" si="15"/>
        <v>46022</v>
      </c>
      <c r="Z19" s="364"/>
      <c r="AA19" s="427">
        <v>46112.0</v>
      </c>
      <c r="AB19" s="365">
        <f t="shared" ref="AB19:AD19" si="16">EOMONTH(AA19,3)</f>
        <v>46203</v>
      </c>
      <c r="AC19" s="365">
        <f t="shared" si="16"/>
        <v>46295</v>
      </c>
      <c r="AD19" s="365">
        <f t="shared" si="16"/>
        <v>46387</v>
      </c>
    </row>
    <row r="20">
      <c r="E20" s="118"/>
      <c r="F20" s="118"/>
      <c r="G20" s="118"/>
      <c r="H20" s="118"/>
      <c r="I20" s="118"/>
      <c r="J20" s="118"/>
      <c r="K20" s="425">
        <v>7.14</v>
      </c>
      <c r="L20" s="426">
        <v>7.18</v>
      </c>
      <c r="M20" s="308"/>
      <c r="S20" s="366" t="s">
        <v>1011</v>
      </c>
      <c r="T20" s="367" t="s">
        <v>786</v>
      </c>
      <c r="U20" s="368"/>
      <c r="V20" s="348"/>
      <c r="W20" s="348"/>
      <c r="X20" s="349">
        <v>81.0</v>
      </c>
      <c r="Y20" s="366" t="s">
        <v>1011</v>
      </c>
      <c r="Z20" s="367" t="s">
        <v>786</v>
      </c>
      <c r="AA20" s="348">
        <v>80.0</v>
      </c>
      <c r="AB20" s="348">
        <v>81.0</v>
      </c>
      <c r="AC20" s="348">
        <v>84.0</v>
      </c>
      <c r="AD20" s="349">
        <v>87.0</v>
      </c>
    </row>
    <row r="21">
      <c r="E21" s="118"/>
      <c r="F21" s="118"/>
      <c r="G21" s="118"/>
      <c r="H21" s="118"/>
      <c r="I21" s="118"/>
      <c r="J21" s="118"/>
      <c r="K21" s="425">
        <v>93.4</v>
      </c>
      <c r="L21" s="426">
        <v>93.2</v>
      </c>
      <c r="M21" s="309"/>
      <c r="S21" s="53"/>
      <c r="T21" s="352" t="s">
        <v>468</v>
      </c>
      <c r="U21" s="353">
        <v>93.0</v>
      </c>
      <c r="V21" s="353">
        <v>81.0</v>
      </c>
      <c r="W21" s="353">
        <v>81.0</v>
      </c>
      <c r="X21" s="355">
        <v>81.0</v>
      </c>
      <c r="Y21" s="3" t="s">
        <v>1188</v>
      </c>
      <c r="Z21" s="352" t="s">
        <v>468</v>
      </c>
      <c r="AA21" s="354">
        <v>81.0</v>
      </c>
      <c r="AB21" s="354">
        <v>83.0</v>
      </c>
      <c r="AC21" s="354">
        <v>85.0</v>
      </c>
      <c r="AD21" s="355">
        <v>87.0</v>
      </c>
      <c r="AE21" s="3" t="s">
        <v>1189</v>
      </c>
    </row>
    <row r="22">
      <c r="E22" s="118"/>
      <c r="F22" s="118"/>
      <c r="G22" s="118"/>
      <c r="H22" s="118"/>
      <c r="I22" s="118"/>
      <c r="J22" s="118"/>
      <c r="K22" s="425">
        <v>1.17</v>
      </c>
      <c r="L22" s="426">
        <v>1.16</v>
      </c>
      <c r="M22" s="309"/>
      <c r="S22" s="369"/>
      <c r="T22" s="352" t="s">
        <v>469</v>
      </c>
      <c r="U22" s="353">
        <v>93.0</v>
      </c>
      <c r="V22" s="353">
        <v>81.0</v>
      </c>
      <c r="W22" s="353">
        <v>81.0</v>
      </c>
      <c r="X22" s="355">
        <v>81.0</v>
      </c>
      <c r="Z22" s="352" t="s">
        <v>469</v>
      </c>
      <c r="AA22" s="354">
        <v>80.0</v>
      </c>
      <c r="AB22" s="354">
        <v>83.0</v>
      </c>
      <c r="AC22" s="354">
        <v>87.0</v>
      </c>
      <c r="AD22" s="356">
        <v>90.0</v>
      </c>
      <c r="AE22" s="3" t="s">
        <v>1190</v>
      </c>
    </row>
    <row r="23">
      <c r="E23" s="118"/>
      <c r="F23" s="118"/>
      <c r="G23" s="118"/>
      <c r="H23" s="118"/>
      <c r="I23" s="118"/>
      <c r="J23" s="118"/>
      <c r="K23" s="425">
        <v>71.0</v>
      </c>
      <c r="L23" s="426">
        <v>68.0</v>
      </c>
      <c r="M23" s="309"/>
      <c r="S23" s="369"/>
      <c r="T23" s="352" t="s">
        <v>470</v>
      </c>
      <c r="U23" s="353">
        <v>93.0</v>
      </c>
      <c r="V23" s="353">
        <v>81.0</v>
      </c>
      <c r="W23" s="353">
        <v>81.0</v>
      </c>
      <c r="X23" s="355">
        <v>81.0</v>
      </c>
      <c r="Z23" s="352" t="s">
        <v>470</v>
      </c>
      <c r="AA23" s="354">
        <v>80.0</v>
      </c>
      <c r="AB23" s="354">
        <v>81.0</v>
      </c>
      <c r="AC23" s="354">
        <v>84.0</v>
      </c>
      <c r="AD23" s="356">
        <v>87.0</v>
      </c>
    </row>
    <row r="24">
      <c r="E24" s="118"/>
      <c r="F24" s="118"/>
      <c r="G24" s="118"/>
      <c r="H24" s="118"/>
      <c r="I24" s="118"/>
      <c r="J24" s="118"/>
      <c r="K24" s="425">
        <v>57.4</v>
      </c>
      <c r="L24" s="426">
        <v>56.1</v>
      </c>
      <c r="M24" s="309"/>
      <c r="S24" s="364"/>
      <c r="T24" s="357" t="s">
        <v>906</v>
      </c>
      <c r="U24" s="353">
        <v>93.0</v>
      </c>
      <c r="V24" s="353">
        <v>81.0</v>
      </c>
      <c r="W24" s="353">
        <v>81.0</v>
      </c>
      <c r="X24" s="356"/>
      <c r="Z24" s="357" t="s">
        <v>906</v>
      </c>
      <c r="AA24" s="354">
        <v>81.0</v>
      </c>
      <c r="AB24" s="354">
        <v>82.0</v>
      </c>
      <c r="AC24" s="354">
        <v>85.0</v>
      </c>
      <c r="AD24" s="355">
        <v>87.0</v>
      </c>
    </row>
    <row r="25">
      <c r="E25" s="118"/>
      <c r="F25" s="118"/>
      <c r="G25" s="118"/>
      <c r="H25" s="118"/>
      <c r="I25" s="118"/>
      <c r="J25" s="118"/>
      <c r="M25" s="308"/>
      <c r="S25" s="370"/>
      <c r="T25" s="358" t="s">
        <v>908</v>
      </c>
      <c r="U25" s="353">
        <v>93.0</v>
      </c>
      <c r="V25" s="353">
        <v>81.0</v>
      </c>
      <c r="W25" s="353">
        <v>81.0</v>
      </c>
      <c r="X25" s="356"/>
      <c r="Z25" s="358" t="s">
        <v>908</v>
      </c>
      <c r="AA25" s="354">
        <v>81.0</v>
      </c>
      <c r="AB25" s="354">
        <v>83.0</v>
      </c>
      <c r="AC25" s="354">
        <v>90.0</v>
      </c>
      <c r="AD25" s="356">
        <v>92.0</v>
      </c>
    </row>
    <row r="26">
      <c r="A26" s="3"/>
      <c r="B26" s="12"/>
      <c r="C26" s="12"/>
      <c r="D26" s="13"/>
      <c r="E26" s="13"/>
      <c r="F26" s="13"/>
      <c r="G26" s="13"/>
      <c r="H26" s="13"/>
      <c r="I26" s="13"/>
      <c r="J26" s="13"/>
      <c r="M26" s="308"/>
      <c r="N26" s="309"/>
      <c r="S26" s="370"/>
      <c r="T26" s="358" t="s">
        <v>910</v>
      </c>
      <c r="U26" s="359">
        <f t="shared" ref="U26:X26" si="17">AVERAGE(U21:U23)</f>
        <v>93</v>
      </c>
      <c r="V26" s="359">
        <f t="shared" si="17"/>
        <v>81</v>
      </c>
      <c r="W26" s="359">
        <f t="shared" si="17"/>
        <v>81</v>
      </c>
      <c r="X26" s="360">
        <f t="shared" si="17"/>
        <v>81</v>
      </c>
      <c r="Z26" s="358" t="s">
        <v>910</v>
      </c>
      <c r="AA26" s="359">
        <f t="shared" ref="AA26:AD26" si="18">AVERAGE(AA21:AA23)</f>
        <v>80.33333333</v>
      </c>
      <c r="AB26" s="359">
        <f t="shared" si="18"/>
        <v>82.33333333</v>
      </c>
      <c r="AC26" s="359">
        <f t="shared" si="18"/>
        <v>85.33333333</v>
      </c>
      <c r="AD26" s="360">
        <f t="shared" si="18"/>
        <v>88</v>
      </c>
    </row>
    <row r="27">
      <c r="S27" s="55"/>
      <c r="T27" s="361" t="s">
        <v>912</v>
      </c>
      <c r="U27" s="362">
        <f t="shared" ref="U27:X27" si="19">AVERAGE(U21:U25)</f>
        <v>93</v>
      </c>
      <c r="V27" s="362">
        <f t="shared" si="19"/>
        <v>81</v>
      </c>
      <c r="W27" s="362">
        <f t="shared" si="19"/>
        <v>81</v>
      </c>
      <c r="X27" s="363">
        <f t="shared" si="19"/>
        <v>81</v>
      </c>
      <c r="Z27" s="361" t="s">
        <v>912</v>
      </c>
      <c r="AA27" s="362">
        <f t="shared" ref="AA27:AD27" si="20">AVERAGE(AA21:AA25)</f>
        <v>80.6</v>
      </c>
      <c r="AB27" s="362">
        <f t="shared" si="20"/>
        <v>82.4</v>
      </c>
      <c r="AC27" s="362">
        <f t="shared" si="20"/>
        <v>86.2</v>
      </c>
      <c r="AD27" s="363">
        <f t="shared" si="20"/>
        <v>88.6</v>
      </c>
    </row>
    <row r="28">
      <c r="Q28" s="4"/>
      <c r="R28" s="55"/>
      <c r="S28" s="366" t="s">
        <v>81</v>
      </c>
      <c r="T28" s="371" t="s">
        <v>786</v>
      </c>
      <c r="U28" s="372"/>
      <c r="V28" s="372"/>
      <c r="W28" s="372"/>
      <c r="X28" s="373">
        <v>5.9</v>
      </c>
      <c r="Y28" s="366" t="s">
        <v>81</v>
      </c>
      <c r="Z28" s="371" t="s">
        <v>786</v>
      </c>
      <c r="AA28" s="372"/>
      <c r="AB28" s="372"/>
      <c r="AC28" s="372"/>
      <c r="AD28" s="373">
        <v>6.1</v>
      </c>
      <c r="AF28" s="3" t="s">
        <v>1212</v>
      </c>
    </row>
    <row r="29">
      <c r="Q29" s="4"/>
      <c r="R29" s="55"/>
      <c r="S29" s="53"/>
      <c r="T29" s="374" t="s">
        <v>468</v>
      </c>
      <c r="U29" s="53"/>
      <c r="V29" s="53"/>
      <c r="W29" s="53"/>
      <c r="X29" s="376">
        <v>6.0</v>
      </c>
      <c r="Y29" s="99" t="s">
        <v>1191</v>
      </c>
      <c r="Z29" s="374" t="s">
        <v>468</v>
      </c>
      <c r="AA29" s="53"/>
      <c r="AB29" s="53"/>
      <c r="AC29" s="53"/>
      <c r="AD29" s="376">
        <v>5.6</v>
      </c>
      <c r="AE29" s="99" t="s">
        <v>1192</v>
      </c>
    </row>
    <row r="30">
      <c r="M30" s="308"/>
      <c r="Q30" s="4"/>
      <c r="R30" s="55"/>
      <c r="S30" s="53"/>
      <c r="T30" s="352" t="s">
        <v>469</v>
      </c>
      <c r="U30" s="53"/>
      <c r="V30" s="53"/>
      <c r="W30" s="53"/>
      <c r="X30" s="376">
        <v>6.3</v>
      </c>
      <c r="Y30" s="99" t="s">
        <v>1193</v>
      </c>
      <c r="Z30" s="352" t="s">
        <v>469</v>
      </c>
      <c r="AA30" s="53"/>
      <c r="AB30" s="53"/>
      <c r="AC30" s="53"/>
      <c r="AD30" s="376">
        <v>6.5</v>
      </c>
      <c r="AE30" s="99" t="s">
        <v>1195</v>
      </c>
    </row>
    <row r="31">
      <c r="M31" s="309"/>
      <c r="Q31" s="4"/>
      <c r="R31" s="55"/>
      <c r="S31" s="53"/>
      <c r="T31" s="374" t="s">
        <v>470</v>
      </c>
      <c r="U31" s="53"/>
      <c r="V31" s="53"/>
      <c r="W31" s="53"/>
      <c r="X31" s="376">
        <v>6.1</v>
      </c>
      <c r="Y31" s="99" t="s">
        <v>1195</v>
      </c>
      <c r="Z31" s="374" t="s">
        <v>470</v>
      </c>
      <c r="AA31" s="53"/>
      <c r="AB31" s="53"/>
      <c r="AC31" s="53"/>
      <c r="AD31" s="376">
        <v>6.6</v>
      </c>
      <c r="AE31" s="3" t="s">
        <v>1215</v>
      </c>
    </row>
    <row r="32">
      <c r="M32" s="309"/>
      <c r="Q32" s="4"/>
      <c r="R32" s="55"/>
      <c r="S32" s="377"/>
      <c r="T32" s="358" t="s">
        <v>906</v>
      </c>
      <c r="U32" s="55"/>
      <c r="V32" s="55"/>
      <c r="W32" s="55"/>
      <c r="X32" s="376">
        <v>6.2</v>
      </c>
      <c r="Z32" s="358" t="s">
        <v>906</v>
      </c>
      <c r="AA32" s="55"/>
      <c r="AB32" s="55"/>
      <c r="AC32" s="55"/>
      <c r="AD32" s="376">
        <v>6.0</v>
      </c>
    </row>
    <row r="33">
      <c r="M33" s="309"/>
      <c r="Q33" s="4"/>
      <c r="R33" s="55"/>
      <c r="S33" s="377"/>
      <c r="T33" s="358" t="s">
        <v>908</v>
      </c>
      <c r="U33" s="55"/>
      <c r="V33" s="55"/>
      <c r="W33" s="55"/>
      <c r="X33" s="376">
        <v>6.2</v>
      </c>
      <c r="Z33" s="358" t="s">
        <v>908</v>
      </c>
      <c r="AA33" s="55"/>
      <c r="AB33" s="55"/>
      <c r="AC33" s="55"/>
      <c r="AD33" s="376">
        <v>6.2</v>
      </c>
    </row>
    <row r="34">
      <c r="M34" s="309"/>
      <c r="Q34" s="4"/>
      <c r="R34" s="55"/>
      <c r="S34" s="377"/>
      <c r="T34" s="378" t="s">
        <v>910</v>
      </c>
      <c r="U34" s="55"/>
      <c r="V34" s="55"/>
      <c r="W34" s="55"/>
      <c r="X34" s="379">
        <f>AVERAGE(X29:X31)</f>
        <v>6.133333333</v>
      </c>
      <c r="Z34" s="378" t="s">
        <v>910</v>
      </c>
      <c r="AA34" s="55"/>
      <c r="AB34" s="55"/>
      <c r="AC34" s="55"/>
      <c r="AD34" s="379">
        <f>AVERAGE(AD29:AD31)</f>
        <v>6.233333333</v>
      </c>
    </row>
    <row r="35">
      <c r="M35" s="308"/>
      <c r="Q35" s="4"/>
      <c r="R35" s="55"/>
      <c r="S35" s="53"/>
      <c r="T35" s="380" t="s">
        <v>912</v>
      </c>
      <c r="U35" s="381"/>
      <c r="V35" s="381"/>
      <c r="W35" s="382"/>
      <c r="X35" s="383">
        <f>AVERAGE(X29:X33)</f>
        <v>6.16</v>
      </c>
      <c r="Z35" s="380" t="s">
        <v>912</v>
      </c>
      <c r="AA35" s="381"/>
      <c r="AB35" s="381"/>
      <c r="AC35" s="382"/>
      <c r="AD35" s="383">
        <f>AVERAGE(AD29:AD33)</f>
        <v>6.18</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418">
        <v>17.0</v>
      </c>
      <c r="X37" s="389">
        <v>16.0</v>
      </c>
      <c r="Y37" s="3" t="s">
        <v>1216</v>
      </c>
      <c r="Z37" s="386" t="s">
        <v>468</v>
      </c>
      <c r="AA37" s="431">
        <v>15.5</v>
      </c>
      <c r="AB37" s="432">
        <v>15.0</v>
      </c>
      <c r="AC37" s="432">
        <v>14.5</v>
      </c>
      <c r="AD37" s="432">
        <v>14.0</v>
      </c>
    </row>
    <row r="38">
      <c r="N38" s="31" t="s">
        <v>586</v>
      </c>
      <c r="S38" s="55"/>
      <c r="T38" s="386" t="s">
        <v>469</v>
      </c>
      <c r="U38" s="419">
        <v>21.0</v>
      </c>
      <c r="V38" s="420">
        <v>20.0</v>
      </c>
      <c r="W38" s="418">
        <v>17.0</v>
      </c>
      <c r="X38" s="398">
        <v>16.0</v>
      </c>
      <c r="Z38" s="386" t="s">
        <v>469</v>
      </c>
      <c r="AA38" s="433">
        <v>16.0</v>
      </c>
      <c r="AB38" s="433">
        <v>15.0</v>
      </c>
      <c r="AC38" s="433">
        <v>15.0</v>
      </c>
      <c r="AD38" s="434">
        <v>14.0</v>
      </c>
    </row>
    <row r="39">
      <c r="N39" s="3" t="s">
        <v>587</v>
      </c>
      <c r="Q39" s="3" t="s">
        <v>588</v>
      </c>
      <c r="S39" s="55"/>
      <c r="T39" s="386" t="s">
        <v>470</v>
      </c>
      <c r="U39" s="417">
        <v>21.0</v>
      </c>
      <c r="V39" s="421">
        <v>20.0</v>
      </c>
      <c r="W39" s="418">
        <v>17.0</v>
      </c>
      <c r="X39" s="276">
        <v>16.0</v>
      </c>
      <c r="Z39" s="386" t="s">
        <v>470</v>
      </c>
      <c r="AA39" s="431">
        <v>15.5</v>
      </c>
      <c r="AB39" s="432">
        <v>15.0</v>
      </c>
      <c r="AC39" s="432">
        <v>14.0</v>
      </c>
      <c r="AD39" s="432">
        <v>14.0</v>
      </c>
    </row>
    <row r="40">
      <c r="N40" s="3" t="s">
        <v>589</v>
      </c>
      <c r="Q40" s="3" t="s">
        <v>590</v>
      </c>
      <c r="S40" s="394"/>
      <c r="T40" s="395" t="s">
        <v>906</v>
      </c>
      <c r="U40" s="419">
        <v>21.0</v>
      </c>
      <c r="V40" s="420">
        <v>20.0</v>
      </c>
      <c r="W40" s="418">
        <v>17.0</v>
      </c>
      <c r="X40" s="398">
        <v>16.0</v>
      </c>
      <c r="Z40" s="395" t="s">
        <v>906</v>
      </c>
      <c r="AA40" s="433">
        <v>15.5</v>
      </c>
      <c r="AB40" s="433">
        <v>14.5</v>
      </c>
      <c r="AC40" s="433">
        <v>13.5</v>
      </c>
      <c r="AD40" s="434">
        <v>12.5</v>
      </c>
      <c r="AE40" s="3" t="s">
        <v>1200</v>
      </c>
    </row>
    <row r="41">
      <c r="N41" s="3" t="s">
        <v>591</v>
      </c>
      <c r="Q41" s="3" t="s">
        <v>592</v>
      </c>
      <c r="S41" s="394"/>
      <c r="T41" s="395" t="s">
        <v>908</v>
      </c>
      <c r="U41" s="417"/>
      <c r="V41" s="418"/>
      <c r="W41" s="418">
        <v>17.0</v>
      </c>
      <c r="X41" s="389">
        <v>16.0</v>
      </c>
      <c r="Z41" s="395" t="s">
        <v>908</v>
      </c>
      <c r="AA41" s="431">
        <v>16.0</v>
      </c>
      <c r="AB41" s="431">
        <v>14.0</v>
      </c>
      <c r="AC41" s="431">
        <v>13.0</v>
      </c>
      <c r="AD41" s="431">
        <v>13.0</v>
      </c>
      <c r="AE41" s="3" t="s">
        <v>1200</v>
      </c>
    </row>
    <row r="42">
      <c r="N42" s="3" t="s">
        <v>593</v>
      </c>
      <c r="Q42" s="3" t="s">
        <v>594</v>
      </c>
      <c r="S42" s="394"/>
      <c r="T42" s="400" t="s">
        <v>910</v>
      </c>
      <c r="U42" s="359">
        <f t="shared" ref="U42:X42" si="21">AVERAGE(U37:U39)</f>
        <v>21</v>
      </c>
      <c r="V42" s="359">
        <f t="shared" si="21"/>
        <v>20</v>
      </c>
      <c r="W42" s="359">
        <f t="shared" si="21"/>
        <v>17</v>
      </c>
      <c r="X42" s="360">
        <f t="shared" si="21"/>
        <v>16</v>
      </c>
      <c r="Z42" s="400" t="s">
        <v>910</v>
      </c>
      <c r="AA42" s="435">
        <f t="shared" ref="AA42:AD42" si="22">AVERAGE(AA37:AA39)</f>
        <v>15.66666667</v>
      </c>
      <c r="AB42" s="435">
        <f t="shared" si="22"/>
        <v>15</v>
      </c>
      <c r="AC42" s="435">
        <f t="shared" si="22"/>
        <v>14.5</v>
      </c>
      <c r="AD42" s="379">
        <f t="shared" si="22"/>
        <v>14</v>
      </c>
    </row>
    <row r="43">
      <c r="N43" s="3" t="s">
        <v>595</v>
      </c>
      <c r="Q43" s="3" t="s">
        <v>596</v>
      </c>
      <c r="S43" s="55"/>
      <c r="T43" s="401" t="s">
        <v>912</v>
      </c>
      <c r="U43" s="362">
        <f t="shared" ref="U43:X43" si="23">AVERAGE(U37:U41)</f>
        <v>21</v>
      </c>
      <c r="V43" s="362">
        <f t="shared" si="23"/>
        <v>20</v>
      </c>
      <c r="W43" s="362">
        <f t="shared" si="23"/>
        <v>17</v>
      </c>
      <c r="X43" s="363">
        <f t="shared" si="23"/>
        <v>16</v>
      </c>
      <c r="Z43" s="401" t="s">
        <v>912</v>
      </c>
      <c r="AA43" s="293">
        <f t="shared" ref="AA43:AD43" si="24">AVERAGE(AA37:AA41)</f>
        <v>15.7</v>
      </c>
      <c r="AB43" s="293">
        <f t="shared" si="24"/>
        <v>14.7</v>
      </c>
      <c r="AC43" s="293">
        <f t="shared" si="24"/>
        <v>14</v>
      </c>
      <c r="AD43" s="383">
        <f t="shared" si="24"/>
        <v>13.5</v>
      </c>
    </row>
    <row r="44">
      <c r="N44" s="3" t="s">
        <v>597</v>
      </c>
      <c r="Q44" s="3" t="s">
        <v>598</v>
      </c>
      <c r="S44" s="384" t="s">
        <v>78</v>
      </c>
      <c r="T44" s="402" t="s">
        <v>786</v>
      </c>
      <c r="U44" s="403"/>
      <c r="V44" s="403"/>
      <c r="W44" s="403"/>
      <c r="X44" s="412">
        <v>0.9</v>
      </c>
      <c r="Y44" s="3" t="s">
        <v>1217</v>
      </c>
      <c r="Z44" s="402" t="s">
        <v>786</v>
      </c>
      <c r="AA44" s="403"/>
      <c r="AB44" s="403"/>
      <c r="AC44" s="403"/>
      <c r="AD44" s="412">
        <v>0.8</v>
      </c>
      <c r="AE44" s="3" t="s">
        <v>1218</v>
      </c>
    </row>
    <row r="45">
      <c r="N45" s="3" t="s">
        <v>599</v>
      </c>
      <c r="Q45" s="3" t="s">
        <v>600</v>
      </c>
      <c r="S45" s="55"/>
      <c r="T45" s="405" t="s">
        <v>468</v>
      </c>
      <c r="U45" s="55"/>
      <c r="V45" s="55"/>
      <c r="W45" s="55"/>
      <c r="X45" s="376">
        <v>0.8</v>
      </c>
      <c r="Z45" s="405" t="s">
        <v>468</v>
      </c>
      <c r="AA45" s="55"/>
      <c r="AB45" s="55"/>
      <c r="AC45" s="55"/>
      <c r="AD45" s="376">
        <v>1.0</v>
      </c>
    </row>
    <row r="46">
      <c r="S46" s="55"/>
      <c r="T46" s="405" t="s">
        <v>469</v>
      </c>
      <c r="U46" s="55"/>
      <c r="V46" s="55"/>
      <c r="W46" s="55"/>
      <c r="X46" s="376"/>
      <c r="Z46" s="405" t="s">
        <v>469</v>
      </c>
      <c r="AA46" s="55"/>
      <c r="AB46" s="55"/>
      <c r="AC46" s="55"/>
      <c r="AD46" s="376"/>
    </row>
    <row r="47">
      <c r="N47" s="3" t="s">
        <v>601</v>
      </c>
      <c r="Q47" s="3" t="s">
        <v>602</v>
      </c>
      <c r="S47" s="55"/>
      <c r="T47" s="405" t="s">
        <v>470</v>
      </c>
      <c r="U47" s="55"/>
      <c r="V47" s="55"/>
      <c r="W47" s="55"/>
      <c r="X47" s="376">
        <v>0.9</v>
      </c>
      <c r="Z47" s="405" t="s">
        <v>470</v>
      </c>
      <c r="AA47" s="55"/>
      <c r="AB47" s="55"/>
      <c r="AC47" s="55"/>
      <c r="AD47" s="376">
        <v>0.8</v>
      </c>
    </row>
    <row r="48">
      <c r="Q48" s="3" t="s">
        <v>603</v>
      </c>
      <c r="S48" s="394"/>
      <c r="T48" s="407" t="s">
        <v>906</v>
      </c>
      <c r="U48" s="55"/>
      <c r="V48" s="55"/>
      <c r="W48" s="55"/>
      <c r="X48" s="376">
        <v>0.8</v>
      </c>
      <c r="Z48" s="407" t="s">
        <v>906</v>
      </c>
      <c r="AA48" s="55"/>
      <c r="AB48" s="55"/>
      <c r="AC48" s="55"/>
      <c r="AD48" s="376">
        <v>0.8</v>
      </c>
    </row>
    <row r="49">
      <c r="N49" s="3" t="s">
        <v>604</v>
      </c>
      <c r="S49" s="394"/>
      <c r="T49" s="407" t="s">
        <v>908</v>
      </c>
      <c r="U49" s="55"/>
      <c r="V49" s="408"/>
      <c r="W49" s="408"/>
      <c r="X49" s="376">
        <v>0.8</v>
      </c>
      <c r="Z49" s="407" t="s">
        <v>908</v>
      </c>
      <c r="AA49" s="55"/>
      <c r="AB49" s="408"/>
      <c r="AC49" s="408"/>
      <c r="AD49" s="376">
        <v>1.1</v>
      </c>
    </row>
    <row r="50">
      <c r="R50" s="3" t="s">
        <v>605</v>
      </c>
      <c r="S50" s="394"/>
      <c r="T50" s="409" t="s">
        <v>910</v>
      </c>
      <c r="U50" s="55"/>
      <c r="V50" s="53"/>
      <c r="W50" s="55"/>
      <c r="X50" s="379">
        <f>AVERAGE(X45:X47)</f>
        <v>0.85</v>
      </c>
      <c r="Z50" s="409" t="s">
        <v>910</v>
      </c>
      <c r="AA50" s="55"/>
      <c r="AB50" s="53"/>
      <c r="AC50" s="55"/>
      <c r="AD50" s="379">
        <f>AVERAGE(AD45:AD47)</f>
        <v>0.9</v>
      </c>
    </row>
    <row r="51">
      <c r="N51" s="3" t="s">
        <v>606</v>
      </c>
      <c r="R51" s="3" t="s">
        <v>607</v>
      </c>
      <c r="S51" s="55"/>
      <c r="T51" s="361" t="s">
        <v>912</v>
      </c>
      <c r="U51" s="382"/>
      <c r="V51" s="410"/>
      <c r="W51" s="410"/>
      <c r="X51" s="383">
        <f>AVERAGE(X45:X49)</f>
        <v>0.825</v>
      </c>
      <c r="Z51" s="361" t="s">
        <v>912</v>
      </c>
      <c r="AA51" s="382"/>
      <c r="AB51" s="410"/>
      <c r="AC51" s="410"/>
      <c r="AD51" s="383">
        <f>AVERAGE(AD45:AD49)</f>
        <v>0.925</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1219</v>
      </c>
      <c r="Q55" s="3" t="s">
        <v>1220</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1221</v>
      </c>
    </row>
    <row r="64">
      <c r="Q64" s="3" t="s">
        <v>623</v>
      </c>
    </row>
    <row r="65">
      <c r="Q65" s="3" t="s">
        <v>616</v>
      </c>
    </row>
    <row r="66">
      <c r="Q66" s="3" t="s">
        <v>618</v>
      </c>
    </row>
    <row r="68">
      <c r="P68" s="218" t="s">
        <v>619</v>
      </c>
      <c r="Q68" s="31" t="s">
        <v>624</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46015.0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266">
        <v>80.0</v>
      </c>
      <c r="Y3" s="258">
        <f t="shared" ref="Y3:Y7" si="3">AVERAGE(U3:X3)</f>
        <v>83.7</v>
      </c>
      <c r="Z3" s="266">
        <v>78.0</v>
      </c>
      <c r="AA3" s="266">
        <v>81.0</v>
      </c>
      <c r="AB3" s="266">
        <v>84.0</v>
      </c>
      <c r="AC3" s="266">
        <v>86.0</v>
      </c>
      <c r="AD3" s="258">
        <f t="shared" ref="AD3:AD7" si="4">AVERAGE(Z3:AC3)</f>
        <v>82.25</v>
      </c>
      <c r="AF3" s="3" t="s">
        <v>1222</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64">
        <v>64.0</v>
      </c>
      <c r="Y4" s="258">
        <f t="shared" si="3"/>
        <v>69.2</v>
      </c>
      <c r="Z4" s="264">
        <v>62.0</v>
      </c>
      <c r="AA4" s="264">
        <v>61.0</v>
      </c>
      <c r="AB4" s="264">
        <v>61.0</v>
      </c>
      <c r="AC4" s="264">
        <v>60.0</v>
      </c>
      <c r="AD4" s="258">
        <f t="shared" si="4"/>
        <v>61</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X5" si="5">V4-V6</f>
        <v>56</v>
      </c>
      <c r="W5" s="255">
        <f t="shared" si="5"/>
        <v>56</v>
      </c>
      <c r="X5" s="264">
        <f t="shared" si="5"/>
        <v>46</v>
      </c>
      <c r="Y5" s="248">
        <f t="shared" si="3"/>
        <v>55.4</v>
      </c>
      <c r="Z5" s="264">
        <f t="shared" ref="Z5:AC5" si="6">Z4-Z6</f>
        <v>43</v>
      </c>
      <c r="AA5" s="264">
        <f t="shared" si="6"/>
        <v>47</v>
      </c>
      <c r="AB5" s="264">
        <f t="shared" si="6"/>
        <v>49</v>
      </c>
      <c r="AC5" s="264">
        <f t="shared" si="6"/>
        <v>49</v>
      </c>
      <c r="AD5" s="248">
        <f t="shared" si="4"/>
        <v>47</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55">
        <v>12.0</v>
      </c>
      <c r="W6" s="255">
        <v>13.0</v>
      </c>
      <c r="X6" s="264">
        <v>18.0</v>
      </c>
      <c r="Y6" s="258">
        <f t="shared" si="3"/>
        <v>13.8</v>
      </c>
      <c r="Z6" s="264">
        <v>19.0</v>
      </c>
      <c r="AA6" s="264">
        <v>14.0</v>
      </c>
      <c r="AB6" s="264">
        <v>12.0</v>
      </c>
      <c r="AC6" s="264">
        <v>11.0</v>
      </c>
      <c r="AD6" s="258">
        <f t="shared" si="4"/>
        <v>14</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67">
        <v>5.8</v>
      </c>
      <c r="Y7" s="258">
        <f t="shared" si="3"/>
        <v>8.375</v>
      </c>
      <c r="Z7" s="267">
        <v>5.4</v>
      </c>
      <c r="AA7" s="267">
        <v>5.4</v>
      </c>
      <c r="AB7" s="267">
        <v>5.2</v>
      </c>
      <c r="AC7" s="267">
        <v>6.0</v>
      </c>
      <c r="AD7" s="258">
        <f t="shared" si="4"/>
        <v>5.5</v>
      </c>
      <c r="AF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69">
        <v>16.0</v>
      </c>
      <c r="Y8" s="258">
        <v>19.2</v>
      </c>
      <c r="Z8" s="269">
        <v>15.5</v>
      </c>
      <c r="AA8" s="269">
        <v>15.0</v>
      </c>
      <c r="AB8" s="269">
        <v>14.0</v>
      </c>
      <c r="AC8" s="269">
        <v>13.0</v>
      </c>
      <c r="AD8" s="258">
        <v>14.8</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-0.1419714817</v>
      </c>
      <c r="Z10" s="343">
        <v>2026.0</v>
      </c>
      <c r="AA10" s="348" t="s">
        <v>1120</v>
      </c>
      <c r="AB10" s="348" t="s">
        <v>1121</v>
      </c>
      <c r="AC10" s="348" t="s">
        <v>1122</v>
      </c>
      <c r="AD10" s="349" t="s">
        <v>1123</v>
      </c>
    </row>
    <row r="11">
      <c r="E11" s="114"/>
      <c r="F11" s="115"/>
      <c r="G11" s="115"/>
      <c r="H11" s="115"/>
      <c r="I11" s="112" t="s">
        <v>406</v>
      </c>
      <c r="J11" s="112" t="s">
        <v>406</v>
      </c>
      <c r="S11" s="350" t="s">
        <v>1006</v>
      </c>
      <c r="T11" s="351" t="s">
        <v>54</v>
      </c>
      <c r="U11" s="348"/>
      <c r="V11" s="348"/>
      <c r="W11" s="411"/>
      <c r="X11" s="412">
        <v>63.4</v>
      </c>
      <c r="Y11" s="350" t="s">
        <v>1006</v>
      </c>
      <c r="Z11" s="351" t="s">
        <v>54</v>
      </c>
      <c r="AA11" s="411">
        <v>62.5</v>
      </c>
      <c r="AB11" s="411">
        <v>61.5</v>
      </c>
      <c r="AC11" s="411">
        <v>61.3</v>
      </c>
      <c r="AD11" s="412">
        <v>61.3</v>
      </c>
      <c r="AE11" s="3" t="s">
        <v>1223</v>
      </c>
    </row>
    <row r="12">
      <c r="E12" s="114" t="s">
        <v>241</v>
      </c>
      <c r="F12" s="115" t="s">
        <v>242</v>
      </c>
      <c r="G12" s="115" t="s">
        <v>242</v>
      </c>
      <c r="H12" s="115" t="s">
        <v>194</v>
      </c>
      <c r="I12" s="115" t="s">
        <v>148</v>
      </c>
      <c r="T12" s="352" t="s">
        <v>468</v>
      </c>
      <c r="U12" s="353">
        <v>76.0</v>
      </c>
      <c r="V12" s="353">
        <v>68.0</v>
      </c>
      <c r="W12" s="354"/>
      <c r="X12" s="355">
        <v>64.0</v>
      </c>
      <c r="Z12" s="352" t="s">
        <v>468</v>
      </c>
      <c r="AA12" s="354">
        <v>62.0</v>
      </c>
      <c r="AB12" s="354">
        <v>61.0</v>
      </c>
      <c r="AC12" s="354">
        <v>61.0</v>
      </c>
      <c r="AD12" s="354">
        <v>60.0</v>
      </c>
    </row>
    <row r="13">
      <c r="C13" s="4">
        <v>5.7</v>
      </c>
      <c r="D13" s="4">
        <v>6.5</v>
      </c>
      <c r="E13" s="62">
        <v>7.4</v>
      </c>
      <c r="F13" s="54">
        <v>8.1</v>
      </c>
      <c r="G13" s="54"/>
      <c r="H13" s="62"/>
      <c r="I13" s="62"/>
      <c r="J13" s="62"/>
      <c r="T13" s="352" t="s">
        <v>469</v>
      </c>
      <c r="U13" s="353">
        <v>76.0</v>
      </c>
      <c r="V13" s="353">
        <v>68.0</v>
      </c>
      <c r="W13" s="354"/>
      <c r="X13" s="356">
        <v>64.0</v>
      </c>
      <c r="Z13" s="352" t="s">
        <v>469</v>
      </c>
      <c r="AA13" s="354">
        <v>62.0</v>
      </c>
      <c r="AB13" s="354">
        <v>61.0</v>
      </c>
      <c r="AC13" s="354">
        <v>60.0</v>
      </c>
      <c r="AD13" s="354">
        <v>59.0</v>
      </c>
    </row>
    <row r="14">
      <c r="D14" s="111"/>
      <c r="E14" s="117"/>
      <c r="F14" s="112"/>
      <c r="G14" s="112"/>
      <c r="H14" s="112"/>
      <c r="I14" s="117"/>
      <c r="J14" s="112"/>
      <c r="O14" s="3" t="s">
        <v>1177</v>
      </c>
      <c r="P14" s="3" t="s">
        <v>1224</v>
      </c>
      <c r="Q14" s="4"/>
      <c r="R14" s="55"/>
      <c r="T14" s="352" t="s">
        <v>470</v>
      </c>
      <c r="U14" s="353">
        <v>76.0</v>
      </c>
      <c r="V14" s="353">
        <v>68.0</v>
      </c>
      <c r="W14" s="354"/>
      <c r="X14" s="355">
        <v>64.0</v>
      </c>
      <c r="Z14" s="352" t="s">
        <v>470</v>
      </c>
      <c r="AA14" s="354">
        <v>62.0</v>
      </c>
      <c r="AB14" s="354">
        <v>62.0</v>
      </c>
      <c r="AC14" s="354">
        <v>61.0</v>
      </c>
      <c r="AD14" s="354">
        <v>61.0</v>
      </c>
      <c r="AE14" s="4"/>
      <c r="AF14" s="4"/>
    </row>
    <row r="15">
      <c r="D15" s="111"/>
      <c r="E15" s="117"/>
      <c r="F15" s="112"/>
      <c r="G15" s="112"/>
      <c r="H15" s="112"/>
      <c r="I15" s="117"/>
      <c r="J15" s="112"/>
      <c r="O15" s="4" t="s">
        <v>652</v>
      </c>
      <c r="P15" s="4" t="s">
        <v>335</v>
      </c>
      <c r="Q15" s="4" t="s">
        <v>338</v>
      </c>
      <c r="R15" s="4" t="s">
        <v>581</v>
      </c>
      <c r="T15" s="357" t="s">
        <v>906</v>
      </c>
      <c r="U15" s="353">
        <v>76.0</v>
      </c>
      <c r="V15" s="353">
        <v>68.0</v>
      </c>
      <c r="W15" s="354"/>
      <c r="X15" s="356"/>
      <c r="Z15" s="436" t="s">
        <v>1225</v>
      </c>
      <c r="AA15" s="354">
        <v>60.0</v>
      </c>
      <c r="AB15" s="354">
        <v>61.0</v>
      </c>
      <c r="AC15" s="354">
        <v>61.0</v>
      </c>
      <c r="AD15" s="354">
        <v>61.0</v>
      </c>
      <c r="AE15" s="4"/>
      <c r="AF15" s="41"/>
    </row>
    <row r="16">
      <c r="D16" s="111" t="s">
        <v>241</v>
      </c>
      <c r="E16" s="117">
        <v>7.0</v>
      </c>
      <c r="F16" s="112">
        <v>7.3</v>
      </c>
      <c r="G16" s="112"/>
      <c r="H16" s="112"/>
      <c r="I16" s="117"/>
      <c r="J16" s="112"/>
      <c r="N16" s="4" t="s">
        <v>62</v>
      </c>
      <c r="O16" s="256">
        <v>77.22</v>
      </c>
      <c r="P16" s="256">
        <v>77.0</v>
      </c>
      <c r="Q16" s="437"/>
      <c r="R16" s="226">
        <f t="shared" ref="R16:R19" si="9">AVERAGE(O16:Q16)</f>
        <v>77.11</v>
      </c>
      <c r="T16" s="358" t="s">
        <v>908</v>
      </c>
      <c r="U16" s="353">
        <v>76.0</v>
      </c>
      <c r="V16" s="353">
        <v>68.0</v>
      </c>
      <c r="W16" s="354"/>
      <c r="X16" s="356"/>
      <c r="Z16" s="358" t="s">
        <v>908</v>
      </c>
      <c r="AA16" s="354">
        <v>62.0</v>
      </c>
      <c r="AB16" s="354">
        <v>61.0</v>
      </c>
      <c r="AC16" s="354">
        <v>60.0</v>
      </c>
      <c r="AD16" s="354">
        <v>59.0</v>
      </c>
      <c r="AE16" s="4"/>
      <c r="AF16" s="4"/>
    </row>
    <row r="17">
      <c r="C17" s="10"/>
      <c r="D17" s="10"/>
      <c r="E17" s="10"/>
      <c r="F17" s="10"/>
      <c r="G17" s="10"/>
      <c r="H17" s="10"/>
      <c r="I17" s="10"/>
      <c r="J17" s="10"/>
      <c r="N17" s="4" t="s">
        <v>28</v>
      </c>
      <c r="O17" s="256">
        <v>65.92</v>
      </c>
      <c r="P17" s="256">
        <v>66.41</v>
      </c>
      <c r="Q17" s="437"/>
      <c r="R17" s="226">
        <f t="shared" si="9"/>
        <v>66.165</v>
      </c>
      <c r="T17" s="358" t="s">
        <v>910</v>
      </c>
      <c r="U17" s="359">
        <f t="shared" ref="U17:X17" si="10">AVERAGE(U12:U14)</f>
        <v>76</v>
      </c>
      <c r="V17" s="359">
        <f t="shared" si="10"/>
        <v>68</v>
      </c>
      <c r="W17" s="359" t="str">
        <f t="shared" si="10"/>
        <v>#DIV/0!</v>
      </c>
      <c r="X17" s="360">
        <f t="shared" si="10"/>
        <v>64</v>
      </c>
      <c r="Z17" s="358" t="s">
        <v>910</v>
      </c>
      <c r="AA17" s="359">
        <f t="shared" ref="AA17:AD17" si="11">AVERAGE(AA12:AA14)</f>
        <v>62</v>
      </c>
      <c r="AB17" s="359">
        <f t="shared" si="11"/>
        <v>61.33333333</v>
      </c>
      <c r="AC17" s="359">
        <f t="shared" si="11"/>
        <v>60.66666667</v>
      </c>
      <c r="AD17" s="360">
        <f t="shared" si="11"/>
        <v>60</v>
      </c>
    </row>
    <row r="18">
      <c r="E18" s="118"/>
      <c r="F18" s="118"/>
      <c r="G18" s="118"/>
      <c r="H18" s="118"/>
      <c r="I18" s="118"/>
      <c r="J18" s="118"/>
      <c r="K18" s="425">
        <v>78.9</v>
      </c>
      <c r="L18" s="426">
        <v>80.1</v>
      </c>
      <c r="N18" s="4" t="s">
        <v>582</v>
      </c>
      <c r="O18" s="256">
        <v>41.8</v>
      </c>
      <c r="P18" s="256">
        <v>42.3</v>
      </c>
      <c r="Q18" s="437"/>
      <c r="R18" s="226">
        <f t="shared" si="9"/>
        <v>42.05</v>
      </c>
      <c r="T18" s="361" t="s">
        <v>912</v>
      </c>
      <c r="U18" s="362">
        <f t="shared" ref="U18:X18" si="12">AVERAGE(U12:U16)</f>
        <v>76</v>
      </c>
      <c r="V18" s="362">
        <f t="shared" si="12"/>
        <v>68</v>
      </c>
      <c r="W18" s="362" t="str">
        <f t="shared" si="12"/>
        <v>#DIV/0!</v>
      </c>
      <c r="X18" s="363">
        <f t="shared" si="12"/>
        <v>64</v>
      </c>
      <c r="Z18" s="361" t="s">
        <v>912</v>
      </c>
      <c r="AA18" s="362">
        <f t="shared" ref="AA18:AD18" si="13">AVERAGE(AA12:AA16)</f>
        <v>61.6</v>
      </c>
      <c r="AB18" s="362">
        <f t="shared" si="13"/>
        <v>61.2</v>
      </c>
      <c r="AC18" s="362">
        <f t="shared" si="13"/>
        <v>60.6</v>
      </c>
      <c r="AD18" s="363">
        <f t="shared" si="13"/>
        <v>60</v>
      </c>
      <c r="AF18" s="4"/>
    </row>
    <row r="19">
      <c r="E19" s="118"/>
      <c r="F19" s="118"/>
      <c r="G19" s="118"/>
      <c r="H19" s="118"/>
      <c r="I19" s="118"/>
      <c r="J19" s="118"/>
      <c r="K19" s="425">
        <v>10.98</v>
      </c>
      <c r="L19" s="426">
        <v>11.12</v>
      </c>
      <c r="N19" s="4" t="s">
        <v>1214</v>
      </c>
      <c r="O19" s="117">
        <f t="shared" ref="O19:Q19" si="14">O17-O18</f>
        <v>24.12</v>
      </c>
      <c r="P19" s="117">
        <f t="shared" si="14"/>
        <v>24.11</v>
      </c>
      <c r="Q19" s="117">
        <f t="shared" si="14"/>
        <v>0</v>
      </c>
      <c r="R19" s="226">
        <f t="shared" si="9"/>
        <v>16.07666667</v>
      </c>
      <c r="S19" s="364"/>
      <c r="T19" s="364"/>
      <c r="U19" s="365">
        <v>45747.0</v>
      </c>
      <c r="V19" s="365">
        <f t="shared" ref="V19:X19" si="15">EOMONTH(U19,3)</f>
        <v>45838</v>
      </c>
      <c r="W19" s="365">
        <f t="shared" si="15"/>
        <v>45930</v>
      </c>
      <c r="X19" s="365">
        <f t="shared" si="15"/>
        <v>46022</v>
      </c>
      <c r="Z19" s="364"/>
      <c r="AA19" s="427">
        <v>46112.0</v>
      </c>
      <c r="AB19" s="365">
        <f t="shared" ref="AB19:AD19" si="16">EOMONTH(AA19,3)</f>
        <v>46203</v>
      </c>
      <c r="AC19" s="365">
        <f t="shared" si="16"/>
        <v>46295</v>
      </c>
      <c r="AD19" s="365">
        <f t="shared" si="16"/>
        <v>46387</v>
      </c>
    </row>
    <row r="20">
      <c r="E20" s="118"/>
      <c r="F20" s="118"/>
      <c r="G20" s="118"/>
      <c r="H20" s="118"/>
      <c r="I20" s="118"/>
      <c r="J20" s="118"/>
      <c r="K20" s="425">
        <v>7.14</v>
      </c>
      <c r="L20" s="426">
        <v>7.18</v>
      </c>
      <c r="M20" s="308"/>
      <c r="S20" s="366" t="s">
        <v>1011</v>
      </c>
      <c r="T20" s="367" t="s">
        <v>786</v>
      </c>
      <c r="U20" s="368"/>
      <c r="V20" s="348"/>
      <c r="W20" s="348"/>
      <c r="X20" s="349">
        <v>81.0</v>
      </c>
      <c r="Y20" s="366" t="s">
        <v>1011</v>
      </c>
      <c r="Z20" s="367" t="s">
        <v>786</v>
      </c>
      <c r="AA20" s="348">
        <v>77.0</v>
      </c>
      <c r="AB20" s="348">
        <v>79.0</v>
      </c>
      <c r="AC20" s="348">
        <v>81.0</v>
      </c>
      <c r="AD20" s="349">
        <v>83.0</v>
      </c>
    </row>
    <row r="21">
      <c r="E21" s="118"/>
      <c r="F21" s="118"/>
      <c r="G21" s="118"/>
      <c r="H21" s="118"/>
      <c r="I21" s="118"/>
      <c r="J21" s="118"/>
      <c r="K21" s="425">
        <v>93.4</v>
      </c>
      <c r="L21" s="426">
        <v>93.2</v>
      </c>
      <c r="M21" s="309"/>
      <c r="S21" s="53"/>
      <c r="T21" s="352" t="s">
        <v>468</v>
      </c>
      <c r="U21" s="353">
        <v>93.0</v>
      </c>
      <c r="V21" s="353">
        <v>81.0</v>
      </c>
      <c r="W21" s="353">
        <v>81.0</v>
      </c>
      <c r="X21" s="355">
        <v>81.0</v>
      </c>
      <c r="Y21" s="3" t="s">
        <v>1188</v>
      </c>
      <c r="Z21" s="352" t="s">
        <v>468</v>
      </c>
      <c r="AA21" s="354">
        <v>79.0</v>
      </c>
      <c r="AB21" s="354">
        <v>81.0</v>
      </c>
      <c r="AC21" s="354">
        <v>83.0</v>
      </c>
      <c r="AD21" s="355">
        <v>85.0</v>
      </c>
    </row>
    <row r="22">
      <c r="E22" s="118"/>
      <c r="F22" s="118"/>
      <c r="G22" s="118"/>
      <c r="H22" s="118"/>
      <c r="I22" s="118"/>
      <c r="J22" s="118"/>
      <c r="K22" s="425">
        <v>1.17</v>
      </c>
      <c r="L22" s="426">
        <v>1.16</v>
      </c>
      <c r="M22" s="309"/>
      <c r="S22" s="369"/>
      <c r="T22" s="352" t="s">
        <v>469</v>
      </c>
      <c r="U22" s="353">
        <v>93.0</v>
      </c>
      <c r="V22" s="353">
        <v>81.0</v>
      </c>
      <c r="W22" s="353">
        <v>81.0</v>
      </c>
      <c r="X22" s="355">
        <v>81.0</v>
      </c>
      <c r="Z22" s="352" t="s">
        <v>469</v>
      </c>
      <c r="AA22" s="354">
        <v>78.0</v>
      </c>
      <c r="AB22" s="354">
        <v>82.0</v>
      </c>
      <c r="AC22" s="354">
        <v>85.0</v>
      </c>
      <c r="AD22" s="356">
        <v>88.0</v>
      </c>
    </row>
    <row r="23">
      <c r="E23" s="118"/>
      <c r="F23" s="118"/>
      <c r="G23" s="118"/>
      <c r="H23" s="118"/>
      <c r="I23" s="118"/>
      <c r="J23" s="118"/>
      <c r="K23" s="425">
        <v>71.0</v>
      </c>
      <c r="L23" s="426">
        <v>68.0</v>
      </c>
      <c r="M23" s="309"/>
      <c r="S23" s="369"/>
      <c r="T23" s="352" t="s">
        <v>470</v>
      </c>
      <c r="U23" s="353">
        <v>93.0</v>
      </c>
      <c r="V23" s="353">
        <v>81.0</v>
      </c>
      <c r="W23" s="353">
        <v>81.0</v>
      </c>
      <c r="X23" s="355">
        <v>81.0</v>
      </c>
      <c r="Z23" s="352" t="s">
        <v>470</v>
      </c>
      <c r="AA23" s="354">
        <v>78.0</v>
      </c>
      <c r="AB23" s="354">
        <v>80.0</v>
      </c>
      <c r="AC23" s="354">
        <v>83.0</v>
      </c>
      <c r="AD23" s="356">
        <v>85.0</v>
      </c>
    </row>
    <row r="24">
      <c r="E24" s="118"/>
      <c r="F24" s="118"/>
      <c r="G24" s="118"/>
      <c r="H24" s="118"/>
      <c r="I24" s="118"/>
      <c r="J24" s="118"/>
      <c r="K24" s="425">
        <v>57.4</v>
      </c>
      <c r="L24" s="426">
        <v>56.1</v>
      </c>
      <c r="M24" s="309"/>
      <c r="S24" s="364"/>
      <c r="T24" s="357" t="s">
        <v>906</v>
      </c>
      <c r="U24" s="353">
        <v>93.0</v>
      </c>
      <c r="V24" s="353">
        <v>81.0</v>
      </c>
      <c r="W24" s="353">
        <v>81.0</v>
      </c>
      <c r="X24" s="356"/>
      <c r="Z24" s="357" t="s">
        <v>906</v>
      </c>
      <c r="AA24" s="354">
        <v>79.0</v>
      </c>
      <c r="AB24" s="354">
        <v>82.0</v>
      </c>
      <c r="AC24" s="354">
        <v>84.0</v>
      </c>
      <c r="AD24" s="355">
        <v>86.0</v>
      </c>
    </row>
    <row r="25">
      <c r="E25" s="118"/>
      <c r="F25" s="118"/>
      <c r="G25" s="118"/>
      <c r="H25" s="118"/>
      <c r="I25" s="118"/>
      <c r="J25" s="118"/>
      <c r="M25" s="308"/>
      <c r="S25" s="370"/>
      <c r="T25" s="358" t="s">
        <v>908</v>
      </c>
      <c r="U25" s="353">
        <v>93.0</v>
      </c>
      <c r="V25" s="353">
        <v>81.0</v>
      </c>
      <c r="W25" s="353">
        <v>81.0</v>
      </c>
      <c r="X25" s="356"/>
      <c r="Z25" s="358" t="s">
        <v>908</v>
      </c>
      <c r="AA25" s="354">
        <v>82.0</v>
      </c>
      <c r="AB25" s="354">
        <v>85.0</v>
      </c>
      <c r="AC25" s="354">
        <v>89.0</v>
      </c>
      <c r="AD25" s="356">
        <v>91.0</v>
      </c>
    </row>
    <row r="26">
      <c r="A26" s="3"/>
      <c r="B26" s="12"/>
      <c r="C26" s="12"/>
      <c r="D26" s="13"/>
      <c r="E26" s="13"/>
      <c r="F26" s="13"/>
      <c r="G26" s="13"/>
      <c r="H26" s="13"/>
      <c r="I26" s="13"/>
      <c r="J26" s="13"/>
      <c r="M26" s="308"/>
      <c r="N26" s="309"/>
      <c r="S26" s="370"/>
      <c r="T26" s="358" t="s">
        <v>910</v>
      </c>
      <c r="U26" s="359">
        <f t="shared" ref="U26:X26" si="17">AVERAGE(U21:U23)</f>
        <v>93</v>
      </c>
      <c r="V26" s="359">
        <f t="shared" si="17"/>
        <v>81</v>
      </c>
      <c r="W26" s="359">
        <f t="shared" si="17"/>
        <v>81</v>
      </c>
      <c r="X26" s="360">
        <f t="shared" si="17"/>
        <v>81</v>
      </c>
      <c r="Z26" s="358" t="s">
        <v>910</v>
      </c>
      <c r="AA26" s="359">
        <f t="shared" ref="AA26:AD26" si="18">AVERAGE(AA21:AA23)</f>
        <v>78.33333333</v>
      </c>
      <c r="AB26" s="359">
        <f t="shared" si="18"/>
        <v>81</v>
      </c>
      <c r="AC26" s="359">
        <f t="shared" si="18"/>
        <v>83.66666667</v>
      </c>
      <c r="AD26" s="360">
        <f t="shared" si="18"/>
        <v>86</v>
      </c>
    </row>
    <row r="27">
      <c r="S27" s="55"/>
      <c r="T27" s="361" t="s">
        <v>912</v>
      </c>
      <c r="U27" s="362">
        <f t="shared" ref="U27:X27" si="19">AVERAGE(U21:U25)</f>
        <v>93</v>
      </c>
      <c r="V27" s="362">
        <f t="shared" si="19"/>
        <v>81</v>
      </c>
      <c r="W27" s="362">
        <f t="shared" si="19"/>
        <v>81</v>
      </c>
      <c r="X27" s="363">
        <f t="shared" si="19"/>
        <v>81</v>
      </c>
      <c r="Z27" s="361" t="s">
        <v>912</v>
      </c>
      <c r="AA27" s="362">
        <f t="shared" ref="AA27:AD27" si="20">AVERAGE(AA21:AA25)</f>
        <v>79.2</v>
      </c>
      <c r="AB27" s="362">
        <f t="shared" si="20"/>
        <v>82</v>
      </c>
      <c r="AC27" s="362">
        <f t="shared" si="20"/>
        <v>84.8</v>
      </c>
      <c r="AD27" s="363">
        <f t="shared" si="20"/>
        <v>87</v>
      </c>
    </row>
    <row r="28">
      <c r="Q28" s="4"/>
      <c r="R28" s="55"/>
      <c r="S28" s="366" t="s">
        <v>81</v>
      </c>
      <c r="T28" s="371" t="s">
        <v>786</v>
      </c>
      <c r="U28" s="372"/>
      <c r="V28" s="372"/>
      <c r="W28" s="372"/>
      <c r="X28" s="373">
        <v>5.9</v>
      </c>
      <c r="Y28" s="366" t="s">
        <v>81</v>
      </c>
      <c r="Z28" s="371" t="s">
        <v>786</v>
      </c>
      <c r="AA28" s="372"/>
      <c r="AB28" s="372"/>
      <c r="AC28" s="372"/>
      <c r="AD28" s="373">
        <v>6.0</v>
      </c>
      <c r="AF28" s="3" t="s">
        <v>1212</v>
      </c>
    </row>
    <row r="29">
      <c r="Q29" s="4"/>
      <c r="R29" s="55"/>
      <c r="S29" s="53"/>
      <c r="T29" s="374" t="s">
        <v>468</v>
      </c>
      <c r="U29" s="53"/>
      <c r="V29" s="53"/>
      <c r="W29" s="53"/>
      <c r="X29" s="376">
        <v>5.8</v>
      </c>
      <c r="Y29" s="99" t="s">
        <v>1226</v>
      </c>
      <c r="Z29" s="374" t="s">
        <v>468</v>
      </c>
      <c r="AA29" s="53"/>
      <c r="AB29" s="53"/>
      <c r="AC29" s="53"/>
      <c r="AD29" s="376">
        <v>5.5</v>
      </c>
      <c r="AE29" s="99" t="s">
        <v>1193</v>
      </c>
    </row>
    <row r="30">
      <c r="M30" s="308"/>
      <c r="Q30" s="4"/>
      <c r="R30" s="55"/>
      <c r="S30" s="53"/>
      <c r="T30" s="352" t="s">
        <v>469</v>
      </c>
      <c r="U30" s="53"/>
      <c r="V30" s="53"/>
      <c r="W30" s="53"/>
      <c r="X30" s="376">
        <v>5.8</v>
      </c>
      <c r="Y30" s="99" t="s">
        <v>1193</v>
      </c>
      <c r="Z30" s="352" t="s">
        <v>469</v>
      </c>
      <c r="AA30" s="53"/>
      <c r="AB30" s="53"/>
      <c r="AC30" s="53"/>
      <c r="AD30" s="376">
        <v>6.0</v>
      </c>
      <c r="AE30" s="99" t="s">
        <v>1227</v>
      </c>
    </row>
    <row r="31">
      <c r="M31" s="309"/>
      <c r="Q31" s="4"/>
      <c r="R31" s="55"/>
      <c r="S31" s="53"/>
      <c r="T31" s="374" t="s">
        <v>470</v>
      </c>
      <c r="U31" s="53"/>
      <c r="V31" s="53"/>
      <c r="W31" s="53"/>
      <c r="X31" s="376">
        <v>5.75</v>
      </c>
      <c r="Y31" s="99" t="s">
        <v>1195</v>
      </c>
      <c r="Z31" s="374" t="s">
        <v>470</v>
      </c>
      <c r="AA31" s="53"/>
      <c r="AB31" s="53"/>
      <c r="AC31" s="53"/>
      <c r="AD31" s="376">
        <v>6.5</v>
      </c>
    </row>
    <row r="32">
      <c r="M32" s="309"/>
      <c r="Q32" s="4"/>
      <c r="R32" s="55"/>
      <c r="S32" s="377"/>
      <c r="T32" s="358" t="s">
        <v>906</v>
      </c>
      <c r="U32" s="55"/>
      <c r="V32" s="55"/>
      <c r="W32" s="55"/>
      <c r="X32" s="376">
        <v>5.7</v>
      </c>
      <c r="Z32" s="358" t="s">
        <v>906</v>
      </c>
      <c r="AA32" s="55"/>
      <c r="AB32" s="55"/>
      <c r="AC32" s="55"/>
      <c r="AD32" s="376">
        <v>5.5</v>
      </c>
    </row>
    <row r="33">
      <c r="M33" s="309"/>
      <c r="Q33" s="4"/>
      <c r="R33" s="55"/>
      <c r="S33" s="377"/>
      <c r="T33" s="358" t="s">
        <v>908</v>
      </c>
      <c r="U33" s="55"/>
      <c r="V33" s="55"/>
      <c r="W33" s="55"/>
      <c r="X33" s="376">
        <v>5.7</v>
      </c>
      <c r="Z33" s="358" t="s">
        <v>908</v>
      </c>
      <c r="AA33" s="55"/>
      <c r="AB33" s="55"/>
      <c r="AC33" s="55"/>
      <c r="AD33" s="376">
        <v>6.2</v>
      </c>
    </row>
    <row r="34">
      <c r="M34" s="309"/>
      <c r="Q34" s="4"/>
      <c r="R34" s="55"/>
      <c r="S34" s="377"/>
      <c r="T34" s="378" t="s">
        <v>910</v>
      </c>
      <c r="U34" s="55"/>
      <c r="V34" s="55"/>
      <c r="W34" s="55"/>
      <c r="X34" s="379">
        <f>AVERAGE(X29:X31)</f>
        <v>5.783333333</v>
      </c>
      <c r="Z34" s="378" t="s">
        <v>910</v>
      </c>
      <c r="AA34" s="55"/>
      <c r="AB34" s="55"/>
      <c r="AC34" s="55"/>
      <c r="AD34" s="379">
        <f>AVERAGE(AD29:AD31)</f>
        <v>6</v>
      </c>
    </row>
    <row r="35">
      <c r="M35" s="308"/>
      <c r="Q35" s="4"/>
      <c r="R35" s="55"/>
      <c r="S35" s="53"/>
      <c r="T35" s="380" t="s">
        <v>912</v>
      </c>
      <c r="U35" s="381"/>
      <c r="V35" s="381"/>
      <c r="W35" s="382"/>
      <c r="X35" s="383">
        <f>AVERAGE(X29:X33)</f>
        <v>5.75</v>
      </c>
      <c r="Z35" s="380" t="s">
        <v>912</v>
      </c>
      <c r="AA35" s="381"/>
      <c r="AB35" s="381"/>
      <c r="AC35" s="382"/>
      <c r="AD35" s="383">
        <f>AVERAGE(AD29:AD33)</f>
        <v>5.94</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418">
        <v>17.0</v>
      </c>
      <c r="X37" s="389">
        <v>16.0</v>
      </c>
      <c r="Y37" s="3" t="s">
        <v>1216</v>
      </c>
      <c r="Z37" s="386" t="s">
        <v>468</v>
      </c>
      <c r="AA37" s="431">
        <v>15.5</v>
      </c>
      <c r="AB37" s="432">
        <v>15.0</v>
      </c>
      <c r="AC37" s="432">
        <v>14.5</v>
      </c>
      <c r="AD37" s="432">
        <v>14.0</v>
      </c>
    </row>
    <row r="38">
      <c r="N38" s="31" t="s">
        <v>586</v>
      </c>
      <c r="S38" s="55"/>
      <c r="T38" s="386" t="s">
        <v>469</v>
      </c>
      <c r="U38" s="419">
        <v>21.0</v>
      </c>
      <c r="V38" s="420">
        <v>20.0</v>
      </c>
      <c r="W38" s="418">
        <v>17.0</v>
      </c>
      <c r="X38" s="398">
        <v>16.0</v>
      </c>
      <c r="Z38" s="386" t="s">
        <v>469</v>
      </c>
      <c r="AA38" s="433">
        <v>15.5</v>
      </c>
      <c r="AB38" s="433">
        <v>15.0</v>
      </c>
      <c r="AC38" s="433">
        <v>14.0</v>
      </c>
      <c r="AD38" s="434">
        <v>12.0</v>
      </c>
    </row>
    <row r="39">
      <c r="N39" s="3" t="s">
        <v>587</v>
      </c>
      <c r="Q39" s="3" t="s">
        <v>588</v>
      </c>
      <c r="S39" s="55"/>
      <c r="T39" s="386" t="s">
        <v>470</v>
      </c>
      <c r="U39" s="417">
        <v>21.0</v>
      </c>
      <c r="V39" s="421">
        <v>20.0</v>
      </c>
      <c r="W39" s="418">
        <v>17.0</v>
      </c>
      <c r="X39" s="276">
        <v>16.0</v>
      </c>
      <c r="Z39" s="386" t="s">
        <v>470</v>
      </c>
      <c r="AA39" s="431">
        <v>15.5</v>
      </c>
      <c r="AB39" s="432">
        <v>14.0</v>
      </c>
      <c r="AC39" s="432">
        <v>13.0</v>
      </c>
      <c r="AD39" s="432">
        <v>12.0</v>
      </c>
    </row>
    <row r="40">
      <c r="N40" s="3" t="s">
        <v>589</v>
      </c>
      <c r="Q40" s="3" t="s">
        <v>590</v>
      </c>
      <c r="S40" s="394"/>
      <c r="T40" s="395" t="s">
        <v>906</v>
      </c>
      <c r="U40" s="419">
        <v>21.0</v>
      </c>
      <c r="V40" s="420">
        <v>20.0</v>
      </c>
      <c r="W40" s="418">
        <v>17.0</v>
      </c>
      <c r="X40" s="398">
        <v>16.0</v>
      </c>
      <c r="Z40" s="395" t="s">
        <v>906</v>
      </c>
      <c r="AA40" s="433">
        <v>15.5</v>
      </c>
      <c r="AB40" s="433">
        <v>14.5</v>
      </c>
      <c r="AC40" s="433">
        <v>13.5</v>
      </c>
      <c r="AD40" s="434">
        <v>12.5</v>
      </c>
      <c r="AE40" s="3" t="s">
        <v>1200</v>
      </c>
    </row>
    <row r="41">
      <c r="N41" s="3" t="s">
        <v>591</v>
      </c>
      <c r="Q41" s="3" t="s">
        <v>592</v>
      </c>
      <c r="S41" s="394"/>
      <c r="T41" s="395" t="s">
        <v>908</v>
      </c>
      <c r="U41" s="417"/>
      <c r="V41" s="418"/>
      <c r="W41" s="418">
        <v>17.0</v>
      </c>
      <c r="X41" s="389">
        <v>16.0</v>
      </c>
      <c r="Z41" s="395" t="s">
        <v>908</v>
      </c>
      <c r="AA41" s="431">
        <v>15.5</v>
      </c>
      <c r="AB41" s="431">
        <v>14.0</v>
      </c>
      <c r="AC41" s="431">
        <v>13.0</v>
      </c>
      <c r="AD41" s="431">
        <v>12.0</v>
      </c>
      <c r="AE41" s="3" t="s">
        <v>1200</v>
      </c>
    </row>
    <row r="42">
      <c r="N42" s="3" t="s">
        <v>593</v>
      </c>
      <c r="Q42" s="3" t="s">
        <v>594</v>
      </c>
      <c r="S42" s="394"/>
      <c r="T42" s="400" t="s">
        <v>910</v>
      </c>
      <c r="U42" s="359">
        <f t="shared" ref="U42:X42" si="21">AVERAGE(U37:U39)</f>
        <v>21</v>
      </c>
      <c r="V42" s="359">
        <f t="shared" si="21"/>
        <v>20</v>
      </c>
      <c r="W42" s="359">
        <f t="shared" si="21"/>
        <v>17</v>
      </c>
      <c r="X42" s="360">
        <f t="shared" si="21"/>
        <v>16</v>
      </c>
      <c r="Z42" s="400" t="s">
        <v>910</v>
      </c>
      <c r="AA42" s="435">
        <f t="shared" ref="AA42:AD42" si="22">AVERAGE(AA37:AA39)</f>
        <v>15.5</v>
      </c>
      <c r="AB42" s="435">
        <f t="shared" si="22"/>
        <v>14.66666667</v>
      </c>
      <c r="AC42" s="435">
        <f t="shared" si="22"/>
        <v>13.83333333</v>
      </c>
      <c r="AD42" s="438">
        <f t="shared" si="22"/>
        <v>12.66666667</v>
      </c>
    </row>
    <row r="43">
      <c r="N43" s="3" t="s">
        <v>595</v>
      </c>
      <c r="Q43" s="3" t="s">
        <v>596</v>
      </c>
      <c r="S43" s="55"/>
      <c r="T43" s="401" t="s">
        <v>912</v>
      </c>
      <c r="U43" s="362">
        <f t="shared" ref="U43:X43" si="23">AVERAGE(U37:U41)</f>
        <v>21</v>
      </c>
      <c r="V43" s="362">
        <f t="shared" si="23"/>
        <v>20</v>
      </c>
      <c r="W43" s="362">
        <f t="shared" si="23"/>
        <v>17</v>
      </c>
      <c r="X43" s="363">
        <f t="shared" si="23"/>
        <v>16</v>
      </c>
      <c r="Z43" s="401" t="s">
        <v>912</v>
      </c>
      <c r="AA43" s="293">
        <f t="shared" ref="AA43:AD43" si="24">AVERAGE(AA37:AA41)</f>
        <v>15.5</v>
      </c>
      <c r="AB43" s="293">
        <f t="shared" si="24"/>
        <v>14.5</v>
      </c>
      <c r="AC43" s="293">
        <f t="shared" si="24"/>
        <v>13.6</v>
      </c>
      <c r="AD43" s="383">
        <f t="shared" si="24"/>
        <v>12.5</v>
      </c>
    </row>
    <row r="44">
      <c r="N44" s="3" t="s">
        <v>597</v>
      </c>
      <c r="Q44" s="3" t="s">
        <v>598</v>
      </c>
      <c r="S44" s="384" t="s">
        <v>78</v>
      </c>
      <c r="T44" s="402" t="s">
        <v>786</v>
      </c>
      <c r="U44" s="403"/>
      <c r="V44" s="403"/>
      <c r="W44" s="403"/>
      <c r="X44" s="412">
        <v>0.9</v>
      </c>
      <c r="Y44" s="3" t="s">
        <v>1217</v>
      </c>
      <c r="Z44" s="402" t="s">
        <v>786</v>
      </c>
      <c r="AA44" s="403"/>
      <c r="AB44" s="403"/>
      <c r="AC44" s="403"/>
      <c r="AD44" s="412">
        <v>1.9</v>
      </c>
      <c r="AE44" s="3" t="s">
        <v>1218</v>
      </c>
    </row>
    <row r="45">
      <c r="N45" s="3" t="s">
        <v>599</v>
      </c>
      <c r="Q45" s="3" t="s">
        <v>600</v>
      </c>
      <c r="S45" s="55"/>
      <c r="T45" s="405" t="s">
        <v>468</v>
      </c>
      <c r="U45" s="55"/>
      <c r="V45" s="55"/>
      <c r="W45" s="55"/>
      <c r="X45" s="376">
        <v>0.8</v>
      </c>
      <c r="Z45" s="405" t="s">
        <v>468</v>
      </c>
      <c r="AA45" s="55"/>
      <c r="AB45" s="55"/>
      <c r="AC45" s="55"/>
      <c r="AD45" s="376">
        <v>1.0</v>
      </c>
    </row>
    <row r="46">
      <c r="S46" s="55"/>
      <c r="T46" s="405" t="s">
        <v>469</v>
      </c>
      <c r="U46" s="55"/>
      <c r="V46" s="55"/>
      <c r="W46" s="55"/>
      <c r="X46" s="376"/>
      <c r="Z46" s="405" t="s">
        <v>469</v>
      </c>
      <c r="AA46" s="55"/>
      <c r="AB46" s="55"/>
      <c r="AC46" s="55"/>
      <c r="AD46" s="376">
        <v>0.0</v>
      </c>
    </row>
    <row r="47">
      <c r="N47" s="3" t="s">
        <v>601</v>
      </c>
      <c r="Q47" s="3" t="s">
        <v>602</v>
      </c>
      <c r="S47" s="55"/>
      <c r="T47" s="405" t="s">
        <v>470</v>
      </c>
      <c r="U47" s="55"/>
      <c r="V47" s="55"/>
      <c r="W47" s="55"/>
      <c r="X47" s="376">
        <v>0.9</v>
      </c>
      <c r="Z47" s="405" t="s">
        <v>470</v>
      </c>
      <c r="AA47" s="55"/>
      <c r="AB47" s="55"/>
      <c r="AC47" s="55"/>
      <c r="AD47" s="376">
        <v>1.5</v>
      </c>
    </row>
    <row r="48">
      <c r="Q48" s="3" t="s">
        <v>603</v>
      </c>
      <c r="S48" s="394"/>
      <c r="T48" s="407" t="s">
        <v>906</v>
      </c>
      <c r="U48" s="55"/>
      <c r="V48" s="55"/>
      <c r="W48" s="55"/>
      <c r="X48" s="376">
        <v>0.8</v>
      </c>
      <c r="Z48" s="407" t="s">
        <v>906</v>
      </c>
      <c r="AA48" s="55"/>
      <c r="AB48" s="55"/>
      <c r="AC48" s="55"/>
      <c r="AD48" s="376">
        <v>1.0</v>
      </c>
    </row>
    <row r="49">
      <c r="N49" s="3" t="s">
        <v>604</v>
      </c>
      <c r="S49" s="394"/>
      <c r="T49" s="407" t="s">
        <v>908</v>
      </c>
      <c r="U49" s="55"/>
      <c r="V49" s="408"/>
      <c r="W49" s="408"/>
      <c r="X49" s="376">
        <v>0.8</v>
      </c>
      <c r="Z49" s="407" t="s">
        <v>908</v>
      </c>
      <c r="AA49" s="55"/>
      <c r="AB49" s="408"/>
      <c r="AC49" s="408"/>
      <c r="AD49" s="376">
        <v>1.1</v>
      </c>
    </row>
    <row r="50">
      <c r="R50" s="3" t="s">
        <v>605</v>
      </c>
      <c r="S50" s="394"/>
      <c r="T50" s="409" t="s">
        <v>910</v>
      </c>
      <c r="U50" s="55"/>
      <c r="V50" s="53"/>
      <c r="W50" s="55"/>
      <c r="X50" s="379">
        <f>AVERAGE(X45:X47)</f>
        <v>0.85</v>
      </c>
      <c r="Z50" s="409" t="s">
        <v>910</v>
      </c>
      <c r="AA50" s="55"/>
      <c r="AB50" s="53"/>
      <c r="AC50" s="55"/>
      <c r="AD50" s="379">
        <f>AVERAGE(AD45:AD47)</f>
        <v>0.8333333333</v>
      </c>
    </row>
    <row r="51">
      <c r="N51" s="3" t="s">
        <v>606</v>
      </c>
      <c r="R51" s="3" t="s">
        <v>607</v>
      </c>
      <c r="S51" s="55"/>
      <c r="T51" s="361" t="s">
        <v>912</v>
      </c>
      <c r="U51" s="382"/>
      <c r="V51" s="410"/>
      <c r="W51" s="410"/>
      <c r="X51" s="383">
        <f>AVERAGE(X45:X49)</f>
        <v>0.825</v>
      </c>
      <c r="Z51" s="361" t="s">
        <v>912</v>
      </c>
      <c r="AA51" s="382"/>
      <c r="AB51" s="410"/>
      <c r="AC51" s="410"/>
      <c r="AD51" s="383">
        <f>AVERAGE(AD45:AD49)</f>
        <v>0.92</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1228</v>
      </c>
      <c r="Q55" s="3" t="s">
        <v>1229</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1230</v>
      </c>
    </row>
    <row r="64">
      <c r="Q64" s="3" t="s">
        <v>623</v>
      </c>
    </row>
    <row r="65">
      <c r="Q65" s="3" t="s">
        <v>616</v>
      </c>
    </row>
    <row r="66">
      <c r="Q66" s="3" t="s">
        <v>618</v>
      </c>
    </row>
    <row r="68">
      <c r="P68" s="218" t="s">
        <v>619</v>
      </c>
      <c r="Q68" s="31" t="s">
        <v>624</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46057.0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266">
        <v>77.0</v>
      </c>
      <c r="AA3" s="266">
        <v>78.0</v>
      </c>
      <c r="AB3" s="266">
        <v>81.0</v>
      </c>
      <c r="AC3" s="266">
        <v>82.0</v>
      </c>
      <c r="AD3" s="258">
        <f t="shared" ref="AD3:AD7" si="4">AVERAGE(Z3:AC3)</f>
        <v>79.5</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264">
        <v>66.0</v>
      </c>
      <c r="AA4" s="264">
        <v>63.0</v>
      </c>
      <c r="AB4" s="264">
        <v>62.0</v>
      </c>
      <c r="AC4" s="264">
        <v>61.0</v>
      </c>
      <c r="AD4" s="258">
        <f t="shared" si="4"/>
        <v>63</v>
      </c>
      <c r="AE4" s="439">
        <f>AD4/Y4-1</f>
        <v>-0.08959537572</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5">V4-V6</f>
        <v>56</v>
      </c>
      <c r="W5" s="255">
        <f t="shared" si="5"/>
        <v>56</v>
      </c>
      <c r="X5" s="255">
        <v>45.0</v>
      </c>
      <c r="Y5" s="248">
        <f t="shared" si="3"/>
        <v>55.15</v>
      </c>
      <c r="Z5" s="264">
        <f t="shared" ref="Z5:AC5" si="6">Z4-Z6</f>
        <v>42</v>
      </c>
      <c r="AA5" s="264">
        <f t="shared" si="6"/>
        <v>43</v>
      </c>
      <c r="AB5" s="264">
        <f t="shared" si="6"/>
        <v>47</v>
      </c>
      <c r="AC5" s="264">
        <f t="shared" si="6"/>
        <v>46</v>
      </c>
      <c r="AD5" s="258">
        <f t="shared" si="4"/>
        <v>44.5</v>
      </c>
      <c r="AF5" s="35">
        <f>68.6/AD5-1</f>
        <v>0.5415730337</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55">
        <v>12.0</v>
      </c>
      <c r="W6" s="255">
        <v>13.0</v>
      </c>
      <c r="X6" s="254">
        <v>18.4</v>
      </c>
      <c r="Y6" s="258">
        <f t="shared" si="3"/>
        <v>13.9</v>
      </c>
      <c r="Z6" s="264">
        <v>24.0</v>
      </c>
      <c r="AA6" s="264">
        <v>20.0</v>
      </c>
      <c r="AB6" s="264">
        <v>15.0</v>
      </c>
      <c r="AC6" s="264">
        <v>15.0</v>
      </c>
      <c r="AD6" s="258">
        <f t="shared" si="4"/>
        <v>18.5</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67">
        <v>5.7</v>
      </c>
      <c r="AA7" s="267">
        <v>5.5</v>
      </c>
      <c r="AB7" s="267">
        <v>4.8</v>
      </c>
      <c r="AC7" s="267">
        <v>5.3</v>
      </c>
      <c r="AD7" s="258">
        <f t="shared" si="4"/>
        <v>5.325</v>
      </c>
      <c r="AF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69">
        <v>15.5</v>
      </c>
      <c r="AA8" s="269">
        <v>14.5</v>
      </c>
      <c r="AB8" s="269">
        <v>13.0</v>
      </c>
      <c r="AC8" s="269">
        <v>12.0</v>
      </c>
      <c r="AD8" s="258">
        <v>14.3</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-0.1419714817</v>
      </c>
      <c r="Z10" s="343">
        <v>2026.0</v>
      </c>
      <c r="AA10" s="348" t="s">
        <v>1120</v>
      </c>
      <c r="AB10" s="348" t="s">
        <v>1121</v>
      </c>
      <c r="AC10" s="348" t="s">
        <v>1122</v>
      </c>
      <c r="AD10" s="349" t="s">
        <v>1123</v>
      </c>
    </row>
    <row r="11">
      <c r="E11" s="114"/>
      <c r="F11" s="115"/>
      <c r="G11" s="115"/>
      <c r="H11" s="115"/>
      <c r="I11" s="112" t="s">
        <v>406</v>
      </c>
      <c r="J11" s="112" t="s">
        <v>406</v>
      </c>
      <c r="S11" s="350" t="s">
        <v>1006</v>
      </c>
      <c r="T11" s="351" t="s">
        <v>54</v>
      </c>
      <c r="U11" s="348"/>
      <c r="V11" s="348"/>
      <c r="W11" s="411"/>
      <c r="X11" s="412">
        <v>63.4</v>
      </c>
      <c r="Y11" s="350" t="s">
        <v>1006</v>
      </c>
      <c r="Z11" s="351" t="s">
        <v>54</v>
      </c>
      <c r="AA11" s="411">
        <v>66.5</v>
      </c>
      <c r="AB11" s="411">
        <v>66.7</v>
      </c>
      <c r="AC11" s="411">
        <v>65.6</v>
      </c>
      <c r="AD11" s="412">
        <v>64.9</v>
      </c>
      <c r="AE11" s="3" t="s">
        <v>1231</v>
      </c>
    </row>
    <row r="12">
      <c r="E12" s="114" t="s">
        <v>241</v>
      </c>
      <c r="F12" s="115" t="s">
        <v>242</v>
      </c>
      <c r="G12" s="115" t="s">
        <v>242</v>
      </c>
      <c r="H12" s="115" t="s">
        <v>194</v>
      </c>
      <c r="I12" s="115" t="s">
        <v>148</v>
      </c>
      <c r="T12" s="352" t="s">
        <v>468</v>
      </c>
      <c r="U12" s="353"/>
      <c r="V12" s="353"/>
      <c r="W12" s="354"/>
      <c r="X12" s="355"/>
      <c r="Z12" s="352" t="s">
        <v>468</v>
      </c>
      <c r="AA12" s="354">
        <v>66.0</v>
      </c>
      <c r="AB12" s="354">
        <v>62.0</v>
      </c>
      <c r="AC12" s="354">
        <v>62.0</v>
      </c>
      <c r="AD12" s="354">
        <v>60.0</v>
      </c>
    </row>
    <row r="13">
      <c r="C13" s="4">
        <v>5.7</v>
      </c>
      <c r="D13" s="4">
        <v>6.5</v>
      </c>
      <c r="E13" s="62">
        <v>7.4</v>
      </c>
      <c r="F13" s="54">
        <v>8.1</v>
      </c>
      <c r="G13" s="54"/>
      <c r="H13" s="62"/>
      <c r="I13" s="62"/>
      <c r="J13" s="62"/>
      <c r="T13" s="352" t="s">
        <v>469</v>
      </c>
      <c r="U13" s="353"/>
      <c r="V13" s="353"/>
      <c r="W13" s="354"/>
      <c r="X13" s="356"/>
      <c r="Z13" s="352" t="s">
        <v>469</v>
      </c>
      <c r="AA13" s="354">
        <v>66.0</v>
      </c>
      <c r="AB13" s="354">
        <v>64.0</v>
      </c>
      <c r="AC13" s="354">
        <v>62.0</v>
      </c>
      <c r="AD13" s="354">
        <v>60.0</v>
      </c>
    </row>
    <row r="14">
      <c r="D14" s="111"/>
      <c r="E14" s="117"/>
      <c r="F14" s="112"/>
      <c r="G14" s="112"/>
      <c r="H14" s="112"/>
      <c r="I14" s="117"/>
      <c r="J14" s="112"/>
      <c r="O14" s="3" t="s">
        <v>1177</v>
      </c>
      <c r="P14" s="3" t="s">
        <v>1232</v>
      </c>
      <c r="Q14" s="4"/>
      <c r="R14" s="55"/>
      <c r="T14" s="352" t="s">
        <v>470</v>
      </c>
      <c r="U14" s="353"/>
      <c r="V14" s="353"/>
      <c r="W14" s="354"/>
      <c r="X14" s="355"/>
      <c r="Z14" s="352" t="s">
        <v>470</v>
      </c>
      <c r="AA14" s="354">
        <v>66.0</v>
      </c>
      <c r="AB14" s="354">
        <v>64.0</v>
      </c>
      <c r="AC14" s="354">
        <v>62.0</v>
      </c>
      <c r="AD14" s="354">
        <v>62.0</v>
      </c>
      <c r="AE14" s="4"/>
      <c r="AF14" s="4"/>
    </row>
    <row r="15">
      <c r="D15" s="111"/>
      <c r="E15" s="117"/>
      <c r="F15" s="112"/>
      <c r="G15" s="112"/>
      <c r="H15" s="112"/>
      <c r="I15" s="117"/>
      <c r="J15" s="112"/>
      <c r="O15" s="4" t="s">
        <v>350</v>
      </c>
      <c r="P15" s="4" t="s">
        <v>353</v>
      </c>
      <c r="Q15" s="4" t="s">
        <v>355</v>
      </c>
      <c r="R15" s="4" t="s">
        <v>581</v>
      </c>
      <c r="T15" s="357" t="s">
        <v>906</v>
      </c>
      <c r="U15" s="353"/>
      <c r="V15" s="353"/>
      <c r="W15" s="354"/>
      <c r="X15" s="356"/>
      <c r="Z15" s="436" t="s">
        <v>1225</v>
      </c>
      <c r="AA15" s="354">
        <v>65.0</v>
      </c>
      <c r="AB15" s="354">
        <v>61.0</v>
      </c>
      <c r="AC15" s="354">
        <v>59.0</v>
      </c>
      <c r="AD15" s="354">
        <v>62.0</v>
      </c>
      <c r="AE15" s="4"/>
      <c r="AF15" s="41"/>
    </row>
    <row r="16">
      <c r="D16" s="111" t="s">
        <v>241</v>
      </c>
      <c r="E16" s="117">
        <v>7.0</v>
      </c>
      <c r="F16" s="112">
        <v>7.3</v>
      </c>
      <c r="G16" s="112"/>
      <c r="H16" s="112"/>
      <c r="I16" s="117"/>
      <c r="J16" s="112"/>
      <c r="N16" s="4" t="s">
        <v>62</v>
      </c>
      <c r="O16" s="346">
        <v>80.85</v>
      </c>
      <c r="P16" s="346">
        <v>80.31</v>
      </c>
      <c r="Q16" s="437">
        <v>78.54</v>
      </c>
      <c r="R16" s="226">
        <f t="shared" ref="R16:R19" si="9">AVERAGE(O16:Q16)</f>
        <v>79.9</v>
      </c>
      <c r="T16" s="358" t="s">
        <v>908</v>
      </c>
      <c r="U16" s="353"/>
      <c r="V16" s="353"/>
      <c r="W16" s="354"/>
      <c r="X16" s="356"/>
      <c r="Z16" s="440" t="s">
        <v>906</v>
      </c>
      <c r="AA16" s="354">
        <v>65.0</v>
      </c>
      <c r="AB16" s="354">
        <v>62.0</v>
      </c>
      <c r="AC16" s="354">
        <v>60.0</v>
      </c>
      <c r="AD16" s="354">
        <v>60.0</v>
      </c>
      <c r="AE16" s="4"/>
      <c r="AF16" s="4"/>
    </row>
    <row r="17">
      <c r="C17" s="10"/>
      <c r="D17" s="10"/>
      <c r="E17" s="10"/>
      <c r="F17" s="10"/>
      <c r="G17" s="10"/>
      <c r="H17" s="10"/>
      <c r="I17" s="10"/>
      <c r="J17" s="10"/>
      <c r="N17" s="4" t="s">
        <v>28</v>
      </c>
      <c r="O17" s="346">
        <v>64.54</v>
      </c>
      <c r="P17" s="346">
        <v>63.8</v>
      </c>
      <c r="Q17" s="437">
        <v>62.34</v>
      </c>
      <c r="R17" s="226">
        <f t="shared" si="9"/>
        <v>63.56</v>
      </c>
      <c r="T17" s="358" t="s">
        <v>910</v>
      </c>
      <c r="U17" s="359" t="str">
        <f t="shared" ref="U17:X17" si="10">AVERAGE(U12:U14)</f>
        <v>#DIV/0!</v>
      </c>
      <c r="V17" s="359" t="str">
        <f t="shared" si="10"/>
        <v>#DIV/0!</v>
      </c>
      <c r="W17" s="359" t="str">
        <f t="shared" si="10"/>
        <v>#DIV/0!</v>
      </c>
      <c r="X17" s="360" t="str">
        <f t="shared" si="10"/>
        <v>#DIV/0!</v>
      </c>
      <c r="Z17" s="358" t="s">
        <v>910</v>
      </c>
      <c r="AA17" s="359">
        <f t="shared" ref="AA17:AD17" si="11">AVERAGE(AA12:AA14)</f>
        <v>66</v>
      </c>
      <c r="AB17" s="359">
        <f t="shared" si="11"/>
        <v>63.33333333</v>
      </c>
      <c r="AC17" s="359">
        <f t="shared" si="11"/>
        <v>62</v>
      </c>
      <c r="AD17" s="360">
        <f t="shared" si="11"/>
        <v>60.66666667</v>
      </c>
    </row>
    <row r="18">
      <c r="E18" s="118"/>
      <c r="F18" s="118"/>
      <c r="G18" s="118"/>
      <c r="H18" s="118"/>
      <c r="I18" s="118"/>
      <c r="J18" s="118"/>
      <c r="K18" s="425">
        <v>78.9</v>
      </c>
      <c r="L18" s="426">
        <v>80.1</v>
      </c>
      <c r="N18" s="4" t="s">
        <v>582</v>
      </c>
      <c r="O18" s="346">
        <v>50.76</v>
      </c>
      <c r="P18" s="346">
        <v>45.2</v>
      </c>
      <c r="Q18" s="437">
        <v>42.1</v>
      </c>
      <c r="R18" s="226">
        <f t="shared" si="9"/>
        <v>46.02</v>
      </c>
      <c r="T18" s="361" t="s">
        <v>912</v>
      </c>
      <c r="U18" s="362" t="str">
        <f t="shared" ref="U18:X18" si="12">AVERAGE(U12:U16)</f>
        <v>#DIV/0!</v>
      </c>
      <c r="V18" s="362" t="str">
        <f t="shared" si="12"/>
        <v>#DIV/0!</v>
      </c>
      <c r="W18" s="362" t="str">
        <f t="shared" si="12"/>
        <v>#DIV/0!</v>
      </c>
      <c r="X18" s="363" t="str">
        <f t="shared" si="12"/>
        <v>#DIV/0!</v>
      </c>
      <c r="Z18" s="361" t="s">
        <v>912</v>
      </c>
      <c r="AA18" s="362">
        <f t="shared" ref="AA18:AD18" si="13">AVERAGE(AA12:AA16)</f>
        <v>65.6</v>
      </c>
      <c r="AB18" s="362">
        <f t="shared" si="13"/>
        <v>62.6</v>
      </c>
      <c r="AC18" s="362">
        <f t="shared" si="13"/>
        <v>61</v>
      </c>
      <c r="AD18" s="363">
        <f t="shared" si="13"/>
        <v>60.8</v>
      </c>
      <c r="AF18" s="4"/>
    </row>
    <row r="19">
      <c r="E19" s="118"/>
      <c r="F19" s="118"/>
      <c r="G19" s="118"/>
      <c r="H19" s="118"/>
      <c r="I19" s="118"/>
      <c r="J19" s="118"/>
      <c r="K19" s="425">
        <v>10.98</v>
      </c>
      <c r="L19" s="426">
        <v>11.12</v>
      </c>
      <c r="N19" s="4" t="s">
        <v>1214</v>
      </c>
      <c r="O19" s="117">
        <f t="shared" ref="O19:Q19" si="14">O17-O18</f>
        <v>13.78</v>
      </c>
      <c r="P19" s="117">
        <f t="shared" si="14"/>
        <v>18.6</v>
      </c>
      <c r="Q19" s="117">
        <f t="shared" si="14"/>
        <v>20.24</v>
      </c>
      <c r="R19" s="226">
        <f t="shared" si="9"/>
        <v>17.54</v>
      </c>
      <c r="S19" s="364"/>
      <c r="T19" s="364"/>
      <c r="U19" s="365">
        <v>45747.0</v>
      </c>
      <c r="V19" s="365">
        <f t="shared" ref="V19:X19" si="15">EOMONTH(U19,3)</f>
        <v>45838</v>
      </c>
      <c r="W19" s="365">
        <f t="shared" si="15"/>
        <v>45930</v>
      </c>
      <c r="X19" s="365">
        <f t="shared" si="15"/>
        <v>46022</v>
      </c>
      <c r="Z19" s="364"/>
      <c r="AA19" s="427">
        <v>46112.0</v>
      </c>
      <c r="AB19" s="365">
        <f t="shared" ref="AB19:AD19" si="16">EOMONTH(AA19,3)</f>
        <v>46203</v>
      </c>
      <c r="AC19" s="365">
        <f t="shared" si="16"/>
        <v>46295</v>
      </c>
      <c r="AD19" s="365">
        <f t="shared" si="16"/>
        <v>46387</v>
      </c>
    </row>
    <row r="20">
      <c r="E20" s="118"/>
      <c r="F20" s="118"/>
      <c r="G20" s="118"/>
      <c r="H20" s="118"/>
      <c r="I20" s="118"/>
      <c r="J20" s="118"/>
      <c r="K20" s="425">
        <v>7.14</v>
      </c>
      <c r="L20" s="426">
        <v>7.18</v>
      </c>
      <c r="M20" s="308"/>
      <c r="S20" s="366" t="s">
        <v>1011</v>
      </c>
      <c r="T20" s="367" t="s">
        <v>786</v>
      </c>
      <c r="U20" s="368"/>
      <c r="V20" s="348"/>
      <c r="W20" s="348"/>
      <c r="X20" s="349">
        <v>81.0</v>
      </c>
      <c r="Y20" s="366" t="s">
        <v>1011</v>
      </c>
      <c r="Z20" s="367" t="s">
        <v>786</v>
      </c>
      <c r="AA20" s="348">
        <v>77.0</v>
      </c>
      <c r="AB20" s="348">
        <v>76.0</v>
      </c>
      <c r="AC20" s="348">
        <v>78.0</v>
      </c>
      <c r="AD20" s="349">
        <v>79.0</v>
      </c>
      <c r="AE20" s="3" t="s">
        <v>1233</v>
      </c>
    </row>
    <row r="21">
      <c r="E21" s="118"/>
      <c r="F21" s="118"/>
      <c r="G21" s="118"/>
      <c r="H21" s="118"/>
      <c r="I21" s="118"/>
      <c r="J21" s="118"/>
      <c r="K21" s="425">
        <v>93.4</v>
      </c>
      <c r="L21" s="426">
        <v>93.2</v>
      </c>
      <c r="M21" s="309"/>
      <c r="S21" s="53"/>
      <c r="T21" s="352" t="s">
        <v>468</v>
      </c>
      <c r="U21" s="353"/>
      <c r="V21" s="353"/>
      <c r="W21" s="353"/>
      <c r="X21" s="355"/>
      <c r="Y21" s="3" t="s">
        <v>1188</v>
      </c>
      <c r="Z21" s="352" t="s">
        <v>468</v>
      </c>
      <c r="AA21" s="354">
        <v>77.0</v>
      </c>
      <c r="AB21" s="354">
        <v>79.0</v>
      </c>
      <c r="AC21" s="354">
        <v>81.0</v>
      </c>
      <c r="AD21" s="355">
        <v>83.0</v>
      </c>
      <c r="AE21" s="3" t="s">
        <v>1234</v>
      </c>
    </row>
    <row r="22">
      <c r="E22" s="118"/>
      <c r="F22" s="118"/>
      <c r="G22" s="118"/>
      <c r="H22" s="118"/>
      <c r="I22" s="118"/>
      <c r="J22" s="118"/>
      <c r="K22" s="425">
        <v>1.17</v>
      </c>
      <c r="L22" s="426">
        <v>1.16</v>
      </c>
      <c r="M22" s="309"/>
      <c r="S22" s="369"/>
      <c r="T22" s="352" t="s">
        <v>469</v>
      </c>
      <c r="U22" s="353"/>
      <c r="V22" s="353"/>
      <c r="W22" s="353"/>
      <c r="X22" s="355"/>
      <c r="Z22" s="352" t="s">
        <v>469</v>
      </c>
      <c r="AA22" s="354">
        <v>77.0</v>
      </c>
      <c r="AB22" s="354">
        <v>79.0</v>
      </c>
      <c r="AC22" s="354">
        <v>82.0</v>
      </c>
      <c r="AD22" s="356">
        <v>84.0</v>
      </c>
      <c r="AE22" s="3" t="s">
        <v>1235</v>
      </c>
    </row>
    <row r="23">
      <c r="E23" s="118"/>
      <c r="F23" s="118"/>
      <c r="G23" s="118"/>
      <c r="H23" s="118"/>
      <c r="I23" s="118"/>
      <c r="J23" s="118"/>
      <c r="K23" s="425">
        <v>71.0</v>
      </c>
      <c r="L23" s="426">
        <v>68.0</v>
      </c>
      <c r="M23" s="309"/>
      <c r="S23" s="369"/>
      <c r="T23" s="352" t="s">
        <v>470</v>
      </c>
      <c r="U23" s="353"/>
      <c r="V23" s="353"/>
      <c r="W23" s="353"/>
      <c r="X23" s="355"/>
      <c r="Z23" s="352" t="s">
        <v>470</v>
      </c>
      <c r="AA23" s="354">
        <v>77.0</v>
      </c>
      <c r="AB23" s="354">
        <v>77.0</v>
      </c>
      <c r="AC23" s="354">
        <v>80.0</v>
      </c>
      <c r="AD23" s="356">
        <v>80.0</v>
      </c>
      <c r="AE23" s="3" t="s">
        <v>1236</v>
      </c>
    </row>
    <row r="24">
      <c r="E24" s="118"/>
      <c r="F24" s="118"/>
      <c r="G24" s="118"/>
      <c r="H24" s="118"/>
      <c r="I24" s="118"/>
      <c r="J24" s="118"/>
      <c r="K24" s="425">
        <v>57.4</v>
      </c>
      <c r="L24" s="426">
        <v>56.1</v>
      </c>
      <c r="M24" s="309"/>
      <c r="S24" s="364"/>
      <c r="T24" s="357" t="s">
        <v>906</v>
      </c>
      <c r="U24" s="353"/>
      <c r="V24" s="353"/>
      <c r="W24" s="353"/>
      <c r="X24" s="356"/>
      <c r="Z24" s="357" t="s">
        <v>906</v>
      </c>
      <c r="AA24" s="354">
        <v>76.0</v>
      </c>
      <c r="AB24" s="354">
        <v>77.0</v>
      </c>
      <c r="AC24" s="354">
        <v>80.0</v>
      </c>
      <c r="AD24" s="355">
        <v>83.0</v>
      </c>
      <c r="AE24" s="3" t="s">
        <v>1237</v>
      </c>
    </row>
    <row r="25">
      <c r="E25" s="118"/>
      <c r="F25" s="118"/>
      <c r="G25" s="118"/>
      <c r="H25" s="118"/>
      <c r="I25" s="118"/>
      <c r="J25" s="118"/>
      <c r="M25" s="308"/>
      <c r="S25" s="370"/>
      <c r="T25" s="358" t="s">
        <v>908</v>
      </c>
      <c r="U25" s="353"/>
      <c r="V25" s="353"/>
      <c r="W25" s="353"/>
      <c r="X25" s="356"/>
      <c r="Z25" s="358" t="s">
        <v>908</v>
      </c>
      <c r="AA25" s="354"/>
      <c r="AB25" s="354"/>
      <c r="AC25" s="354"/>
      <c r="AD25" s="356"/>
      <c r="AE25" s="3" t="s">
        <v>1238</v>
      </c>
    </row>
    <row r="26">
      <c r="A26" s="3"/>
      <c r="B26" s="12"/>
      <c r="C26" s="12"/>
      <c r="D26" s="13"/>
      <c r="E26" s="13"/>
      <c r="F26" s="13"/>
      <c r="G26" s="13"/>
      <c r="H26" s="13"/>
      <c r="I26" s="13"/>
      <c r="J26" s="13"/>
      <c r="M26" s="308"/>
      <c r="N26" s="309"/>
      <c r="S26" s="370"/>
      <c r="T26" s="358" t="s">
        <v>910</v>
      </c>
      <c r="U26" s="359" t="str">
        <f t="shared" ref="U26:X26" si="17">AVERAGE(U21:U23)</f>
        <v>#DIV/0!</v>
      </c>
      <c r="V26" s="359" t="str">
        <f t="shared" si="17"/>
        <v>#DIV/0!</v>
      </c>
      <c r="W26" s="359" t="str">
        <f t="shared" si="17"/>
        <v>#DIV/0!</v>
      </c>
      <c r="X26" s="360" t="str">
        <f t="shared" si="17"/>
        <v>#DIV/0!</v>
      </c>
      <c r="Z26" s="358" t="s">
        <v>910</v>
      </c>
      <c r="AA26" s="359">
        <f t="shared" ref="AA26:AD26" si="18">AVERAGE(AA21:AA23)</f>
        <v>77</v>
      </c>
      <c r="AB26" s="359">
        <f t="shared" si="18"/>
        <v>78.33333333</v>
      </c>
      <c r="AC26" s="359">
        <f t="shared" si="18"/>
        <v>81</v>
      </c>
      <c r="AD26" s="360">
        <f t="shared" si="18"/>
        <v>82.33333333</v>
      </c>
      <c r="AE26" s="3" t="s">
        <v>1239</v>
      </c>
    </row>
    <row r="27">
      <c r="S27" s="55"/>
      <c r="T27" s="361" t="s">
        <v>912</v>
      </c>
      <c r="U27" s="362" t="str">
        <f t="shared" ref="U27:X27" si="19">AVERAGE(U21:U25)</f>
        <v>#DIV/0!</v>
      </c>
      <c r="V27" s="362" t="str">
        <f t="shared" si="19"/>
        <v>#DIV/0!</v>
      </c>
      <c r="W27" s="362" t="str">
        <f t="shared" si="19"/>
        <v>#DIV/0!</v>
      </c>
      <c r="X27" s="363" t="str">
        <f t="shared" si="19"/>
        <v>#DIV/0!</v>
      </c>
      <c r="Z27" s="361" t="s">
        <v>912</v>
      </c>
      <c r="AA27" s="362">
        <f t="shared" ref="AA27:AD27" si="20">AVERAGE(AA21:AA25)</f>
        <v>76.75</v>
      </c>
      <c r="AB27" s="362">
        <f t="shared" si="20"/>
        <v>78</v>
      </c>
      <c r="AC27" s="362">
        <f t="shared" si="20"/>
        <v>80.75</v>
      </c>
      <c r="AD27" s="363">
        <f t="shared" si="20"/>
        <v>82.5</v>
      </c>
    </row>
    <row r="28">
      <c r="Q28" s="4"/>
      <c r="R28" s="55"/>
      <c r="S28" s="366" t="s">
        <v>81</v>
      </c>
      <c r="T28" s="371" t="s">
        <v>786</v>
      </c>
      <c r="U28" s="372"/>
      <c r="V28" s="372"/>
      <c r="W28" s="372"/>
      <c r="X28" s="373"/>
      <c r="Y28" s="366" t="s">
        <v>81</v>
      </c>
      <c r="Z28" s="371" t="s">
        <v>786</v>
      </c>
      <c r="AA28" s="372"/>
      <c r="AB28" s="372"/>
      <c r="AC28" s="372"/>
      <c r="AD28" s="373">
        <v>5.0</v>
      </c>
      <c r="AF28" s="3" t="s">
        <v>1212</v>
      </c>
    </row>
    <row r="29">
      <c r="Q29" s="4"/>
      <c r="R29" s="55"/>
      <c r="S29" s="53"/>
      <c r="T29" s="374" t="s">
        <v>468</v>
      </c>
      <c r="U29" s="53"/>
      <c r="V29" s="53"/>
      <c r="W29" s="53"/>
      <c r="X29" s="376"/>
      <c r="Y29" s="99" t="s">
        <v>1226</v>
      </c>
      <c r="Z29" s="374" t="s">
        <v>468</v>
      </c>
      <c r="AA29" s="53"/>
      <c r="AB29" s="53"/>
      <c r="AC29" s="53"/>
      <c r="AD29" s="376">
        <v>5.5</v>
      </c>
      <c r="AE29" s="99" t="s">
        <v>1193</v>
      </c>
    </row>
    <row r="30">
      <c r="M30" s="308"/>
      <c r="Q30" s="4"/>
      <c r="R30" s="55"/>
      <c r="S30" s="53"/>
      <c r="T30" s="352" t="s">
        <v>469</v>
      </c>
      <c r="U30" s="53"/>
      <c r="V30" s="53"/>
      <c r="W30" s="53"/>
      <c r="X30" s="376"/>
      <c r="Y30" s="99" t="s">
        <v>1193</v>
      </c>
      <c r="Z30" s="352" t="s">
        <v>469</v>
      </c>
      <c r="AA30" s="53"/>
      <c r="AB30" s="53"/>
      <c r="AC30" s="53"/>
      <c r="AD30" s="376">
        <v>5.5</v>
      </c>
      <c r="AE30" s="99" t="s">
        <v>1227</v>
      </c>
    </row>
    <row r="31">
      <c r="M31" s="309"/>
      <c r="Q31" s="4"/>
      <c r="R31" s="55"/>
      <c r="S31" s="53"/>
      <c r="T31" s="374" t="s">
        <v>470</v>
      </c>
      <c r="U31" s="53"/>
      <c r="V31" s="53"/>
      <c r="W31" s="53"/>
      <c r="X31" s="376"/>
      <c r="Y31" s="99" t="s">
        <v>1195</v>
      </c>
      <c r="Z31" s="374" t="s">
        <v>470</v>
      </c>
      <c r="AA31" s="53"/>
      <c r="AB31" s="53"/>
      <c r="AC31" s="53"/>
      <c r="AD31" s="376">
        <v>5.0</v>
      </c>
    </row>
    <row r="32">
      <c r="M32" s="309"/>
      <c r="Q32" s="4"/>
      <c r="R32" s="55"/>
      <c r="S32" s="377"/>
      <c r="T32" s="358" t="s">
        <v>906</v>
      </c>
      <c r="U32" s="55"/>
      <c r="V32" s="55"/>
      <c r="W32" s="55"/>
      <c r="X32" s="376"/>
      <c r="Z32" s="358" t="s">
        <v>906</v>
      </c>
      <c r="AA32" s="55"/>
      <c r="AB32" s="55"/>
      <c r="AC32" s="55"/>
      <c r="AD32" s="376">
        <v>5.5</v>
      </c>
    </row>
    <row r="33">
      <c r="M33" s="309"/>
      <c r="Q33" s="4"/>
      <c r="R33" s="55"/>
      <c r="S33" s="377"/>
      <c r="T33" s="358" t="s">
        <v>908</v>
      </c>
      <c r="U33" s="55"/>
      <c r="V33" s="55"/>
      <c r="W33" s="55"/>
      <c r="X33" s="376"/>
      <c r="Z33" s="358" t="s">
        <v>908</v>
      </c>
      <c r="AA33" s="55"/>
      <c r="AB33" s="55"/>
      <c r="AC33" s="55"/>
      <c r="AD33" s="376"/>
    </row>
    <row r="34">
      <c r="M34" s="309"/>
      <c r="Q34" s="4"/>
      <c r="R34" s="55"/>
      <c r="S34" s="377"/>
      <c r="T34" s="378" t="s">
        <v>910</v>
      </c>
      <c r="U34" s="55"/>
      <c r="V34" s="55"/>
      <c r="W34" s="55"/>
      <c r="X34" s="379"/>
      <c r="Z34" s="378" t="s">
        <v>910</v>
      </c>
      <c r="AA34" s="55"/>
      <c r="AB34" s="55"/>
      <c r="AC34" s="55"/>
      <c r="AD34" s="379">
        <f>AVERAGE(AD29:AD31)</f>
        <v>5.333333333</v>
      </c>
    </row>
    <row r="35">
      <c r="M35" s="308"/>
      <c r="Q35" s="4"/>
      <c r="R35" s="55"/>
      <c r="S35" s="53"/>
      <c r="T35" s="380" t="s">
        <v>912</v>
      </c>
      <c r="U35" s="381"/>
      <c r="V35" s="381"/>
      <c r="W35" s="382"/>
      <c r="X35" s="383"/>
      <c r="Z35" s="380" t="s">
        <v>912</v>
      </c>
      <c r="AA35" s="381"/>
      <c r="AB35" s="381"/>
      <c r="AC35" s="382"/>
      <c r="AD35" s="383">
        <f>AVERAGE(AD29:AD33)</f>
        <v>5.375</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418">
        <v>17.0</v>
      </c>
      <c r="X37" s="441">
        <v>16.0</v>
      </c>
      <c r="Y37" s="3" t="s">
        <v>1216</v>
      </c>
      <c r="Z37" s="386" t="s">
        <v>468</v>
      </c>
      <c r="AA37" s="431">
        <v>15.5</v>
      </c>
      <c r="AB37" s="432">
        <v>14.5</v>
      </c>
      <c r="AC37" s="432">
        <v>13.5</v>
      </c>
      <c r="AD37" s="432">
        <v>12.5</v>
      </c>
    </row>
    <row r="38">
      <c r="N38" s="31" t="s">
        <v>586</v>
      </c>
      <c r="S38" s="55"/>
      <c r="T38" s="386" t="s">
        <v>469</v>
      </c>
      <c r="U38" s="419">
        <v>21.0</v>
      </c>
      <c r="V38" s="420">
        <v>20.0</v>
      </c>
      <c r="W38" s="418">
        <v>17.0</v>
      </c>
      <c r="X38" s="442">
        <v>16.0</v>
      </c>
      <c r="Z38" s="386" t="s">
        <v>469</v>
      </c>
      <c r="AA38" s="433">
        <v>15.5</v>
      </c>
      <c r="AB38" s="433">
        <v>14.5</v>
      </c>
      <c r="AC38" s="433">
        <v>13.0</v>
      </c>
      <c r="AD38" s="434">
        <v>11.0</v>
      </c>
    </row>
    <row r="39">
      <c r="N39" s="3" t="s">
        <v>587</v>
      </c>
      <c r="Q39" s="3" t="s">
        <v>588</v>
      </c>
      <c r="S39" s="55"/>
      <c r="T39" s="386" t="s">
        <v>470</v>
      </c>
      <c r="U39" s="417">
        <v>21.0</v>
      </c>
      <c r="V39" s="421">
        <v>20.0</v>
      </c>
      <c r="W39" s="418">
        <v>17.0</v>
      </c>
      <c r="X39" s="421">
        <v>16.0</v>
      </c>
      <c r="Z39" s="386" t="s">
        <v>470</v>
      </c>
      <c r="AA39" s="431">
        <v>15.0</v>
      </c>
      <c r="AB39" s="432">
        <v>14.0</v>
      </c>
      <c r="AC39" s="432">
        <v>13.0</v>
      </c>
      <c r="AD39" s="432">
        <v>12.0</v>
      </c>
    </row>
    <row r="40">
      <c r="N40" s="3" t="s">
        <v>589</v>
      </c>
      <c r="Q40" s="3" t="s">
        <v>590</v>
      </c>
      <c r="S40" s="394"/>
      <c r="T40" s="395" t="s">
        <v>906</v>
      </c>
      <c r="U40" s="419">
        <v>21.0</v>
      </c>
      <c r="V40" s="420">
        <v>20.0</v>
      </c>
      <c r="W40" s="418">
        <v>17.0</v>
      </c>
      <c r="X40" s="442">
        <v>16.0</v>
      </c>
      <c r="Z40" s="395" t="s">
        <v>906</v>
      </c>
      <c r="AA40" s="433">
        <v>15.5</v>
      </c>
      <c r="AB40" s="433">
        <v>14.5</v>
      </c>
      <c r="AC40" s="433">
        <v>13.0</v>
      </c>
      <c r="AD40" s="434">
        <v>12.5</v>
      </c>
      <c r="AE40" s="3" t="s">
        <v>1200</v>
      </c>
    </row>
    <row r="41">
      <c r="N41" s="3" t="s">
        <v>591</v>
      </c>
      <c r="Q41" s="3" t="s">
        <v>592</v>
      </c>
      <c r="S41" s="394"/>
      <c r="T41" s="395" t="s">
        <v>908</v>
      </c>
      <c r="U41" s="417"/>
      <c r="V41" s="418"/>
      <c r="W41" s="418">
        <v>17.0</v>
      </c>
      <c r="X41" s="441">
        <v>16.0</v>
      </c>
      <c r="Z41" s="395" t="s">
        <v>908</v>
      </c>
      <c r="AA41" s="431"/>
      <c r="AB41" s="431"/>
      <c r="AC41" s="431"/>
      <c r="AD41" s="431"/>
      <c r="AE41" s="3" t="s">
        <v>1200</v>
      </c>
    </row>
    <row r="42">
      <c r="N42" s="3" t="s">
        <v>593</v>
      </c>
      <c r="Q42" s="3" t="s">
        <v>594</v>
      </c>
      <c r="S42" s="394"/>
      <c r="T42" s="400" t="s">
        <v>910</v>
      </c>
      <c r="U42" s="359">
        <f t="shared" ref="U42:X42" si="21">AVERAGE(U37:U39)</f>
        <v>21</v>
      </c>
      <c r="V42" s="359">
        <f t="shared" si="21"/>
        <v>20</v>
      </c>
      <c r="W42" s="359">
        <f t="shared" si="21"/>
        <v>17</v>
      </c>
      <c r="X42" s="360">
        <f t="shared" si="21"/>
        <v>16</v>
      </c>
      <c r="Z42" s="400" t="s">
        <v>910</v>
      </c>
      <c r="AA42" s="435">
        <f t="shared" ref="AA42:AD42" si="22">AVERAGE(AA37:AA39)</f>
        <v>15.33333333</v>
      </c>
      <c r="AB42" s="435">
        <f t="shared" si="22"/>
        <v>14.33333333</v>
      </c>
      <c r="AC42" s="435">
        <f t="shared" si="22"/>
        <v>13.16666667</v>
      </c>
      <c r="AD42" s="438">
        <f t="shared" si="22"/>
        <v>11.83333333</v>
      </c>
    </row>
    <row r="43">
      <c r="N43" s="3" t="s">
        <v>595</v>
      </c>
      <c r="Q43" s="3" t="s">
        <v>596</v>
      </c>
      <c r="S43" s="55"/>
      <c r="T43" s="401" t="s">
        <v>912</v>
      </c>
      <c r="U43" s="362">
        <f t="shared" ref="U43:X43" si="23">AVERAGE(U37:U41)</f>
        <v>21</v>
      </c>
      <c r="V43" s="362">
        <f t="shared" si="23"/>
        <v>20</v>
      </c>
      <c r="W43" s="362">
        <f t="shared" si="23"/>
        <v>17</v>
      </c>
      <c r="X43" s="363">
        <f t="shared" si="23"/>
        <v>16</v>
      </c>
      <c r="Z43" s="401" t="s">
        <v>912</v>
      </c>
      <c r="AA43" s="293">
        <f t="shared" ref="AA43:AD43" si="24">AVERAGE(AA37:AA41)</f>
        <v>15.375</v>
      </c>
      <c r="AB43" s="293">
        <f t="shared" si="24"/>
        <v>14.375</v>
      </c>
      <c r="AC43" s="293">
        <f t="shared" si="24"/>
        <v>13.125</v>
      </c>
      <c r="AD43" s="383">
        <f t="shared" si="24"/>
        <v>12</v>
      </c>
    </row>
    <row r="44">
      <c r="N44" s="3" t="s">
        <v>597</v>
      </c>
      <c r="Q44" s="3" t="s">
        <v>598</v>
      </c>
      <c r="S44" s="384" t="s">
        <v>78</v>
      </c>
      <c r="T44" s="402" t="s">
        <v>786</v>
      </c>
      <c r="U44" s="403"/>
      <c r="V44" s="403"/>
      <c r="W44" s="403"/>
      <c r="X44" s="412">
        <v>0.9</v>
      </c>
      <c r="Y44" s="3" t="s">
        <v>1217</v>
      </c>
      <c r="Z44" s="402" t="s">
        <v>786</v>
      </c>
      <c r="AA44" s="403"/>
      <c r="AB44" s="403"/>
      <c r="AC44" s="403"/>
      <c r="AD44" s="412">
        <v>1.8</v>
      </c>
      <c r="AE44" s="3" t="s">
        <v>1218</v>
      </c>
    </row>
    <row r="45">
      <c r="N45" s="3" t="s">
        <v>599</v>
      </c>
      <c r="Q45" s="3" t="s">
        <v>600</v>
      </c>
      <c r="S45" s="55"/>
      <c r="T45" s="405" t="s">
        <v>468</v>
      </c>
      <c r="U45" s="55"/>
      <c r="V45" s="55"/>
      <c r="W45" s="55"/>
      <c r="X45" s="376"/>
      <c r="Z45" s="405" t="s">
        <v>468</v>
      </c>
      <c r="AA45" s="55"/>
      <c r="AB45" s="55"/>
      <c r="AC45" s="55"/>
      <c r="AD45" s="376">
        <v>1.0</v>
      </c>
    </row>
    <row r="46">
      <c r="S46" s="55"/>
      <c r="T46" s="405" t="s">
        <v>469</v>
      </c>
      <c r="U46" s="55"/>
      <c r="V46" s="55"/>
      <c r="W46" s="55"/>
      <c r="X46" s="376"/>
      <c r="Z46" s="405" t="s">
        <v>469</v>
      </c>
      <c r="AA46" s="55"/>
      <c r="AB46" s="55"/>
      <c r="AC46" s="55"/>
      <c r="AD46" s="376">
        <v>0.0</v>
      </c>
    </row>
    <row r="47">
      <c r="N47" s="3" t="s">
        <v>601</v>
      </c>
      <c r="Q47" s="3" t="s">
        <v>602</v>
      </c>
      <c r="S47" s="55"/>
      <c r="T47" s="405" t="s">
        <v>470</v>
      </c>
      <c r="U47" s="55"/>
      <c r="V47" s="55"/>
      <c r="W47" s="55"/>
      <c r="X47" s="376"/>
      <c r="Z47" s="405" t="s">
        <v>470</v>
      </c>
      <c r="AA47" s="55"/>
      <c r="AB47" s="55"/>
      <c r="AC47" s="55"/>
      <c r="AD47" s="376">
        <v>1.5</v>
      </c>
    </row>
    <row r="48">
      <c r="Q48" s="3" t="s">
        <v>603</v>
      </c>
      <c r="S48" s="394"/>
      <c r="T48" s="407" t="s">
        <v>906</v>
      </c>
      <c r="U48" s="55"/>
      <c r="V48" s="55"/>
      <c r="W48" s="55"/>
      <c r="X48" s="376"/>
      <c r="Z48" s="407" t="s">
        <v>906</v>
      </c>
      <c r="AA48" s="55"/>
      <c r="AB48" s="55"/>
      <c r="AC48" s="55"/>
      <c r="AD48" s="376">
        <v>0.7</v>
      </c>
    </row>
    <row r="49">
      <c r="N49" s="3" t="s">
        <v>604</v>
      </c>
      <c r="S49" s="394"/>
      <c r="T49" s="407" t="s">
        <v>908</v>
      </c>
      <c r="U49" s="55"/>
      <c r="V49" s="408"/>
      <c r="W49" s="408"/>
      <c r="X49" s="376"/>
      <c r="Z49" s="407" t="s">
        <v>908</v>
      </c>
      <c r="AA49" s="55"/>
      <c r="AB49" s="408"/>
      <c r="AC49" s="408"/>
      <c r="AD49" s="376"/>
    </row>
    <row r="50">
      <c r="R50" s="3" t="s">
        <v>605</v>
      </c>
      <c r="S50" s="394"/>
      <c r="T50" s="409" t="s">
        <v>910</v>
      </c>
      <c r="U50" s="55"/>
      <c r="V50" s="53"/>
      <c r="W50" s="55"/>
      <c r="X50" s="379" t="str">
        <f>AVERAGE(X45:X47)</f>
        <v>#DIV/0!</v>
      </c>
      <c r="Z50" s="409" t="s">
        <v>910</v>
      </c>
      <c r="AA50" s="55"/>
      <c r="AB50" s="53"/>
      <c r="AC50" s="55"/>
      <c r="AD50" s="379">
        <f>AVERAGE(AD45:AD47)</f>
        <v>0.8333333333</v>
      </c>
    </row>
    <row r="51">
      <c r="N51" s="3" t="s">
        <v>606</v>
      </c>
      <c r="R51" s="3" t="s">
        <v>607</v>
      </c>
      <c r="S51" s="55"/>
      <c r="T51" s="361" t="s">
        <v>912</v>
      </c>
      <c r="U51" s="382"/>
      <c r="V51" s="410"/>
      <c r="W51" s="410"/>
      <c r="X51" s="383" t="str">
        <f>AVERAGE(X45:X49)</f>
        <v>#DIV/0!</v>
      </c>
      <c r="Z51" s="361" t="s">
        <v>912</v>
      </c>
      <c r="AA51" s="382"/>
      <c r="AB51" s="410"/>
      <c r="AC51" s="410"/>
      <c r="AD51" s="383">
        <f>AVERAGE(AD45:AD49)</f>
        <v>0.8</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1240</v>
      </c>
      <c r="Q55" s="3" t="s">
        <v>1241</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1242</v>
      </c>
    </row>
    <row r="64">
      <c r="Q64" s="3" t="s">
        <v>623</v>
      </c>
    </row>
    <row r="65">
      <c r="Q65" s="3" t="s">
        <v>616</v>
      </c>
    </row>
    <row r="66">
      <c r="Q66" s="3" t="s">
        <v>618</v>
      </c>
    </row>
    <row r="68">
      <c r="P68" s="218" t="s">
        <v>619</v>
      </c>
      <c r="Q68" s="31" t="s">
        <v>624</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46099.0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266">
        <v>78.0</v>
      </c>
      <c r="AA3" s="266">
        <v>82.0</v>
      </c>
      <c r="AB3" s="266">
        <v>84.0</v>
      </c>
      <c r="AC3" s="266">
        <v>86.0</v>
      </c>
      <c r="AD3" s="258">
        <f t="shared" ref="AD3:AD7" si="4">AVERAGE(Z3:AC3)</f>
        <v>82.5</v>
      </c>
      <c r="AF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264">
        <v>77.0</v>
      </c>
      <c r="AA4" s="264">
        <v>83.0</v>
      </c>
      <c r="AB4" s="264">
        <v>73.0</v>
      </c>
      <c r="AC4" s="264">
        <v>69.0</v>
      </c>
      <c r="AD4" s="258">
        <f t="shared" si="4"/>
        <v>75.5</v>
      </c>
      <c r="AE4" s="439">
        <f>AD4/Y4-1</f>
        <v>0.09104046243</v>
      </c>
      <c r="AF4" s="3" t="s">
        <v>1244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5">V4-V6</f>
        <v>56</v>
      </c>
      <c r="W5" s="255">
        <f t="shared" si="5"/>
        <v>56</v>
      </c>
      <c r="X5" s="255">
        <v>45.0</v>
      </c>
      <c r="Y5" s="248">
        <f t="shared" si="3"/>
        <v>55.15</v>
      </c>
      <c r="Z5" s="264">
        <f t="shared" ref="Z5:AC5" si="6">Z4-Z6</f>
        <v>52</v>
      </c>
      <c r="AA5" s="264">
        <f t="shared" si="6"/>
        <v>58</v>
      </c>
      <c r="AB5" s="264">
        <f t="shared" si="6"/>
        <v>52</v>
      </c>
      <c r="AC5" s="264">
        <f t="shared" si="6"/>
        <v>53</v>
      </c>
      <c r="AD5" s="258">
        <f t="shared" si="4"/>
        <v>53.75</v>
      </c>
      <c r="AF5" s="3" t="s">
        <v>1245</v>
      </c>
    </row>
    <row r="6" ht="26.25" customHeight="1">
      <c r="A6" s="245" t="s">
        <v>643</v>
      </c>
      <c r="B6" s="4"/>
      <c r="C6" s="4"/>
      <c r="D6" s="54"/>
      <c r="E6" s="54"/>
      <c r="F6" s="54"/>
      <c r="G6" s="54"/>
      <c r="H6" s="54"/>
      <c r="I6" s="112"/>
      <c r="J6" s="112"/>
      <c r="K6" s="263">
        <f t="shared" ref="K6:O6" si="7">K4-K5</f>
        <v>29</v>
      </c>
      <c r="L6" s="263">
        <f t="shared" si="7"/>
        <v>24</v>
      </c>
      <c r="M6" s="246">
        <f t="shared" si="7"/>
        <v>21.3</v>
      </c>
      <c r="N6" s="246">
        <f t="shared" si="7"/>
        <v>14.9</v>
      </c>
      <c r="O6" s="248">
        <f t="shared" si="7"/>
        <v>22.3</v>
      </c>
      <c r="P6" s="255">
        <v>15.0</v>
      </c>
      <c r="Q6" s="254">
        <f t="shared" ref="Q6:R6" si="8">Q4-Q5</f>
        <v>13.6</v>
      </c>
      <c r="R6" s="255">
        <f t="shared" si="8"/>
        <v>16</v>
      </c>
      <c r="S6" s="255">
        <v>10.0</v>
      </c>
      <c r="T6" s="248">
        <f t="shared" si="2"/>
        <v>13.65</v>
      </c>
      <c r="U6" s="347">
        <f>U4-U5</f>
        <v>12.2</v>
      </c>
      <c r="V6" s="255">
        <v>12.0</v>
      </c>
      <c r="W6" s="255">
        <v>13.0</v>
      </c>
      <c r="X6" s="254">
        <v>18.4</v>
      </c>
      <c r="Y6" s="258">
        <f t="shared" si="3"/>
        <v>13.9</v>
      </c>
      <c r="Z6" s="264">
        <v>25.0</v>
      </c>
      <c r="AA6" s="264">
        <v>25.0</v>
      </c>
      <c r="AB6" s="264">
        <v>21.0</v>
      </c>
      <c r="AC6" s="264">
        <v>16.0</v>
      </c>
      <c r="AD6" s="258">
        <f t="shared" si="4"/>
        <v>21.75</v>
      </c>
      <c r="AE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67">
        <v>5.7</v>
      </c>
      <c r="AA7" s="267">
        <v>5.7</v>
      </c>
      <c r="AB7" s="267">
        <v>5.1</v>
      </c>
      <c r="AC7" s="267">
        <v>5.9</v>
      </c>
      <c r="AD7" s="258">
        <f t="shared" si="4"/>
        <v>5.6</v>
      </c>
      <c r="AF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69">
        <v>15.0</v>
      </c>
      <c r="AA8" s="269">
        <v>14.0</v>
      </c>
      <c r="AB8" s="269">
        <v>13.0</v>
      </c>
      <c r="AC8" s="269">
        <v>12.0</v>
      </c>
      <c r="AD8" s="258">
        <v>14.1</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-0.1419714817</v>
      </c>
      <c r="Z10" s="343">
        <v>2026.0</v>
      </c>
      <c r="AA10" s="348" t="s">
        <v>1120</v>
      </c>
      <c r="AB10" s="348" t="s">
        <v>1121</v>
      </c>
      <c r="AC10" s="348" t="s">
        <v>1122</v>
      </c>
      <c r="AD10" s="349" t="s">
        <v>1123</v>
      </c>
    </row>
    <row r="11">
      <c r="E11" s="114"/>
      <c r="F11" s="115"/>
      <c r="G11" s="115"/>
      <c r="H11" s="115"/>
      <c r="I11" s="112" t="s">
        <v>406</v>
      </c>
      <c r="J11" s="112" t="s">
        <v>406</v>
      </c>
      <c r="S11" s="350" t="s">
        <v>1006</v>
      </c>
      <c r="T11" s="351" t="s">
        <v>54</v>
      </c>
      <c r="U11" s="348"/>
      <c r="V11" s="348"/>
      <c r="W11" s="411"/>
      <c r="X11" s="412"/>
      <c r="Y11" s="350" t="s">
        <v>1006</v>
      </c>
      <c r="Z11" s="351" t="s">
        <v>54</v>
      </c>
      <c r="AA11" s="411"/>
      <c r="AB11" s="411">
        <v>101.0</v>
      </c>
      <c r="AC11" s="411">
        <v>90.0</v>
      </c>
      <c r="AD11" s="411">
        <v>83.5</v>
      </c>
      <c r="AE11" s="3" t="s">
        <v>1231</v>
      </c>
    </row>
    <row r="12">
      <c r="E12" s="114" t="s">
        <v>241</v>
      </c>
      <c r="F12" s="115" t="s">
        <v>242</v>
      </c>
      <c r="G12" s="115" t="s">
        <v>242</v>
      </c>
      <c r="H12" s="115" t="s">
        <v>194</v>
      </c>
      <c r="I12" s="115" t="s">
        <v>148</v>
      </c>
      <c r="T12" s="352" t="s">
        <v>468</v>
      </c>
      <c r="U12" s="353"/>
      <c r="V12" s="353"/>
      <c r="W12" s="354"/>
      <c r="X12" s="355"/>
      <c r="Z12" s="352" t="s">
        <v>468</v>
      </c>
      <c r="AA12" s="354"/>
      <c r="AB12" s="354">
        <v>82.0</v>
      </c>
      <c r="AC12" s="354">
        <v>70.0</v>
      </c>
      <c r="AD12" s="354">
        <v>65.0</v>
      </c>
    </row>
    <row r="13">
      <c r="C13" s="4">
        <v>5.7</v>
      </c>
      <c r="D13" s="4">
        <v>6.5</v>
      </c>
      <c r="E13" s="62">
        <v>7.4</v>
      </c>
      <c r="F13" s="54">
        <v>8.1</v>
      </c>
      <c r="G13" s="54"/>
      <c r="H13" s="62"/>
      <c r="I13" s="62"/>
      <c r="J13" s="62"/>
      <c r="T13" s="352" t="s">
        <v>469</v>
      </c>
      <c r="U13" s="353"/>
      <c r="V13" s="353"/>
      <c r="W13" s="354"/>
      <c r="X13" s="356"/>
      <c r="Z13" s="352" t="s">
        <v>469</v>
      </c>
      <c r="AA13" s="354"/>
      <c r="AB13" s="354">
        <v>85.0</v>
      </c>
      <c r="AC13" s="354">
        <v>75.0</v>
      </c>
      <c r="AD13" s="354">
        <v>70.0</v>
      </c>
    </row>
    <row r="14">
      <c r="D14" s="111"/>
      <c r="E14" s="117"/>
      <c r="F14" s="112"/>
      <c r="G14" s="112"/>
      <c r="H14" s="112"/>
      <c r="I14" s="117"/>
      <c r="J14" s="112"/>
      <c r="O14" s="3" t="s">
        <v>1177</v>
      </c>
      <c r="P14" s="3" t="s">
        <v>1247</v>
      </c>
      <c r="Q14" s="4"/>
      <c r="R14" s="55"/>
      <c r="T14" s="352" t="s">
        <v>470</v>
      </c>
      <c r="U14" s="353"/>
      <c r="V14" s="353"/>
      <c r="W14" s="354"/>
      <c r="X14" s="355"/>
      <c r="Z14" s="352" t="s">
        <v>470</v>
      </c>
      <c r="AA14" s="354"/>
      <c r="AB14" s="354">
        <v>83.0</v>
      </c>
      <c r="AC14" s="354">
        <v>70.0</v>
      </c>
      <c r="AD14" s="354">
        <v>70.0</v>
      </c>
      <c r="AE14" s="4"/>
      <c r="AF14" s="4"/>
    </row>
    <row r="15">
      <c r="D15" s="111"/>
      <c r="E15" s="117"/>
      <c r="F15" s="112"/>
      <c r="G15" s="112"/>
      <c r="H15" s="112"/>
      <c r="I15" s="117"/>
      <c r="J15" s="112"/>
      <c r="O15" s="4" t="s">
        <v>652</v>
      </c>
      <c r="P15" s="4" t="s">
        <v>335</v>
      </c>
      <c r="Q15" s="4" t="s">
        <v>338</v>
      </c>
      <c r="R15" s="4" t="s">
        <v>581</v>
      </c>
      <c r="T15" s="357" t="s">
        <v>906</v>
      </c>
      <c r="U15" s="353"/>
      <c r="V15" s="353"/>
      <c r="W15" s="354"/>
      <c r="X15" s="356"/>
      <c r="Z15" s="436" t="s">
        <v>1225</v>
      </c>
      <c r="AA15" s="354"/>
      <c r="AB15" s="354">
        <v>82.0</v>
      </c>
      <c r="AC15" s="354">
        <v>73.0</v>
      </c>
      <c r="AD15" s="354">
        <v>70.0</v>
      </c>
      <c r="AE15" s="4"/>
      <c r="AF15" s="41"/>
    </row>
    <row r="16">
      <c r="D16" s="111" t="s">
        <v>241</v>
      </c>
      <c r="E16" s="117">
        <v>7.0</v>
      </c>
      <c r="F16" s="112">
        <v>7.3</v>
      </c>
      <c r="G16" s="112"/>
      <c r="H16" s="112"/>
      <c r="I16" s="117"/>
      <c r="J16" s="112"/>
      <c r="N16" s="4" t="s">
        <v>62</v>
      </c>
      <c r="O16" s="443">
        <v>77.22</v>
      </c>
      <c r="P16" s="443">
        <v>76.93</v>
      </c>
      <c r="Q16" s="437">
        <v>79.09</v>
      </c>
      <c r="R16" s="226">
        <f t="shared" ref="R16:R19" si="9">AVERAGE(O16:Q16)</f>
        <v>77.74666667</v>
      </c>
      <c r="T16" s="358" t="s">
        <v>908</v>
      </c>
      <c r="U16" s="353"/>
      <c r="V16" s="353"/>
      <c r="W16" s="354"/>
      <c r="X16" s="356"/>
      <c r="Z16" s="440" t="s">
        <v>468</v>
      </c>
      <c r="AA16" s="354"/>
      <c r="AB16" s="354">
        <v>83.0</v>
      </c>
      <c r="AC16" s="354">
        <v>73.0</v>
      </c>
      <c r="AD16" s="354">
        <v>65.0</v>
      </c>
      <c r="AE16" s="4"/>
      <c r="AF16" s="4"/>
    </row>
    <row r="17">
      <c r="C17" s="10"/>
      <c r="D17" s="10"/>
      <c r="E17" s="10"/>
      <c r="F17" s="10"/>
      <c r="G17" s="10"/>
      <c r="H17" s="10"/>
      <c r="I17" s="10"/>
      <c r="J17" s="10"/>
      <c r="N17" s="4" t="s">
        <v>28</v>
      </c>
      <c r="O17" s="443">
        <v>66.36</v>
      </c>
      <c r="P17" s="443">
        <v>70.94</v>
      </c>
      <c r="Q17" s="437">
        <v>91.87</v>
      </c>
      <c r="R17" s="226">
        <f t="shared" si="9"/>
        <v>76.39</v>
      </c>
      <c r="T17" s="358" t="s">
        <v>910</v>
      </c>
      <c r="U17" s="359" t="str">
        <f t="shared" ref="U17:X17" si="10">AVERAGE(U12:U14)</f>
        <v>#DIV/0!</v>
      </c>
      <c r="V17" s="359" t="str">
        <f t="shared" si="10"/>
        <v>#DIV/0!</v>
      </c>
      <c r="W17" s="359" t="str">
        <f t="shared" si="10"/>
        <v>#DIV/0!</v>
      </c>
      <c r="X17" s="360" t="str">
        <f t="shared" si="10"/>
        <v>#DIV/0!</v>
      </c>
      <c r="Z17" s="440" t="s">
        <v>906</v>
      </c>
      <c r="AA17" s="444"/>
      <c r="AB17" s="445">
        <v>85.0</v>
      </c>
      <c r="AC17" s="445">
        <v>75.0</v>
      </c>
      <c r="AD17" s="446">
        <v>72.0</v>
      </c>
    </row>
    <row r="18">
      <c r="E18" s="118"/>
      <c r="F18" s="118"/>
      <c r="G18" s="118"/>
      <c r="H18" s="118"/>
      <c r="I18" s="118"/>
      <c r="J18" s="118"/>
      <c r="K18" s="425">
        <v>78.9</v>
      </c>
      <c r="L18" s="426">
        <v>80.1</v>
      </c>
      <c r="N18" s="4" t="s">
        <v>582</v>
      </c>
      <c r="O18" s="443">
        <v>41.8</v>
      </c>
      <c r="P18" s="443">
        <v>45.5</v>
      </c>
      <c r="Q18" s="437">
        <f> Q17 - Q19</f>
        <v>66.87</v>
      </c>
      <c r="R18" s="226">
        <f t="shared" si="9"/>
        <v>51.39</v>
      </c>
      <c r="T18" s="361" t="s">
        <v>912</v>
      </c>
      <c r="U18" s="362" t="str">
        <f t="shared" ref="U18:X18" si="11">AVERAGE(U12:U16)</f>
        <v>#DIV/0!</v>
      </c>
      <c r="V18" s="362" t="str">
        <f t="shared" si="11"/>
        <v>#DIV/0!</v>
      </c>
      <c r="W18" s="362" t="str">
        <f t="shared" si="11"/>
        <v>#DIV/0!</v>
      </c>
      <c r="X18" s="363" t="str">
        <f t="shared" si="11"/>
        <v>#DIV/0!</v>
      </c>
      <c r="Z18" s="361" t="s">
        <v>912</v>
      </c>
      <c r="AA18" s="359"/>
      <c r="AB18" s="359">
        <f t="shared" ref="AB18:AD18" si="12">AVERAGE(AB12:AB17)</f>
        <v>83.33333333</v>
      </c>
      <c r="AC18" s="359">
        <f t="shared" si="12"/>
        <v>72.66666667</v>
      </c>
      <c r="AD18" s="359">
        <f t="shared" si="12"/>
        <v>68.66666667</v>
      </c>
      <c r="AF18" s="4"/>
    </row>
    <row r="19">
      <c r="E19" s="118"/>
      <c r="F19" s="118"/>
      <c r="G19" s="118"/>
      <c r="H19" s="118"/>
      <c r="I19" s="118"/>
      <c r="J19" s="118"/>
      <c r="K19" s="425">
        <v>10.98</v>
      </c>
      <c r="L19" s="426">
        <v>11.12</v>
      </c>
      <c r="N19" s="4" t="s">
        <v>1214</v>
      </c>
      <c r="O19" s="117">
        <f t="shared" ref="O19:P19" si="13">O17-O18</f>
        <v>24.56</v>
      </c>
      <c r="P19" s="117">
        <f t="shared" si="13"/>
        <v>25.44</v>
      </c>
      <c r="Q19" s="112">
        <v>25.0</v>
      </c>
      <c r="R19" s="226">
        <f t="shared" si="9"/>
        <v>25</v>
      </c>
      <c r="S19" s="364"/>
      <c r="T19" s="364"/>
      <c r="U19" s="365">
        <v>45747.0</v>
      </c>
      <c r="V19" s="365">
        <f t="shared" ref="V19:X19" si="14">EOMONTH(U19,3)</f>
        <v>45838</v>
      </c>
      <c r="W19" s="365">
        <f t="shared" si="14"/>
        <v>45930</v>
      </c>
      <c r="X19" s="365">
        <f t="shared" si="14"/>
        <v>46022</v>
      </c>
      <c r="Z19" s="364"/>
      <c r="AA19" s="427">
        <v>46112.0</v>
      </c>
      <c r="AB19" s="365">
        <f t="shared" ref="AB19:AD19" si="15">EOMONTH(AA19,3)</f>
        <v>46203</v>
      </c>
      <c r="AC19" s="365">
        <f t="shared" si="15"/>
        <v>46295</v>
      </c>
      <c r="AD19" s="365">
        <f t="shared" si="15"/>
        <v>46387</v>
      </c>
    </row>
    <row r="20">
      <c r="E20" s="118"/>
      <c r="F20" s="118"/>
      <c r="G20" s="118"/>
      <c r="H20" s="118"/>
      <c r="I20" s="118"/>
      <c r="J20" s="118"/>
      <c r="K20" s="425">
        <v>7.14</v>
      </c>
      <c r="L20" s="426">
        <v>7.18</v>
      </c>
      <c r="M20" s="308"/>
      <c r="S20" s="366" t="s">
        <v>1011</v>
      </c>
      <c r="T20" s="367" t="s">
        <v>786</v>
      </c>
      <c r="U20" s="368"/>
      <c r="V20" s="348"/>
      <c r="W20" s="348"/>
      <c r="X20" s="349">
        <v>81.0</v>
      </c>
      <c r="Y20" s="366" t="s">
        <v>1011</v>
      </c>
      <c r="Z20" s="367" t="s">
        <v>786</v>
      </c>
      <c r="AA20" s="348">
        <v>77.0</v>
      </c>
      <c r="AB20" s="348">
        <v>80.0</v>
      </c>
      <c r="AC20" s="348">
        <v>81.0</v>
      </c>
      <c r="AD20" s="349">
        <v>82.0</v>
      </c>
      <c r="AE20" s="3" t="s">
        <v>1248</v>
      </c>
    </row>
    <row r="21">
      <c r="E21" s="118"/>
      <c r="F21" s="118"/>
      <c r="G21" s="118"/>
      <c r="H21" s="118"/>
      <c r="I21" s="118"/>
      <c r="J21" s="118"/>
      <c r="K21" s="425">
        <v>93.4</v>
      </c>
      <c r="L21" s="426">
        <v>93.2</v>
      </c>
      <c r="M21" s="309"/>
      <c r="O21" s="4" t="s">
        <v>340</v>
      </c>
      <c r="P21" s="4" t="s">
        <v>171</v>
      </c>
      <c r="Q21" s="4" t="s">
        <v>343</v>
      </c>
      <c r="R21" s="4" t="s">
        <v>581</v>
      </c>
      <c r="S21" s="53"/>
      <c r="T21" s="352" t="s">
        <v>468</v>
      </c>
      <c r="U21" s="353"/>
      <c r="V21" s="353"/>
      <c r="W21" s="353"/>
      <c r="X21" s="355"/>
      <c r="Y21" s="3" t="s">
        <v>1188</v>
      </c>
      <c r="Z21" s="352" t="s">
        <v>468</v>
      </c>
      <c r="AA21" s="354"/>
      <c r="AB21" s="354">
        <v>85.0</v>
      </c>
      <c r="AC21" s="354">
        <v>87.0</v>
      </c>
      <c r="AD21" s="355">
        <v>89.0</v>
      </c>
      <c r="AE21" s="3" t="s">
        <v>1249</v>
      </c>
    </row>
    <row r="22">
      <c r="E22" s="118"/>
      <c r="F22" s="118"/>
      <c r="G22" s="118"/>
      <c r="H22" s="118"/>
      <c r="I22" s="118"/>
      <c r="J22" s="118"/>
      <c r="K22" s="425">
        <v>1.17</v>
      </c>
      <c r="L22" s="426">
        <v>1.16</v>
      </c>
      <c r="M22" s="309"/>
      <c r="N22" s="4" t="s">
        <v>62</v>
      </c>
      <c r="O22" s="437"/>
      <c r="P22" s="437"/>
      <c r="Q22" s="437"/>
      <c r="R22" s="226" t="str">
        <f t="shared" ref="R22:R25" si="16">AVERAGE(O22:Q22)</f>
        <v>#DIV/0!</v>
      </c>
      <c r="S22" s="369"/>
      <c r="T22" s="352" t="s">
        <v>469</v>
      </c>
      <c r="U22" s="353"/>
      <c r="V22" s="353"/>
      <c r="W22" s="353"/>
      <c r="X22" s="355"/>
      <c r="Z22" s="352" t="s">
        <v>469</v>
      </c>
      <c r="AA22" s="354"/>
      <c r="AB22" s="354">
        <v>82.0</v>
      </c>
      <c r="AC22" s="354">
        <v>85.0</v>
      </c>
      <c r="AD22" s="356">
        <v>87.0</v>
      </c>
    </row>
    <row r="23">
      <c r="E23" s="118"/>
      <c r="F23" s="118"/>
      <c r="G23" s="118"/>
      <c r="H23" s="118"/>
      <c r="I23" s="118"/>
      <c r="J23" s="118"/>
      <c r="K23" s="425">
        <v>71.0</v>
      </c>
      <c r="L23" s="426">
        <v>68.0</v>
      </c>
      <c r="M23" s="309"/>
      <c r="N23" s="4" t="s">
        <v>28</v>
      </c>
      <c r="O23" s="437">
        <v>100.0</v>
      </c>
      <c r="P23" s="437">
        <v>80.0</v>
      </c>
      <c r="Q23" s="437">
        <v>70.0</v>
      </c>
      <c r="R23" s="226">
        <f t="shared" si="16"/>
        <v>83.33333333</v>
      </c>
      <c r="S23" s="369"/>
      <c r="T23" s="352" t="s">
        <v>470</v>
      </c>
      <c r="U23" s="353"/>
      <c r="V23" s="353"/>
      <c r="W23" s="353"/>
      <c r="X23" s="355"/>
      <c r="Z23" s="352" t="s">
        <v>470</v>
      </c>
      <c r="AA23" s="354">
        <v>77.0</v>
      </c>
      <c r="AB23" s="354">
        <v>80.0</v>
      </c>
      <c r="AC23" s="354">
        <v>81.0</v>
      </c>
      <c r="AD23" s="356">
        <v>82.0</v>
      </c>
    </row>
    <row r="24">
      <c r="E24" s="118"/>
      <c r="F24" s="118"/>
      <c r="G24" s="118"/>
      <c r="H24" s="118"/>
      <c r="I24" s="118"/>
      <c r="J24" s="118"/>
      <c r="K24" s="425">
        <v>57.4</v>
      </c>
      <c r="L24" s="426">
        <v>56.1</v>
      </c>
      <c r="M24" s="309"/>
      <c r="N24" s="4" t="s">
        <v>582</v>
      </c>
      <c r="O24" s="437"/>
      <c r="P24" s="437"/>
      <c r="Q24" s="437"/>
      <c r="R24" s="226" t="str">
        <f t="shared" si="16"/>
        <v>#DIV/0!</v>
      </c>
      <c r="S24" s="364"/>
      <c r="T24" s="357" t="s">
        <v>906</v>
      </c>
      <c r="U24" s="353"/>
      <c r="V24" s="353"/>
      <c r="W24" s="353"/>
      <c r="X24" s="356"/>
      <c r="Z24" s="357" t="s">
        <v>906</v>
      </c>
      <c r="AA24" s="354"/>
      <c r="AB24" s="354">
        <v>82.0</v>
      </c>
      <c r="AC24" s="354">
        <v>83.0</v>
      </c>
      <c r="AD24" s="355">
        <v>85.0</v>
      </c>
    </row>
    <row r="25">
      <c r="E25" s="118"/>
      <c r="F25" s="118"/>
      <c r="G25" s="118"/>
      <c r="H25" s="118"/>
      <c r="I25" s="118"/>
      <c r="J25" s="118"/>
      <c r="M25" s="308"/>
      <c r="N25" s="4" t="s">
        <v>1214</v>
      </c>
      <c r="O25" s="117">
        <f t="shared" ref="O25:Q25" si="17">O23-O24</f>
        <v>100</v>
      </c>
      <c r="P25" s="117">
        <f t="shared" si="17"/>
        <v>80</v>
      </c>
      <c r="Q25" s="117">
        <f t="shared" si="17"/>
        <v>70</v>
      </c>
      <c r="R25" s="226">
        <f t="shared" si="16"/>
        <v>83.33333333</v>
      </c>
      <c r="S25" s="370"/>
      <c r="T25" s="358" t="s">
        <v>908</v>
      </c>
      <c r="U25" s="353"/>
      <c r="V25" s="353"/>
      <c r="W25" s="353"/>
      <c r="X25" s="356"/>
      <c r="Z25" s="358" t="s">
        <v>908</v>
      </c>
      <c r="AA25" s="354"/>
      <c r="AB25" s="354">
        <v>80.0</v>
      </c>
      <c r="AC25" s="354">
        <v>83.0</v>
      </c>
      <c r="AD25" s="356">
        <v>85.0</v>
      </c>
    </row>
    <row r="26">
      <c r="A26" s="3"/>
      <c r="B26" s="12"/>
      <c r="C26" s="12"/>
      <c r="D26" s="13"/>
      <c r="E26" s="13"/>
      <c r="F26" s="13"/>
      <c r="G26" s="13"/>
      <c r="H26" s="13"/>
      <c r="I26" s="13"/>
      <c r="J26" s="13"/>
      <c r="M26" s="308"/>
      <c r="N26" s="309"/>
      <c r="S26" s="370"/>
      <c r="T26" s="358" t="s">
        <v>910</v>
      </c>
      <c r="U26" s="359" t="str">
        <f t="shared" ref="U26:X26" si="18">AVERAGE(U21:U23)</f>
        <v>#DIV/0!</v>
      </c>
      <c r="V26" s="359" t="str">
        <f t="shared" si="18"/>
        <v>#DIV/0!</v>
      </c>
      <c r="W26" s="359" t="str">
        <f t="shared" si="18"/>
        <v>#DIV/0!</v>
      </c>
      <c r="X26" s="360" t="str">
        <f t="shared" si="18"/>
        <v>#DIV/0!</v>
      </c>
      <c r="Z26" s="358"/>
      <c r="AA26" s="444"/>
      <c r="AB26" s="444"/>
      <c r="AC26" s="444"/>
      <c r="AD26" s="447"/>
    </row>
    <row r="27">
      <c r="O27" s="4" t="s">
        <v>340</v>
      </c>
      <c r="P27" s="4" t="s">
        <v>171</v>
      </c>
      <c r="Q27" s="4" t="s">
        <v>343</v>
      </c>
      <c r="S27" s="55"/>
      <c r="T27" s="361" t="s">
        <v>912</v>
      </c>
      <c r="U27" s="362" t="str">
        <f t="shared" ref="U27:X27" si="19">AVERAGE(U21:U25)</f>
        <v>#DIV/0!</v>
      </c>
      <c r="V27" s="362" t="str">
        <f t="shared" si="19"/>
        <v>#DIV/0!</v>
      </c>
      <c r="W27" s="362" t="str">
        <f t="shared" si="19"/>
        <v>#DIV/0!</v>
      </c>
      <c r="X27" s="363" t="str">
        <f t="shared" si="19"/>
        <v>#DIV/0!</v>
      </c>
      <c r="Z27" s="361" t="s">
        <v>912</v>
      </c>
      <c r="AA27" s="448">
        <f t="shared" ref="AA27:AD27" si="20">AVERAGE(AA21:AA25)</f>
        <v>77</v>
      </c>
      <c r="AB27" s="359">
        <f t="shared" si="20"/>
        <v>81.8</v>
      </c>
      <c r="AC27" s="359">
        <f t="shared" si="20"/>
        <v>83.8</v>
      </c>
      <c r="AD27" s="360">
        <f t="shared" si="20"/>
        <v>85.6</v>
      </c>
    </row>
    <row r="28">
      <c r="Q28" s="4"/>
      <c r="R28" s="55"/>
      <c r="S28" s="366" t="s">
        <v>81</v>
      </c>
      <c r="T28" s="371" t="s">
        <v>786</v>
      </c>
      <c r="U28" s="372"/>
      <c r="V28" s="372"/>
      <c r="W28" s="372"/>
      <c r="X28" s="373"/>
      <c r="Y28" s="366" t="s">
        <v>81</v>
      </c>
      <c r="Z28" s="371" t="s">
        <v>786</v>
      </c>
      <c r="AA28" s="372"/>
      <c r="AB28" s="372"/>
      <c r="AC28" s="372"/>
      <c r="AD28" s="373">
        <v>6.3</v>
      </c>
      <c r="AE28" s="3" t="s">
        <v>1250</v>
      </c>
    </row>
    <row r="29">
      <c r="Q29" s="4"/>
      <c r="R29" s="55"/>
      <c r="S29" s="53"/>
      <c r="T29" s="374" t="s">
        <v>468</v>
      </c>
      <c r="U29" s="53"/>
      <c r="V29" s="53"/>
      <c r="W29" s="53"/>
      <c r="X29" s="376"/>
      <c r="Y29" s="99" t="s">
        <v>1226</v>
      </c>
      <c r="Z29" s="374" t="s">
        <v>468</v>
      </c>
      <c r="AA29" s="53"/>
      <c r="AB29" s="53"/>
      <c r="AC29" s="53"/>
      <c r="AD29" s="376">
        <v>5.5</v>
      </c>
      <c r="AE29" s="99" t="s">
        <v>1193</v>
      </c>
    </row>
    <row r="30">
      <c r="M30" s="308"/>
      <c r="Q30" s="4"/>
      <c r="R30" s="55"/>
      <c r="S30" s="53"/>
      <c r="T30" s="352" t="s">
        <v>469</v>
      </c>
      <c r="U30" s="53"/>
      <c r="V30" s="53"/>
      <c r="W30" s="53"/>
      <c r="X30" s="376"/>
      <c r="Y30" s="99" t="s">
        <v>1193</v>
      </c>
      <c r="Z30" s="352" t="s">
        <v>469</v>
      </c>
      <c r="AA30" s="53"/>
      <c r="AB30" s="53"/>
      <c r="AC30" s="53"/>
      <c r="AD30" s="376">
        <v>6.3</v>
      </c>
      <c r="AE30" s="99" t="s">
        <v>1195</v>
      </c>
    </row>
    <row r="31">
      <c r="M31" s="309"/>
      <c r="Q31" s="4"/>
      <c r="R31" s="55"/>
      <c r="S31" s="53"/>
      <c r="T31" s="374" t="s">
        <v>470</v>
      </c>
      <c r="U31" s="53"/>
      <c r="V31" s="53"/>
      <c r="W31" s="53"/>
      <c r="X31" s="376"/>
      <c r="Y31" s="99" t="s">
        <v>1195</v>
      </c>
      <c r="Z31" s="374" t="s">
        <v>470</v>
      </c>
      <c r="AA31" s="53"/>
      <c r="AB31" s="53"/>
      <c r="AC31" s="53"/>
      <c r="AD31" s="376">
        <v>6.3</v>
      </c>
    </row>
    <row r="32">
      <c r="M32" s="309"/>
      <c r="Q32" s="4"/>
      <c r="R32" s="55"/>
      <c r="S32" s="377"/>
      <c r="T32" s="358" t="s">
        <v>906</v>
      </c>
      <c r="U32" s="55"/>
      <c r="V32" s="55"/>
      <c r="W32" s="55"/>
      <c r="X32" s="376"/>
      <c r="Z32" s="358" t="s">
        <v>906</v>
      </c>
      <c r="AA32" s="55"/>
      <c r="AB32" s="55"/>
      <c r="AC32" s="55"/>
      <c r="AD32" s="376">
        <v>5.6</v>
      </c>
    </row>
    <row r="33">
      <c r="M33" s="309"/>
      <c r="Q33" s="4"/>
      <c r="R33" s="55"/>
      <c r="S33" s="377"/>
      <c r="T33" s="358" t="s">
        <v>908</v>
      </c>
      <c r="U33" s="55"/>
      <c r="V33" s="55"/>
      <c r="W33" s="55"/>
      <c r="X33" s="376"/>
      <c r="Z33" s="358" t="s">
        <v>908</v>
      </c>
      <c r="AA33" s="55"/>
      <c r="AB33" s="55"/>
      <c r="AC33" s="55"/>
      <c r="AD33" s="376">
        <v>5.9</v>
      </c>
    </row>
    <row r="34">
      <c r="M34" s="309"/>
      <c r="Q34" s="4"/>
      <c r="R34" s="55"/>
      <c r="S34" s="377"/>
      <c r="T34" s="378" t="s">
        <v>910</v>
      </c>
      <c r="U34" s="55"/>
      <c r="V34" s="55"/>
      <c r="W34" s="55"/>
      <c r="X34" s="379"/>
      <c r="Z34" s="358"/>
      <c r="AA34" s="394"/>
      <c r="AB34" s="394"/>
      <c r="AC34" s="394"/>
      <c r="AD34" s="449"/>
    </row>
    <row r="35">
      <c r="M35" s="308"/>
      <c r="Q35" s="4"/>
      <c r="R35" s="55"/>
      <c r="S35" s="53"/>
      <c r="T35" s="380" t="s">
        <v>912</v>
      </c>
      <c r="U35" s="381"/>
      <c r="V35" s="381"/>
      <c r="W35" s="382"/>
      <c r="X35" s="383"/>
      <c r="Z35" s="380" t="s">
        <v>912</v>
      </c>
      <c r="AA35" s="450"/>
      <c r="AB35" s="450"/>
      <c r="AC35" s="451"/>
      <c r="AD35" s="379">
        <f>AVERAGE(AD29:AD33)</f>
        <v>5.92</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418">
        <v>17.0</v>
      </c>
      <c r="X37" s="441">
        <v>16.0</v>
      </c>
      <c r="Y37" s="3" t="s">
        <v>1216</v>
      </c>
      <c r="Z37" s="386" t="s">
        <v>468</v>
      </c>
      <c r="AA37" s="431">
        <v>15.0</v>
      </c>
      <c r="AB37" s="432">
        <v>14.0</v>
      </c>
      <c r="AC37" s="432">
        <v>13.0</v>
      </c>
      <c r="AD37" s="432">
        <v>12.0</v>
      </c>
    </row>
    <row r="38">
      <c r="N38" s="31" t="s">
        <v>586</v>
      </c>
      <c r="S38" s="55"/>
      <c r="T38" s="386" t="s">
        <v>469</v>
      </c>
      <c r="U38" s="419">
        <v>21.0</v>
      </c>
      <c r="V38" s="420">
        <v>20.0</v>
      </c>
      <c r="W38" s="418">
        <v>17.0</v>
      </c>
      <c r="X38" s="442">
        <v>16.0</v>
      </c>
      <c r="Z38" s="386" t="s">
        <v>469</v>
      </c>
      <c r="AA38" s="433">
        <v>15.0</v>
      </c>
      <c r="AB38" s="433">
        <v>14.0</v>
      </c>
      <c r="AC38" s="433">
        <v>13.0</v>
      </c>
      <c r="AD38" s="434">
        <v>12.0</v>
      </c>
    </row>
    <row r="39">
      <c r="N39" s="3" t="s">
        <v>587</v>
      </c>
      <c r="Q39" s="3" t="s">
        <v>588</v>
      </c>
      <c r="S39" s="55"/>
      <c r="T39" s="386" t="s">
        <v>470</v>
      </c>
      <c r="U39" s="417">
        <v>21.0</v>
      </c>
      <c r="V39" s="421">
        <v>20.0</v>
      </c>
      <c r="W39" s="418">
        <v>17.0</v>
      </c>
      <c r="X39" s="421">
        <v>16.0</v>
      </c>
      <c r="Z39" s="386" t="s">
        <v>470</v>
      </c>
      <c r="AA39" s="431">
        <v>15.0</v>
      </c>
      <c r="AB39" s="432">
        <v>14.0</v>
      </c>
      <c r="AC39" s="432">
        <v>13.0</v>
      </c>
      <c r="AD39" s="432">
        <v>12.5</v>
      </c>
    </row>
    <row r="40">
      <c r="N40" s="3" t="s">
        <v>589</v>
      </c>
      <c r="Q40" s="3" t="s">
        <v>590</v>
      </c>
      <c r="S40" s="394"/>
      <c r="T40" s="395" t="s">
        <v>906</v>
      </c>
      <c r="U40" s="419">
        <v>21.0</v>
      </c>
      <c r="V40" s="420">
        <v>20.0</v>
      </c>
      <c r="W40" s="418">
        <v>17.0</v>
      </c>
      <c r="X40" s="442">
        <v>16.0</v>
      </c>
      <c r="Z40" s="395" t="s">
        <v>906</v>
      </c>
      <c r="AA40" s="433">
        <v>15.0</v>
      </c>
      <c r="AB40" s="433">
        <v>14.0</v>
      </c>
      <c r="AC40" s="433">
        <v>13.0</v>
      </c>
      <c r="AD40" s="434">
        <v>12.0</v>
      </c>
      <c r="AE40" s="3" t="s">
        <v>1200</v>
      </c>
    </row>
    <row r="41">
      <c r="N41" s="3" t="s">
        <v>591</v>
      </c>
      <c r="Q41" s="3" t="s">
        <v>592</v>
      </c>
      <c r="S41" s="394"/>
      <c r="T41" s="395" t="s">
        <v>908</v>
      </c>
      <c r="U41" s="417"/>
      <c r="V41" s="418"/>
      <c r="W41" s="418">
        <v>17.0</v>
      </c>
      <c r="X41" s="441">
        <v>16.0</v>
      </c>
      <c r="Z41" s="395" t="s">
        <v>908</v>
      </c>
      <c r="AA41" s="431">
        <v>15.0</v>
      </c>
      <c r="AB41" s="431">
        <v>14.0</v>
      </c>
      <c r="AC41" s="431">
        <v>13.0</v>
      </c>
      <c r="AD41" s="431">
        <v>12.0</v>
      </c>
      <c r="AE41" s="3" t="s">
        <v>1200</v>
      </c>
    </row>
    <row r="42">
      <c r="N42" s="3" t="s">
        <v>593</v>
      </c>
      <c r="Q42" s="3" t="s">
        <v>594</v>
      </c>
      <c r="S42" s="394"/>
      <c r="T42" s="400" t="s">
        <v>910</v>
      </c>
      <c r="U42" s="359">
        <f t="shared" ref="U42:X42" si="21">AVERAGE(U37:U39)</f>
        <v>21</v>
      </c>
      <c r="V42" s="359">
        <f t="shared" si="21"/>
        <v>20</v>
      </c>
      <c r="W42" s="359">
        <f t="shared" si="21"/>
        <v>17</v>
      </c>
      <c r="X42" s="360">
        <f t="shared" si="21"/>
        <v>16</v>
      </c>
      <c r="Z42" s="452"/>
      <c r="AA42" s="453"/>
      <c r="AB42" s="453"/>
      <c r="AC42" s="453"/>
      <c r="AD42" s="454"/>
    </row>
    <row r="43">
      <c r="N43" s="3" t="s">
        <v>595</v>
      </c>
      <c r="Q43" s="3" t="s">
        <v>596</v>
      </c>
      <c r="S43" s="55"/>
      <c r="T43" s="401" t="s">
        <v>912</v>
      </c>
      <c r="U43" s="362">
        <f t="shared" ref="U43:X43" si="22">AVERAGE(U37:U41)</f>
        <v>21</v>
      </c>
      <c r="V43" s="362">
        <f t="shared" si="22"/>
        <v>20</v>
      </c>
      <c r="W43" s="362">
        <f t="shared" si="22"/>
        <v>17</v>
      </c>
      <c r="X43" s="363">
        <f t="shared" si="22"/>
        <v>16</v>
      </c>
      <c r="Z43" s="401" t="s">
        <v>912</v>
      </c>
      <c r="AA43" s="293">
        <f t="shared" ref="AA43:AD43" si="23">AVERAGE(AA37:AA41)</f>
        <v>15</v>
      </c>
      <c r="AB43" s="293">
        <f t="shared" si="23"/>
        <v>14</v>
      </c>
      <c r="AC43" s="293">
        <f t="shared" si="23"/>
        <v>13</v>
      </c>
      <c r="AD43" s="383">
        <f t="shared" si="23"/>
        <v>12.1</v>
      </c>
    </row>
    <row r="44">
      <c r="N44" s="3" t="s">
        <v>597</v>
      </c>
      <c r="Q44" s="3" t="s">
        <v>598</v>
      </c>
      <c r="S44" s="384" t="s">
        <v>78</v>
      </c>
      <c r="T44" s="402" t="s">
        <v>786</v>
      </c>
      <c r="U44" s="403"/>
      <c r="V44" s="403"/>
      <c r="W44" s="403"/>
      <c r="X44" s="412">
        <v>0.9</v>
      </c>
      <c r="Y44" s="3" t="s">
        <v>1217</v>
      </c>
      <c r="Z44" s="402" t="s">
        <v>786</v>
      </c>
      <c r="AA44" s="403"/>
      <c r="AB44" s="403"/>
      <c r="AC44" s="403"/>
      <c r="AD44" s="412">
        <v>1.3</v>
      </c>
      <c r="AE44" s="3" t="s">
        <v>1218</v>
      </c>
    </row>
    <row r="45">
      <c r="N45" s="3" t="s">
        <v>599</v>
      </c>
      <c r="Q45" s="3" t="s">
        <v>600</v>
      </c>
      <c r="S45" s="55"/>
      <c r="T45" s="405" t="s">
        <v>468</v>
      </c>
      <c r="U45" s="55"/>
      <c r="V45" s="55"/>
      <c r="W45" s="55"/>
      <c r="X45" s="376"/>
      <c r="Z45" s="405" t="s">
        <v>468</v>
      </c>
      <c r="AA45" s="55"/>
      <c r="AB45" s="55"/>
      <c r="AC45" s="55"/>
      <c r="AD45" s="376">
        <v>1.0</v>
      </c>
    </row>
    <row r="46">
      <c r="S46" s="55"/>
      <c r="T46" s="405" t="s">
        <v>469</v>
      </c>
      <c r="U46" s="55"/>
      <c r="V46" s="55"/>
      <c r="W46" s="55"/>
      <c r="X46" s="376"/>
      <c r="Z46" s="405" t="s">
        <v>469</v>
      </c>
      <c r="AA46" s="55"/>
      <c r="AB46" s="55"/>
      <c r="AC46" s="55"/>
      <c r="AD46" s="376">
        <v>0.0</v>
      </c>
    </row>
    <row r="47">
      <c r="N47" s="3" t="s">
        <v>601</v>
      </c>
      <c r="Q47" s="3" t="s">
        <v>602</v>
      </c>
      <c r="S47" s="55"/>
      <c r="T47" s="405" t="s">
        <v>470</v>
      </c>
      <c r="U47" s="55"/>
      <c r="V47" s="55"/>
      <c r="W47" s="55"/>
      <c r="X47" s="376"/>
      <c r="Z47" s="405" t="s">
        <v>470</v>
      </c>
      <c r="AA47" s="55"/>
      <c r="AB47" s="55"/>
      <c r="AC47" s="55"/>
      <c r="AD47" s="376">
        <v>1.2</v>
      </c>
    </row>
    <row r="48">
      <c r="Q48" s="3" t="s">
        <v>603</v>
      </c>
      <c r="S48" s="394"/>
      <c r="T48" s="407" t="s">
        <v>906</v>
      </c>
      <c r="U48" s="55"/>
      <c r="V48" s="55"/>
      <c r="W48" s="55"/>
      <c r="X48" s="376"/>
      <c r="Z48" s="407" t="s">
        <v>906</v>
      </c>
      <c r="AA48" s="55"/>
      <c r="AB48" s="55"/>
      <c r="AC48" s="55"/>
      <c r="AD48" s="376">
        <v>0.7</v>
      </c>
    </row>
    <row r="49">
      <c r="N49" s="3" t="s">
        <v>604</v>
      </c>
      <c r="S49" s="394"/>
      <c r="T49" s="407" t="s">
        <v>908</v>
      </c>
      <c r="U49" s="55"/>
      <c r="V49" s="408"/>
      <c r="W49" s="408"/>
      <c r="X49" s="376"/>
      <c r="Z49" s="407" t="s">
        <v>908</v>
      </c>
      <c r="AA49" s="55"/>
      <c r="AB49" s="408"/>
      <c r="AC49" s="408"/>
      <c r="AD49" s="376">
        <v>0.8</v>
      </c>
    </row>
    <row r="50">
      <c r="R50" s="3" t="s">
        <v>605</v>
      </c>
      <c r="S50" s="394"/>
      <c r="T50" s="409" t="s">
        <v>910</v>
      </c>
      <c r="U50" s="55"/>
      <c r="V50" s="53"/>
      <c r="W50" s="55"/>
      <c r="X50" s="379" t="str">
        <f>AVERAGE(X45:X47)</f>
        <v>#DIV/0!</v>
      </c>
      <c r="Z50" s="455"/>
      <c r="AA50" s="456"/>
      <c r="AB50" s="457"/>
      <c r="AC50" s="456"/>
      <c r="AD50" s="458"/>
    </row>
    <row r="51">
      <c r="N51" s="3" t="s">
        <v>606</v>
      </c>
      <c r="R51" s="3" t="s">
        <v>607</v>
      </c>
      <c r="S51" s="55"/>
      <c r="T51" s="361" t="s">
        <v>912</v>
      </c>
      <c r="U51" s="382"/>
      <c r="V51" s="410"/>
      <c r="W51" s="410"/>
      <c r="X51" s="383" t="str">
        <f>AVERAGE(X45:X49)</f>
        <v>#DIV/0!</v>
      </c>
      <c r="Z51" s="361" t="s">
        <v>912</v>
      </c>
      <c r="AA51" s="451"/>
      <c r="AB51" s="459"/>
      <c r="AC51" s="459"/>
      <c r="AD51" s="379">
        <f>AVERAGE(AD45:AD49)</f>
        <v>0.74</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1251</v>
      </c>
      <c r="Q55" s="3" t="s">
        <v>1252</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1253</v>
      </c>
    </row>
    <row r="64">
      <c r="Q64" s="3" t="s">
        <v>623</v>
      </c>
    </row>
    <row r="65">
      <c r="Q65" s="3" t="s">
        <v>616</v>
      </c>
    </row>
    <row r="66">
      <c r="Q66" s="3" t="s">
        <v>618</v>
      </c>
    </row>
    <row r="68">
      <c r="P68" s="218" t="s">
        <v>619</v>
      </c>
      <c r="Q68" s="31" t="s">
        <v>624</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46100.0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343" t="s">
        <v>968</v>
      </c>
      <c r="AF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526</v>
      </c>
      <c r="AA2" s="224" t="s">
        <v>526</v>
      </c>
      <c r="AB2" s="224" t="s">
        <v>526</v>
      </c>
      <c r="AC2" s="224" t="s">
        <v>526</v>
      </c>
      <c r="AD2" s="3" t="s">
        <v>527</v>
      </c>
      <c r="AF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266">
        <v>79.0</v>
      </c>
      <c r="AA3" s="266">
        <v>81.0</v>
      </c>
      <c r="AB3" s="266">
        <v>82.0</v>
      </c>
      <c r="AC3" s="266">
        <v>84.0</v>
      </c>
      <c r="AD3" s="258">
        <f t="shared" ref="AD3:AD7" si="4">AVERAGE(Z3:AC3)</f>
        <v>81.5</v>
      </c>
      <c r="AF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264">
        <v>77.0</v>
      </c>
      <c r="AA4" s="264">
        <v>83.0</v>
      </c>
      <c r="AB4" s="264">
        <v>73.0</v>
      </c>
      <c r="AC4" s="264">
        <v>69.0</v>
      </c>
      <c r="AD4" s="258">
        <f t="shared" si="4"/>
        <v>75.5</v>
      </c>
      <c r="AE4" s="439">
        <f t="shared" ref="AE4:AE6" si="7">AD4/Y4-1</f>
        <v>0.09104046243</v>
      </c>
      <c r="AF4" s="3" t="s">
        <v>1244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5">V4-V6</f>
        <v>56</v>
      </c>
      <c r="W5" s="255">
        <f t="shared" si="5"/>
        <v>56</v>
      </c>
      <c r="X5" s="255">
        <v>45.0</v>
      </c>
      <c r="Y5" s="248">
        <f t="shared" si="3"/>
        <v>55.15</v>
      </c>
      <c r="Z5" s="264">
        <f t="shared" ref="Z5:AC5" si="6">Z4-Z6</f>
        <v>52</v>
      </c>
      <c r="AA5" s="430">
        <f t="shared" si="6"/>
        <v>58</v>
      </c>
      <c r="AB5" s="264">
        <f t="shared" si="6"/>
        <v>52</v>
      </c>
      <c r="AC5" s="264">
        <f t="shared" si="6"/>
        <v>53</v>
      </c>
      <c r="AD5" s="258">
        <f t="shared" si="4"/>
        <v>53.75</v>
      </c>
      <c r="AE5" s="439">
        <f t="shared" si="7"/>
        <v>-0.02538531278</v>
      </c>
      <c r="AF5" s="3" t="s">
        <v>1245</v>
      </c>
    </row>
    <row r="6" ht="26.25" customHeight="1">
      <c r="A6" s="245" t="s">
        <v>643</v>
      </c>
      <c r="B6" s="4"/>
      <c r="C6" s="4"/>
      <c r="D6" s="54"/>
      <c r="E6" s="54"/>
      <c r="F6" s="54"/>
      <c r="G6" s="54"/>
      <c r="H6" s="54"/>
      <c r="I6" s="112"/>
      <c r="J6" s="112"/>
      <c r="K6" s="263">
        <f t="shared" ref="K6:O6" si="8">K4-K5</f>
        <v>29</v>
      </c>
      <c r="L6" s="263">
        <f t="shared" si="8"/>
        <v>24</v>
      </c>
      <c r="M6" s="246">
        <f t="shared" si="8"/>
        <v>21.3</v>
      </c>
      <c r="N6" s="246">
        <f t="shared" si="8"/>
        <v>14.9</v>
      </c>
      <c r="O6" s="248">
        <f t="shared" si="8"/>
        <v>22.3</v>
      </c>
      <c r="P6" s="255">
        <v>15.0</v>
      </c>
      <c r="Q6" s="254">
        <f t="shared" ref="Q6:R6" si="9">Q4-Q5</f>
        <v>13.6</v>
      </c>
      <c r="R6" s="255">
        <f t="shared" si="9"/>
        <v>16</v>
      </c>
      <c r="S6" s="255">
        <v>10.0</v>
      </c>
      <c r="T6" s="248">
        <f t="shared" si="2"/>
        <v>13.65</v>
      </c>
      <c r="U6" s="347">
        <f>U4-U5</f>
        <v>12.2</v>
      </c>
      <c r="V6" s="255">
        <v>12.0</v>
      </c>
      <c r="W6" s="255">
        <v>13.0</v>
      </c>
      <c r="X6" s="254">
        <v>18.4</v>
      </c>
      <c r="Y6" s="258">
        <f t="shared" si="3"/>
        <v>13.9</v>
      </c>
      <c r="Z6" s="264">
        <v>25.0</v>
      </c>
      <c r="AA6" s="264">
        <v>25.0</v>
      </c>
      <c r="AB6" s="264">
        <v>21.0</v>
      </c>
      <c r="AC6" s="264">
        <v>16.0</v>
      </c>
      <c r="AD6" s="258">
        <f t="shared" si="4"/>
        <v>21.75</v>
      </c>
      <c r="AE6" s="439">
        <f t="shared" si="7"/>
        <v>0.5647482014</v>
      </c>
      <c r="AF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67">
        <v>5.7</v>
      </c>
      <c r="AA7" s="267">
        <v>5.7</v>
      </c>
      <c r="AB7" s="267">
        <v>5.0</v>
      </c>
      <c r="AC7" s="267">
        <v>5.7</v>
      </c>
      <c r="AD7" s="258">
        <f t="shared" si="4"/>
        <v>5.525</v>
      </c>
      <c r="AF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69">
        <v>15.0</v>
      </c>
      <c r="AA8" s="269">
        <v>14.0</v>
      </c>
      <c r="AB8" s="269">
        <v>13.0</v>
      </c>
      <c r="AC8" s="269">
        <v>12.0</v>
      </c>
      <c r="AD8" s="258">
        <v>14.1</v>
      </c>
    </row>
    <row r="9" hidden="1">
      <c r="A9" s="252" t="s">
        <v>766</v>
      </c>
      <c r="E9" s="114"/>
      <c r="F9" s="115"/>
      <c r="G9" s="115"/>
      <c r="H9" s="115"/>
      <c r="I9" s="112"/>
      <c r="J9" s="112"/>
      <c r="T9" s="103"/>
      <c r="U9" s="54"/>
      <c r="V9" s="287" t="s">
        <v>767</v>
      </c>
      <c r="W9" s="54"/>
      <c r="X9" s="54"/>
      <c r="Y9" s="103"/>
    </row>
    <row r="10">
      <c r="E10" s="114"/>
      <c r="F10" s="115"/>
      <c r="G10" s="115"/>
      <c r="H10" s="115"/>
      <c r="I10" s="112"/>
      <c r="J10" s="112"/>
      <c r="T10" s="343">
        <v>2025.0</v>
      </c>
      <c r="U10" s="348" t="s">
        <v>762</v>
      </c>
      <c r="V10" s="348" t="s">
        <v>763</v>
      </c>
      <c r="W10" s="348" t="s">
        <v>764</v>
      </c>
      <c r="X10" s="349" t="s">
        <v>765</v>
      </c>
      <c r="Y10" s="414">
        <f>Y4/T4-1</f>
        <v>-0.1419714817</v>
      </c>
      <c r="Z10" s="343">
        <v>2026.0</v>
      </c>
      <c r="AA10" s="348" t="s">
        <v>1120</v>
      </c>
      <c r="AB10" s="348" t="s">
        <v>1121</v>
      </c>
      <c r="AC10" s="348" t="s">
        <v>1122</v>
      </c>
      <c r="AD10" s="349" t="s">
        <v>1123</v>
      </c>
    </row>
    <row r="11">
      <c r="E11" s="114"/>
      <c r="F11" s="115"/>
      <c r="G11" s="115"/>
      <c r="H11" s="115"/>
      <c r="I11" s="112" t="s">
        <v>406</v>
      </c>
      <c r="J11" s="112" t="s">
        <v>406</v>
      </c>
      <c r="S11" s="350" t="s">
        <v>1006</v>
      </c>
      <c r="T11" s="351" t="s">
        <v>54</v>
      </c>
      <c r="U11" s="348"/>
      <c r="V11" s="348"/>
      <c r="W11" s="411"/>
      <c r="X11" s="412"/>
      <c r="Y11" s="350" t="s">
        <v>1006</v>
      </c>
      <c r="Z11" s="351" t="s">
        <v>54</v>
      </c>
      <c r="AA11" s="411"/>
      <c r="AB11" s="411">
        <v>101.0</v>
      </c>
      <c r="AC11" s="411">
        <v>90.0</v>
      </c>
      <c r="AD11" s="411">
        <v>83.5</v>
      </c>
      <c r="AE11" s="3" t="s">
        <v>1231</v>
      </c>
    </row>
    <row r="12">
      <c r="E12" s="114" t="s">
        <v>241</v>
      </c>
      <c r="F12" s="115" t="s">
        <v>242</v>
      </c>
      <c r="G12" s="115" t="s">
        <v>242</v>
      </c>
      <c r="H12" s="115" t="s">
        <v>194</v>
      </c>
      <c r="I12" s="115" t="s">
        <v>148</v>
      </c>
      <c r="T12" s="352" t="s">
        <v>468</v>
      </c>
      <c r="U12" s="353"/>
      <c r="V12" s="353"/>
      <c r="W12" s="354"/>
      <c r="X12" s="355"/>
      <c r="Z12" s="352" t="s">
        <v>468</v>
      </c>
      <c r="AA12" s="354"/>
      <c r="AB12" s="354">
        <v>82.0</v>
      </c>
      <c r="AC12" s="354">
        <v>70.0</v>
      </c>
      <c r="AD12" s="354">
        <v>65.0</v>
      </c>
    </row>
    <row r="13">
      <c r="C13" s="4">
        <v>5.7</v>
      </c>
      <c r="D13" s="4">
        <v>6.5</v>
      </c>
      <c r="E13" s="62">
        <v>7.4</v>
      </c>
      <c r="F13" s="54">
        <v>8.1</v>
      </c>
      <c r="G13" s="54"/>
      <c r="H13" s="62"/>
      <c r="I13" s="62"/>
      <c r="J13" s="62"/>
      <c r="T13" s="352" t="s">
        <v>469</v>
      </c>
      <c r="U13" s="353"/>
      <c r="V13" s="353"/>
      <c r="W13" s="354"/>
      <c r="X13" s="356"/>
      <c r="Z13" s="352" t="s">
        <v>469</v>
      </c>
      <c r="AA13" s="354"/>
      <c r="AB13" s="354">
        <v>85.0</v>
      </c>
      <c r="AC13" s="354">
        <v>75.0</v>
      </c>
      <c r="AD13" s="354">
        <v>70.0</v>
      </c>
    </row>
    <row r="14">
      <c r="D14" s="111"/>
      <c r="E14" s="117"/>
      <c r="F14" s="112"/>
      <c r="G14" s="112"/>
      <c r="H14" s="112"/>
      <c r="I14" s="117"/>
      <c r="J14" s="112"/>
      <c r="O14" s="3" t="s">
        <v>1177</v>
      </c>
      <c r="P14" s="3" t="s">
        <v>1247</v>
      </c>
      <c r="Q14" s="4"/>
      <c r="R14" s="55"/>
      <c r="T14" s="352" t="s">
        <v>470</v>
      </c>
      <c r="U14" s="353"/>
      <c r="V14" s="353"/>
      <c r="W14" s="354"/>
      <c r="X14" s="355"/>
      <c r="Z14" s="352" t="s">
        <v>470</v>
      </c>
      <c r="AA14" s="354"/>
      <c r="AB14" s="354">
        <v>83.0</v>
      </c>
      <c r="AC14" s="354">
        <v>70.0</v>
      </c>
      <c r="AD14" s="354">
        <v>70.0</v>
      </c>
      <c r="AE14" s="4"/>
      <c r="AF14" s="4"/>
    </row>
    <row r="15">
      <c r="D15" s="111"/>
      <c r="E15" s="117"/>
      <c r="F15" s="112"/>
      <c r="G15" s="112"/>
      <c r="H15" s="112"/>
      <c r="I15" s="117"/>
      <c r="J15" s="112"/>
      <c r="O15" s="4" t="s">
        <v>652</v>
      </c>
      <c r="P15" s="4" t="s">
        <v>335</v>
      </c>
      <c r="Q15" s="4" t="s">
        <v>338</v>
      </c>
      <c r="R15" s="4" t="s">
        <v>581</v>
      </c>
      <c r="T15" s="357" t="s">
        <v>906</v>
      </c>
      <c r="U15" s="353"/>
      <c r="V15" s="353"/>
      <c r="W15" s="354"/>
      <c r="X15" s="356"/>
      <c r="Z15" s="436" t="s">
        <v>1225</v>
      </c>
      <c r="AA15" s="354"/>
      <c r="AB15" s="354">
        <v>82.0</v>
      </c>
      <c r="AC15" s="354">
        <v>73.0</v>
      </c>
      <c r="AD15" s="354">
        <v>70.0</v>
      </c>
      <c r="AE15" s="4"/>
      <c r="AF15" s="41"/>
    </row>
    <row r="16">
      <c r="D16" s="111" t="s">
        <v>241</v>
      </c>
      <c r="E16" s="117">
        <v>7.0</v>
      </c>
      <c r="F16" s="112">
        <v>7.3</v>
      </c>
      <c r="G16" s="112"/>
      <c r="H16" s="112"/>
      <c r="I16" s="117"/>
      <c r="J16" s="112"/>
      <c r="N16" s="4" t="s">
        <v>62</v>
      </c>
      <c r="O16" s="443">
        <v>77.22</v>
      </c>
      <c r="P16" s="443">
        <v>76.93</v>
      </c>
      <c r="Q16" s="437">
        <v>79.09</v>
      </c>
      <c r="R16" s="226">
        <f t="shared" ref="R16:R19" si="10">AVERAGE(O16:Q16)</f>
        <v>77.74666667</v>
      </c>
      <c r="T16" s="358" t="s">
        <v>908</v>
      </c>
      <c r="U16" s="353"/>
      <c r="V16" s="353"/>
      <c r="W16" s="354"/>
      <c r="X16" s="356"/>
      <c r="Z16" s="440" t="s">
        <v>468</v>
      </c>
      <c r="AA16" s="354"/>
      <c r="AB16" s="354">
        <v>83.0</v>
      </c>
      <c r="AC16" s="354">
        <v>73.0</v>
      </c>
      <c r="AD16" s="354">
        <v>65.0</v>
      </c>
      <c r="AE16" s="4"/>
      <c r="AF16" s="4"/>
    </row>
    <row r="17">
      <c r="C17" s="10"/>
      <c r="D17" s="10"/>
      <c r="E17" s="10"/>
      <c r="F17" s="10"/>
      <c r="G17" s="10"/>
      <c r="H17" s="10"/>
      <c r="I17" s="10"/>
      <c r="J17" s="10"/>
      <c r="N17" s="4" t="s">
        <v>28</v>
      </c>
      <c r="O17" s="443">
        <v>66.36</v>
      </c>
      <c r="P17" s="443">
        <v>70.94</v>
      </c>
      <c r="Q17" s="437">
        <v>91.87</v>
      </c>
      <c r="R17" s="226">
        <f t="shared" si="10"/>
        <v>76.39</v>
      </c>
      <c r="T17" s="358" t="s">
        <v>910</v>
      </c>
      <c r="U17" s="359" t="str">
        <f t="shared" ref="U17:X17" si="11">AVERAGE(U12:U14)</f>
        <v>#DIV/0!</v>
      </c>
      <c r="V17" s="359" t="str">
        <f t="shared" si="11"/>
        <v>#DIV/0!</v>
      </c>
      <c r="W17" s="359" t="str">
        <f t="shared" si="11"/>
        <v>#DIV/0!</v>
      </c>
      <c r="X17" s="360" t="str">
        <f t="shared" si="11"/>
        <v>#DIV/0!</v>
      </c>
      <c r="Z17" s="440" t="s">
        <v>906</v>
      </c>
      <c r="AA17" s="444"/>
      <c r="AB17" s="445">
        <v>85.0</v>
      </c>
      <c r="AC17" s="445">
        <v>75.0</v>
      </c>
      <c r="AD17" s="446">
        <v>72.0</v>
      </c>
    </row>
    <row r="18">
      <c r="E18" s="118"/>
      <c r="F18" s="118"/>
      <c r="G18" s="118"/>
      <c r="H18" s="118"/>
      <c r="I18" s="118"/>
      <c r="J18" s="118"/>
      <c r="K18" s="425">
        <v>78.9</v>
      </c>
      <c r="L18" s="426">
        <v>80.1</v>
      </c>
      <c r="N18" s="4" t="s">
        <v>582</v>
      </c>
      <c r="O18" s="443">
        <v>41.8</v>
      </c>
      <c r="P18" s="443">
        <v>45.5</v>
      </c>
      <c r="Q18" s="437">
        <f> Q17 - Q19</f>
        <v>66.87</v>
      </c>
      <c r="R18" s="226">
        <f t="shared" si="10"/>
        <v>51.39</v>
      </c>
      <c r="T18" s="361" t="s">
        <v>912</v>
      </c>
      <c r="U18" s="362" t="str">
        <f t="shared" ref="U18:X18" si="12">AVERAGE(U12:U16)</f>
        <v>#DIV/0!</v>
      </c>
      <c r="V18" s="362" t="str">
        <f t="shared" si="12"/>
        <v>#DIV/0!</v>
      </c>
      <c r="W18" s="362" t="str">
        <f t="shared" si="12"/>
        <v>#DIV/0!</v>
      </c>
      <c r="X18" s="363" t="str">
        <f t="shared" si="12"/>
        <v>#DIV/0!</v>
      </c>
      <c r="Z18" s="361" t="s">
        <v>912</v>
      </c>
      <c r="AA18" s="359"/>
      <c r="AB18" s="359">
        <f t="shared" ref="AB18:AD18" si="13">AVERAGE(AB12:AB17)</f>
        <v>83.33333333</v>
      </c>
      <c r="AC18" s="359">
        <f t="shared" si="13"/>
        <v>72.66666667</v>
      </c>
      <c r="AD18" s="359">
        <f t="shared" si="13"/>
        <v>68.66666667</v>
      </c>
      <c r="AF18" s="4"/>
    </row>
    <row r="19">
      <c r="E19" s="118"/>
      <c r="F19" s="118"/>
      <c r="G19" s="118"/>
      <c r="H19" s="118"/>
      <c r="I19" s="118"/>
      <c r="J19" s="118"/>
      <c r="K19" s="425">
        <v>10.98</v>
      </c>
      <c r="L19" s="426">
        <v>11.12</v>
      </c>
      <c r="N19" s="4" t="s">
        <v>1214</v>
      </c>
      <c r="O19" s="117">
        <f t="shared" ref="O19:P19" si="14">O17-O18</f>
        <v>24.56</v>
      </c>
      <c r="P19" s="117">
        <f t="shared" si="14"/>
        <v>25.44</v>
      </c>
      <c r="Q19" s="112">
        <v>25.0</v>
      </c>
      <c r="R19" s="226">
        <f t="shared" si="10"/>
        <v>25</v>
      </c>
      <c r="S19" s="364"/>
      <c r="T19" s="364"/>
      <c r="U19" s="365">
        <v>45747.0</v>
      </c>
      <c r="V19" s="365">
        <f t="shared" ref="V19:X19" si="15">EOMONTH(U19,3)</f>
        <v>45838</v>
      </c>
      <c r="W19" s="365">
        <f t="shared" si="15"/>
        <v>45930</v>
      </c>
      <c r="X19" s="365">
        <f t="shared" si="15"/>
        <v>46022</v>
      </c>
      <c r="Z19" s="364"/>
      <c r="AA19" s="427">
        <v>46112.0</v>
      </c>
      <c r="AB19" s="365">
        <f t="shared" ref="AB19:AD19" si="16">EOMONTH(AA19,3)</f>
        <v>46203</v>
      </c>
      <c r="AC19" s="365">
        <f t="shared" si="16"/>
        <v>46295</v>
      </c>
      <c r="AD19" s="365">
        <f t="shared" si="16"/>
        <v>46387</v>
      </c>
    </row>
    <row r="20">
      <c r="E20" s="118"/>
      <c r="F20" s="118"/>
      <c r="G20" s="118"/>
      <c r="H20" s="118"/>
      <c r="I20" s="118"/>
      <c r="J20" s="118"/>
      <c r="K20" s="425">
        <v>7.14</v>
      </c>
      <c r="L20" s="426">
        <v>7.18</v>
      </c>
      <c r="M20" s="308"/>
      <c r="S20" s="366" t="s">
        <v>1011</v>
      </c>
      <c r="T20" s="367" t="s">
        <v>786</v>
      </c>
      <c r="U20" s="368"/>
      <c r="V20" s="348"/>
      <c r="W20" s="348"/>
      <c r="X20" s="349">
        <v>81.0</v>
      </c>
      <c r="Y20" s="366" t="s">
        <v>1011</v>
      </c>
      <c r="Z20" s="367" t="s">
        <v>786</v>
      </c>
      <c r="AA20" s="348">
        <v>78.5</v>
      </c>
      <c r="AB20" s="348">
        <v>79.0</v>
      </c>
      <c r="AC20" s="348">
        <v>80.0</v>
      </c>
      <c r="AD20" s="349">
        <v>80.0</v>
      </c>
      <c r="AE20" s="3" t="s">
        <v>1254</v>
      </c>
    </row>
    <row r="21">
      <c r="E21" s="118"/>
      <c r="F21" s="118"/>
      <c r="G21" s="118"/>
      <c r="H21" s="118"/>
      <c r="I21" s="118"/>
      <c r="J21" s="118"/>
      <c r="K21" s="425">
        <v>93.4</v>
      </c>
      <c r="L21" s="426">
        <v>93.2</v>
      </c>
      <c r="M21" s="309"/>
      <c r="O21" s="4" t="s">
        <v>340</v>
      </c>
      <c r="P21" s="4" t="s">
        <v>171</v>
      </c>
      <c r="Q21" s="4" t="s">
        <v>343</v>
      </c>
      <c r="R21" s="4" t="s">
        <v>581</v>
      </c>
      <c r="S21" s="53"/>
      <c r="T21" s="352" t="s">
        <v>468</v>
      </c>
      <c r="U21" s="353"/>
      <c r="V21" s="353"/>
      <c r="W21" s="353"/>
      <c r="X21" s="355"/>
      <c r="Y21" s="3" t="s">
        <v>1188</v>
      </c>
      <c r="Z21" s="352" t="s">
        <v>468</v>
      </c>
      <c r="AA21" s="354">
        <v>79.0</v>
      </c>
      <c r="AB21" s="354">
        <v>85.0</v>
      </c>
      <c r="AC21" s="354">
        <v>87.0</v>
      </c>
      <c r="AD21" s="355">
        <v>89.0</v>
      </c>
      <c r="AE21" s="3" t="s">
        <v>1255</v>
      </c>
    </row>
    <row r="22">
      <c r="E22" s="118"/>
      <c r="F22" s="118"/>
      <c r="G22" s="118"/>
      <c r="H22" s="118"/>
      <c r="I22" s="118"/>
      <c r="J22" s="118"/>
      <c r="K22" s="425">
        <v>1.17</v>
      </c>
      <c r="L22" s="426">
        <v>1.16</v>
      </c>
      <c r="M22" s="309"/>
      <c r="N22" s="4" t="s">
        <v>62</v>
      </c>
      <c r="O22" s="437"/>
      <c r="P22" s="437"/>
      <c r="Q22" s="437"/>
      <c r="R22" s="226" t="str">
        <f t="shared" ref="R22:R25" si="17">AVERAGE(O22:Q22)</f>
        <v>#DIV/0!</v>
      </c>
      <c r="S22" s="369"/>
      <c r="T22" s="352" t="s">
        <v>469</v>
      </c>
      <c r="U22" s="353"/>
      <c r="V22" s="353"/>
      <c r="W22" s="353"/>
      <c r="X22" s="355"/>
      <c r="Z22" s="352" t="s">
        <v>469</v>
      </c>
      <c r="AA22" s="354">
        <v>79.0</v>
      </c>
      <c r="AB22" s="354">
        <v>80.0</v>
      </c>
      <c r="AC22" s="354">
        <v>82.0</v>
      </c>
      <c r="AD22" s="356">
        <v>83.0</v>
      </c>
    </row>
    <row r="23">
      <c r="E23" s="118"/>
      <c r="F23" s="118"/>
      <c r="G23" s="118"/>
      <c r="H23" s="118"/>
      <c r="I23" s="118"/>
      <c r="J23" s="118"/>
      <c r="K23" s="425">
        <v>71.0</v>
      </c>
      <c r="L23" s="426">
        <v>68.0</v>
      </c>
      <c r="M23" s="309"/>
      <c r="N23" s="4" t="s">
        <v>28</v>
      </c>
      <c r="O23" s="437">
        <v>100.0</v>
      </c>
      <c r="P23" s="437">
        <v>80.0</v>
      </c>
      <c r="Q23" s="437">
        <v>70.0</v>
      </c>
      <c r="R23" s="226">
        <f t="shared" si="17"/>
        <v>83.33333333</v>
      </c>
      <c r="S23" s="369"/>
      <c r="T23" s="352" t="s">
        <v>470</v>
      </c>
      <c r="U23" s="353"/>
      <c r="V23" s="353"/>
      <c r="W23" s="353"/>
      <c r="X23" s="355"/>
      <c r="Z23" s="352" t="s">
        <v>470</v>
      </c>
      <c r="AA23" s="354">
        <v>79.0</v>
      </c>
      <c r="AB23" s="354">
        <v>80.0</v>
      </c>
      <c r="AC23" s="354">
        <v>80.0</v>
      </c>
      <c r="AD23" s="356">
        <v>80.0</v>
      </c>
    </row>
    <row r="24">
      <c r="E24" s="118"/>
      <c r="F24" s="118"/>
      <c r="G24" s="118"/>
      <c r="H24" s="118"/>
      <c r="I24" s="118"/>
      <c r="J24" s="118"/>
      <c r="K24" s="425">
        <v>57.4</v>
      </c>
      <c r="L24" s="426">
        <v>56.1</v>
      </c>
      <c r="M24" s="309"/>
      <c r="N24" s="4" t="s">
        <v>582</v>
      </c>
      <c r="O24" s="437"/>
      <c r="P24" s="437"/>
      <c r="Q24" s="437"/>
      <c r="R24" s="226" t="str">
        <f t="shared" si="17"/>
        <v>#DIV/0!</v>
      </c>
      <c r="S24" s="364"/>
      <c r="T24" s="357" t="s">
        <v>906</v>
      </c>
      <c r="U24" s="353"/>
      <c r="V24" s="353"/>
      <c r="W24" s="353"/>
      <c r="X24" s="356"/>
      <c r="Z24" s="357" t="s">
        <v>906</v>
      </c>
      <c r="AA24" s="354">
        <v>79.0</v>
      </c>
      <c r="AB24" s="354">
        <v>82.0</v>
      </c>
      <c r="AC24" s="354">
        <v>82.0</v>
      </c>
      <c r="AD24" s="355">
        <v>84.0</v>
      </c>
    </row>
    <row r="25">
      <c r="E25" s="118"/>
      <c r="F25" s="118"/>
      <c r="G25" s="118"/>
      <c r="H25" s="118"/>
      <c r="I25" s="118"/>
      <c r="J25" s="118"/>
      <c r="M25" s="308"/>
      <c r="N25" s="4" t="s">
        <v>1214</v>
      </c>
      <c r="O25" s="117">
        <f t="shared" ref="O25:Q25" si="18">O23-O24</f>
        <v>100</v>
      </c>
      <c r="P25" s="117">
        <f t="shared" si="18"/>
        <v>80</v>
      </c>
      <c r="Q25" s="117">
        <f t="shared" si="18"/>
        <v>70</v>
      </c>
      <c r="R25" s="226">
        <f t="shared" si="17"/>
        <v>83.33333333</v>
      </c>
      <c r="S25" s="370"/>
      <c r="T25" s="358" t="s">
        <v>908</v>
      </c>
      <c r="U25" s="353"/>
      <c r="V25" s="353"/>
      <c r="W25" s="353"/>
      <c r="X25" s="356"/>
      <c r="Z25" s="358" t="s">
        <v>908</v>
      </c>
      <c r="AA25" s="354"/>
      <c r="AB25" s="354">
        <v>80.0</v>
      </c>
      <c r="AC25" s="354">
        <v>81.0</v>
      </c>
      <c r="AD25" s="356">
        <v>83.0</v>
      </c>
    </row>
    <row r="26">
      <c r="A26" s="3"/>
      <c r="B26" s="12"/>
      <c r="C26" s="12"/>
      <c r="D26" s="13"/>
      <c r="E26" s="13"/>
      <c r="F26" s="13"/>
      <c r="G26" s="13"/>
      <c r="H26" s="13"/>
      <c r="I26" s="13"/>
      <c r="J26" s="13"/>
      <c r="M26" s="308"/>
      <c r="N26" s="309"/>
      <c r="S26" s="370"/>
      <c r="T26" s="358" t="s">
        <v>910</v>
      </c>
      <c r="U26" s="359" t="str">
        <f t="shared" ref="U26:X26" si="19">AVERAGE(U21:U23)</f>
        <v>#DIV/0!</v>
      </c>
      <c r="V26" s="359" t="str">
        <f t="shared" si="19"/>
        <v>#DIV/0!</v>
      </c>
      <c r="W26" s="359" t="str">
        <f t="shared" si="19"/>
        <v>#DIV/0!</v>
      </c>
      <c r="X26" s="360" t="str">
        <f t="shared" si="19"/>
        <v>#DIV/0!</v>
      </c>
      <c r="Z26" s="358"/>
      <c r="AA26" s="444"/>
      <c r="AB26" s="444"/>
      <c r="AC26" s="444"/>
      <c r="AD26" s="447"/>
    </row>
    <row r="27">
      <c r="O27" s="4" t="s">
        <v>340</v>
      </c>
      <c r="P27" s="4" t="s">
        <v>171</v>
      </c>
      <c r="Q27" s="4" t="s">
        <v>343</v>
      </c>
      <c r="S27" s="55"/>
      <c r="T27" s="361" t="s">
        <v>912</v>
      </c>
      <c r="U27" s="362" t="str">
        <f t="shared" ref="U27:X27" si="20">AVERAGE(U21:U25)</f>
        <v>#DIV/0!</v>
      </c>
      <c r="V27" s="362" t="str">
        <f t="shared" si="20"/>
        <v>#DIV/0!</v>
      </c>
      <c r="W27" s="362" t="str">
        <f t="shared" si="20"/>
        <v>#DIV/0!</v>
      </c>
      <c r="X27" s="363" t="str">
        <f t="shared" si="20"/>
        <v>#DIV/0!</v>
      </c>
      <c r="Z27" s="361" t="s">
        <v>912</v>
      </c>
      <c r="AA27" s="359">
        <f t="shared" ref="AA27:AD27" si="21">AVERAGE(AA21:AA25)</f>
        <v>79</v>
      </c>
      <c r="AB27" s="359">
        <f t="shared" si="21"/>
        <v>81.4</v>
      </c>
      <c r="AC27" s="359">
        <f t="shared" si="21"/>
        <v>82.4</v>
      </c>
      <c r="AD27" s="360">
        <f t="shared" si="21"/>
        <v>83.8</v>
      </c>
    </row>
    <row r="28">
      <c r="Q28" s="4"/>
      <c r="R28" s="55"/>
      <c r="S28" s="366" t="s">
        <v>81</v>
      </c>
      <c r="T28" s="371" t="s">
        <v>786</v>
      </c>
      <c r="U28" s="372"/>
      <c r="V28" s="372"/>
      <c r="W28" s="372"/>
      <c r="X28" s="373"/>
      <c r="Y28" s="366" t="s">
        <v>81</v>
      </c>
      <c r="Z28" s="371" t="s">
        <v>786</v>
      </c>
      <c r="AA28" s="372"/>
      <c r="AB28" s="372"/>
      <c r="AC28" s="372"/>
      <c r="AD28" s="373">
        <v>5.8</v>
      </c>
      <c r="AE28" s="3" t="s">
        <v>1250</v>
      </c>
    </row>
    <row r="29">
      <c r="Q29" s="4"/>
      <c r="R29" s="55"/>
      <c r="S29" s="53"/>
      <c r="T29" s="374" t="s">
        <v>468</v>
      </c>
      <c r="U29" s="53"/>
      <c r="V29" s="53"/>
      <c r="W29" s="53"/>
      <c r="X29" s="376"/>
      <c r="Y29" s="99" t="s">
        <v>1226</v>
      </c>
      <c r="Z29" s="374" t="s">
        <v>468</v>
      </c>
      <c r="AA29" s="53"/>
      <c r="AB29" s="53"/>
      <c r="AC29" s="303">
        <v>5.5</v>
      </c>
      <c r="AD29" s="376">
        <v>5.5</v>
      </c>
      <c r="AE29" s="99" t="s">
        <v>1193</v>
      </c>
    </row>
    <row r="30">
      <c r="M30" s="308"/>
      <c r="Q30" s="4"/>
      <c r="R30" s="55"/>
      <c r="S30" s="53"/>
      <c r="T30" s="352" t="s">
        <v>469</v>
      </c>
      <c r="U30" s="53"/>
      <c r="V30" s="53"/>
      <c r="W30" s="53"/>
      <c r="X30" s="376"/>
      <c r="Y30" s="99" t="s">
        <v>1193</v>
      </c>
      <c r="Z30" s="352" t="s">
        <v>469</v>
      </c>
      <c r="AA30" s="53"/>
      <c r="AB30" s="53"/>
      <c r="AC30" s="303">
        <v>6.3</v>
      </c>
      <c r="AD30" s="376">
        <v>5.6</v>
      </c>
      <c r="AE30" s="99" t="s">
        <v>1195</v>
      </c>
    </row>
    <row r="31">
      <c r="M31" s="309"/>
      <c r="Q31" s="4"/>
      <c r="R31" s="55"/>
      <c r="S31" s="53"/>
      <c r="T31" s="374" t="s">
        <v>470</v>
      </c>
      <c r="U31" s="53"/>
      <c r="V31" s="53"/>
      <c r="W31" s="53"/>
      <c r="X31" s="376"/>
      <c r="Y31" s="99" t="s">
        <v>1195</v>
      </c>
      <c r="Z31" s="374" t="s">
        <v>470</v>
      </c>
      <c r="AA31" s="53"/>
      <c r="AB31" s="53"/>
      <c r="AC31" s="303">
        <v>6.3</v>
      </c>
      <c r="AD31" s="376">
        <v>5.8</v>
      </c>
    </row>
    <row r="32">
      <c r="M32" s="309"/>
      <c r="Q32" s="4"/>
      <c r="R32" s="55"/>
      <c r="S32" s="377"/>
      <c r="T32" s="358" t="s">
        <v>906</v>
      </c>
      <c r="U32" s="55"/>
      <c r="V32" s="55"/>
      <c r="W32" s="55"/>
      <c r="X32" s="376"/>
      <c r="Z32" s="358" t="s">
        <v>906</v>
      </c>
      <c r="AA32" s="55"/>
      <c r="AB32" s="55"/>
      <c r="AC32" s="303">
        <v>5.6</v>
      </c>
      <c r="AD32" s="376">
        <v>5.6</v>
      </c>
    </row>
    <row r="33">
      <c r="M33" s="309"/>
      <c r="Q33" s="4"/>
      <c r="R33" s="55"/>
      <c r="S33" s="377"/>
      <c r="T33" s="358" t="s">
        <v>908</v>
      </c>
      <c r="U33" s="55"/>
      <c r="V33" s="55"/>
      <c r="W33" s="55"/>
      <c r="X33" s="376"/>
      <c r="Z33" s="358" t="s">
        <v>908</v>
      </c>
      <c r="AA33" s="55"/>
      <c r="AB33" s="55"/>
      <c r="AC33" s="303">
        <v>5.9</v>
      </c>
      <c r="AD33" s="376">
        <v>5.8</v>
      </c>
    </row>
    <row r="34">
      <c r="M34" s="309"/>
      <c r="Q34" s="4"/>
      <c r="R34" s="55"/>
      <c r="S34" s="377"/>
      <c r="T34" s="378" t="s">
        <v>910</v>
      </c>
      <c r="U34" s="55"/>
      <c r="V34" s="55"/>
      <c r="W34" s="55"/>
      <c r="X34" s="379"/>
      <c r="Z34" s="358"/>
      <c r="AA34" s="394"/>
      <c r="AB34" s="394"/>
      <c r="AC34" s="394"/>
      <c r="AD34" s="449"/>
    </row>
    <row r="35">
      <c r="M35" s="308"/>
      <c r="Q35" s="4"/>
      <c r="R35" s="55"/>
      <c r="S35" s="53"/>
      <c r="T35" s="380" t="s">
        <v>912</v>
      </c>
      <c r="U35" s="381"/>
      <c r="V35" s="381"/>
      <c r="W35" s="382"/>
      <c r="X35" s="383"/>
      <c r="Z35" s="380" t="s">
        <v>912</v>
      </c>
      <c r="AA35" s="450"/>
      <c r="AB35" s="450"/>
      <c r="AC35" s="451"/>
      <c r="AD35" s="379">
        <f>AVERAGE(AD29:AD33)</f>
        <v>5.66</v>
      </c>
    </row>
    <row r="36">
      <c r="M36" s="308"/>
      <c r="Q36" s="4"/>
      <c r="R36" s="55"/>
      <c r="S36" s="384" t="s">
        <v>286</v>
      </c>
      <c r="T36" s="385"/>
      <c r="U36" s="61" t="s">
        <v>762</v>
      </c>
      <c r="V36" s="61" t="s">
        <v>763</v>
      </c>
      <c r="W36" s="61" t="s">
        <v>764</v>
      </c>
      <c r="X36" s="61" t="s">
        <v>765</v>
      </c>
      <c r="Z36" s="385"/>
      <c r="AA36" s="61" t="s">
        <v>1120</v>
      </c>
      <c r="AB36" s="61" t="s">
        <v>1121</v>
      </c>
      <c r="AC36" s="61" t="s">
        <v>1122</v>
      </c>
      <c r="AD36" s="61" t="s">
        <v>1123</v>
      </c>
    </row>
    <row r="37">
      <c r="S37" s="55"/>
      <c r="T37" s="386" t="s">
        <v>468</v>
      </c>
      <c r="U37" s="417">
        <v>21.0</v>
      </c>
      <c r="V37" s="418">
        <v>20.0</v>
      </c>
      <c r="W37" s="418">
        <v>17.0</v>
      </c>
      <c r="X37" s="441">
        <v>16.0</v>
      </c>
      <c r="Y37" s="3" t="s">
        <v>1216</v>
      </c>
      <c r="Z37" s="386" t="s">
        <v>468</v>
      </c>
      <c r="AA37" s="431">
        <v>15.0</v>
      </c>
      <c r="AB37" s="432">
        <v>14.0</v>
      </c>
      <c r="AC37" s="432">
        <v>13.5</v>
      </c>
      <c r="AD37" s="432">
        <v>13.0</v>
      </c>
    </row>
    <row r="38">
      <c r="N38" s="31" t="s">
        <v>586</v>
      </c>
      <c r="S38" s="55"/>
      <c r="T38" s="386" t="s">
        <v>469</v>
      </c>
      <c r="U38" s="419">
        <v>21.0</v>
      </c>
      <c r="V38" s="420">
        <v>20.0</v>
      </c>
      <c r="W38" s="418">
        <v>17.0</v>
      </c>
      <c r="X38" s="442">
        <v>16.0</v>
      </c>
      <c r="Z38" s="386" t="s">
        <v>469</v>
      </c>
      <c r="AA38" s="433">
        <v>15.0</v>
      </c>
      <c r="AB38" s="433">
        <v>14.0</v>
      </c>
      <c r="AC38" s="433">
        <v>13.0</v>
      </c>
      <c r="AD38" s="434">
        <v>12.0</v>
      </c>
    </row>
    <row r="39">
      <c r="N39" s="3" t="s">
        <v>587</v>
      </c>
      <c r="Q39" s="3" t="s">
        <v>588</v>
      </c>
      <c r="S39" s="55"/>
      <c r="T39" s="386" t="s">
        <v>470</v>
      </c>
      <c r="U39" s="417">
        <v>21.0</v>
      </c>
      <c r="V39" s="421">
        <v>20.0</v>
      </c>
      <c r="W39" s="418">
        <v>17.0</v>
      </c>
      <c r="X39" s="421">
        <v>16.0</v>
      </c>
      <c r="Z39" s="386" t="s">
        <v>470</v>
      </c>
      <c r="AA39" s="431">
        <v>15.0</v>
      </c>
      <c r="AB39" s="432">
        <v>14.0</v>
      </c>
      <c r="AC39" s="432">
        <v>13.0</v>
      </c>
      <c r="AD39" s="432">
        <v>12.0</v>
      </c>
    </row>
    <row r="40">
      <c r="N40" s="3" t="s">
        <v>589</v>
      </c>
      <c r="Q40" s="3" t="s">
        <v>590</v>
      </c>
      <c r="S40" s="394"/>
      <c r="T40" s="395" t="s">
        <v>906</v>
      </c>
      <c r="U40" s="419">
        <v>21.0</v>
      </c>
      <c r="V40" s="420">
        <v>20.0</v>
      </c>
      <c r="W40" s="418">
        <v>17.0</v>
      </c>
      <c r="X40" s="442">
        <v>16.0</v>
      </c>
      <c r="Z40" s="395" t="s">
        <v>906</v>
      </c>
      <c r="AA40" s="433">
        <v>15.0</v>
      </c>
      <c r="AB40" s="433">
        <v>14.0</v>
      </c>
      <c r="AC40" s="433">
        <v>13.0</v>
      </c>
      <c r="AD40" s="434">
        <v>12.0</v>
      </c>
      <c r="AE40" s="3" t="s">
        <v>1200</v>
      </c>
    </row>
    <row r="41">
      <c r="N41" s="3" t="s">
        <v>591</v>
      </c>
      <c r="Q41" s="3" t="s">
        <v>592</v>
      </c>
      <c r="S41" s="394"/>
      <c r="T41" s="395" t="s">
        <v>908</v>
      </c>
      <c r="U41" s="417"/>
      <c r="V41" s="418"/>
      <c r="W41" s="418">
        <v>17.0</v>
      </c>
      <c r="X41" s="441">
        <v>16.0</v>
      </c>
      <c r="Z41" s="395" t="s">
        <v>908</v>
      </c>
      <c r="AA41" s="431">
        <v>15.0</v>
      </c>
      <c r="AB41" s="431">
        <v>14.0</v>
      </c>
      <c r="AC41" s="431">
        <v>13.0</v>
      </c>
      <c r="AD41" s="431">
        <v>12.0</v>
      </c>
      <c r="AE41" s="3" t="s">
        <v>1200</v>
      </c>
    </row>
    <row r="42">
      <c r="N42" s="3" t="s">
        <v>593</v>
      </c>
      <c r="Q42" s="3" t="s">
        <v>594</v>
      </c>
      <c r="S42" s="394"/>
      <c r="T42" s="400" t="s">
        <v>910</v>
      </c>
      <c r="U42" s="359">
        <f t="shared" ref="U42:X42" si="22">AVERAGE(U37:U39)</f>
        <v>21</v>
      </c>
      <c r="V42" s="359">
        <f t="shared" si="22"/>
        <v>20</v>
      </c>
      <c r="W42" s="359">
        <f t="shared" si="22"/>
        <v>17</v>
      </c>
      <c r="X42" s="360">
        <f t="shared" si="22"/>
        <v>16</v>
      </c>
      <c r="Z42" s="452"/>
      <c r="AA42" s="453"/>
      <c r="AB42" s="453"/>
      <c r="AC42" s="453"/>
      <c r="AD42" s="454"/>
    </row>
    <row r="43">
      <c r="N43" s="3" t="s">
        <v>595</v>
      </c>
      <c r="Q43" s="3" t="s">
        <v>596</v>
      </c>
      <c r="S43" s="55"/>
      <c r="T43" s="401" t="s">
        <v>912</v>
      </c>
      <c r="U43" s="362">
        <f t="shared" ref="U43:X43" si="23">AVERAGE(U37:U41)</f>
        <v>21</v>
      </c>
      <c r="V43" s="362">
        <f t="shared" si="23"/>
        <v>20</v>
      </c>
      <c r="W43" s="362">
        <f t="shared" si="23"/>
        <v>17</v>
      </c>
      <c r="X43" s="363">
        <f t="shared" si="23"/>
        <v>16</v>
      </c>
      <c r="Z43" s="401" t="s">
        <v>912</v>
      </c>
      <c r="AA43" s="293">
        <f t="shared" ref="AA43:AD43" si="24">AVERAGE(AA37:AA41)</f>
        <v>15</v>
      </c>
      <c r="AB43" s="293">
        <f t="shared" si="24"/>
        <v>14</v>
      </c>
      <c r="AC43" s="293">
        <f t="shared" si="24"/>
        <v>13.1</v>
      </c>
      <c r="AD43" s="383">
        <f t="shared" si="24"/>
        <v>12.2</v>
      </c>
    </row>
    <row r="44">
      <c r="N44" s="3" t="s">
        <v>597</v>
      </c>
      <c r="Q44" s="3" t="s">
        <v>598</v>
      </c>
      <c r="S44" s="384" t="s">
        <v>78</v>
      </c>
      <c r="T44" s="402" t="s">
        <v>786</v>
      </c>
      <c r="U44" s="403"/>
      <c r="V44" s="403"/>
      <c r="W44" s="403"/>
      <c r="X44" s="412">
        <v>0.9</v>
      </c>
      <c r="Y44" s="3" t="s">
        <v>1217</v>
      </c>
      <c r="Z44" s="402" t="s">
        <v>786</v>
      </c>
      <c r="AA44" s="403"/>
      <c r="AB44" s="403"/>
      <c r="AC44" s="403"/>
      <c r="AD44" s="412">
        <v>1.3</v>
      </c>
      <c r="AE44" s="3" t="s">
        <v>1218</v>
      </c>
    </row>
    <row r="45">
      <c r="N45" s="3" t="s">
        <v>599</v>
      </c>
      <c r="Q45" s="3" t="s">
        <v>600</v>
      </c>
      <c r="S45" s="55"/>
      <c r="T45" s="405" t="s">
        <v>468</v>
      </c>
      <c r="U45" s="55"/>
      <c r="V45" s="55"/>
      <c r="W45" s="55"/>
      <c r="X45" s="376"/>
      <c r="Z45" s="405" t="s">
        <v>468</v>
      </c>
      <c r="AA45" s="55"/>
      <c r="AB45" s="55"/>
      <c r="AC45" s="55"/>
      <c r="AD45" s="376">
        <v>1.0</v>
      </c>
    </row>
    <row r="46">
      <c r="S46" s="55"/>
      <c r="T46" s="405" t="s">
        <v>469</v>
      </c>
      <c r="U46" s="55"/>
      <c r="V46" s="55"/>
      <c r="W46" s="55"/>
      <c r="X46" s="376"/>
      <c r="Z46" s="405" t="s">
        <v>469</v>
      </c>
      <c r="AA46" s="55"/>
      <c r="AB46" s="55"/>
      <c r="AC46" s="55"/>
      <c r="AD46" s="376">
        <v>0.0</v>
      </c>
    </row>
    <row r="47">
      <c r="N47" s="3" t="s">
        <v>601</v>
      </c>
      <c r="Q47" s="3" t="s">
        <v>602</v>
      </c>
      <c r="S47" s="55"/>
      <c r="T47" s="405" t="s">
        <v>470</v>
      </c>
      <c r="U47" s="55"/>
      <c r="V47" s="55"/>
      <c r="W47" s="55"/>
      <c r="X47" s="376"/>
      <c r="Z47" s="405" t="s">
        <v>470</v>
      </c>
      <c r="AA47" s="55"/>
      <c r="AB47" s="55"/>
      <c r="AC47" s="55"/>
      <c r="AD47" s="376">
        <v>1.3</v>
      </c>
    </row>
    <row r="48">
      <c r="Q48" s="3" t="s">
        <v>603</v>
      </c>
      <c r="S48" s="394"/>
      <c r="T48" s="407" t="s">
        <v>906</v>
      </c>
      <c r="U48" s="55"/>
      <c r="V48" s="55"/>
      <c r="W48" s="55"/>
      <c r="X48" s="376"/>
      <c r="Z48" s="407" t="s">
        <v>906</v>
      </c>
      <c r="AA48" s="55"/>
      <c r="AB48" s="55"/>
      <c r="AC48" s="55"/>
      <c r="AD48" s="376">
        <v>0.7</v>
      </c>
    </row>
    <row r="49">
      <c r="N49" s="3" t="s">
        <v>604</v>
      </c>
      <c r="S49" s="394"/>
      <c r="T49" s="407" t="s">
        <v>908</v>
      </c>
      <c r="U49" s="55"/>
      <c r="V49" s="408"/>
      <c r="W49" s="408"/>
      <c r="X49" s="376"/>
      <c r="Z49" s="407" t="s">
        <v>908</v>
      </c>
      <c r="AA49" s="55"/>
      <c r="AB49" s="408"/>
      <c r="AC49" s="408"/>
      <c r="AD49" s="376">
        <v>0.8</v>
      </c>
    </row>
    <row r="50">
      <c r="R50" s="3" t="s">
        <v>605</v>
      </c>
      <c r="S50" s="394"/>
      <c r="T50" s="409" t="s">
        <v>910</v>
      </c>
      <c r="U50" s="55"/>
      <c r="V50" s="53"/>
      <c r="W50" s="55"/>
      <c r="X50" s="379" t="str">
        <f>AVERAGE(X45:X47)</f>
        <v>#DIV/0!</v>
      </c>
      <c r="Z50" s="455"/>
      <c r="AA50" s="456"/>
      <c r="AB50" s="457"/>
      <c r="AC50" s="456"/>
      <c r="AD50" s="458"/>
    </row>
    <row r="51">
      <c r="N51" s="3" t="s">
        <v>606</v>
      </c>
      <c r="R51" s="3" t="s">
        <v>607</v>
      </c>
      <c r="S51" s="55"/>
      <c r="T51" s="361" t="s">
        <v>912</v>
      </c>
      <c r="U51" s="382"/>
      <c r="V51" s="410"/>
      <c r="W51" s="410"/>
      <c r="X51" s="383" t="str">
        <f>AVERAGE(X45:X49)</f>
        <v>#DIV/0!</v>
      </c>
      <c r="Z51" s="361" t="s">
        <v>912</v>
      </c>
      <c r="AA51" s="451"/>
      <c r="AB51" s="459"/>
      <c r="AC51" s="459"/>
      <c r="AD51" s="379">
        <f>AVERAGE(AD45:AD49)</f>
        <v>0.76</v>
      </c>
    </row>
    <row r="52">
      <c r="N52" s="65">
        <f>60%*47.5</f>
        <v>28.5</v>
      </c>
      <c r="O52" s="3" t="s">
        <v>608</v>
      </c>
      <c r="R52" s="65">
        <f>60%*55</f>
        <v>33</v>
      </c>
      <c r="T52" s="343">
        <v>2025.0</v>
      </c>
      <c r="Z52" s="343">
        <v>2026.0</v>
      </c>
    </row>
    <row r="53">
      <c r="N53" s="65">
        <f>N52*72%</f>
        <v>20.52</v>
      </c>
      <c r="O53" s="3" t="s">
        <v>609</v>
      </c>
      <c r="R53" s="65">
        <f>R52*83%</f>
        <v>27.39</v>
      </c>
    </row>
    <row r="54">
      <c r="N54" s="65">
        <f>N52-N53</f>
        <v>7.98</v>
      </c>
      <c r="O54" s="3" t="s">
        <v>610</v>
      </c>
      <c r="R54" s="65">
        <f>R52-R53</f>
        <v>5.61</v>
      </c>
    </row>
    <row r="55">
      <c r="N55" s="3" t="s">
        <v>1256</v>
      </c>
      <c r="Q55" s="3" t="s">
        <v>1257</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1258</v>
      </c>
    </row>
    <row r="64">
      <c r="Q64" s="3" t="s">
        <v>623</v>
      </c>
    </row>
    <row r="65">
      <c r="Q65" s="3" t="s">
        <v>616</v>
      </c>
    </row>
    <row r="66">
      <c r="Q66" s="3" t="s">
        <v>618</v>
      </c>
    </row>
    <row r="68">
      <c r="P68" s="218" t="s">
        <v>619</v>
      </c>
      <c r="Q68" s="31" t="s">
        <v>624</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46128.0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61" t="s">
        <v>1259</v>
      </c>
      <c r="AF1" s="61" t="s">
        <v>1260</v>
      </c>
      <c r="AG1" s="61" t="s">
        <v>1261</v>
      </c>
      <c r="AH1" s="61" t="s">
        <v>1262</v>
      </c>
      <c r="AI1" s="61">
        <v>2027.0</v>
      </c>
      <c r="AJ1" s="3"/>
      <c r="AK1" s="3"/>
      <c r="AL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525</v>
      </c>
      <c r="AA2" s="224" t="s">
        <v>526</v>
      </c>
      <c r="AB2" s="224" t="s">
        <v>526</v>
      </c>
      <c r="AC2" s="224" t="s">
        <v>526</v>
      </c>
      <c r="AD2" s="3" t="s">
        <v>527</v>
      </c>
      <c r="AE2" s="224" t="s">
        <v>526</v>
      </c>
      <c r="AF2" s="224" t="s">
        <v>526</v>
      </c>
      <c r="AG2" s="224" t="s">
        <v>526</v>
      </c>
      <c r="AH2" s="224" t="s">
        <v>526</v>
      </c>
      <c r="AI2" s="3" t="s">
        <v>527</v>
      </c>
      <c r="AJ2" s="213" t="s">
        <v>1263</v>
      </c>
      <c r="AK2" s="213"/>
      <c r="AL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304">
        <v>78.0</v>
      </c>
      <c r="AA3" s="266">
        <v>76.0</v>
      </c>
      <c r="AB3" s="266">
        <v>77.0</v>
      </c>
      <c r="AC3" s="266">
        <v>79.0</v>
      </c>
      <c r="AD3" s="258">
        <f t="shared" ref="AD3:AD7" si="4">AVERAGE(Z3:AC3)</f>
        <v>77.5</v>
      </c>
      <c r="AE3" s="266">
        <v>78.0</v>
      </c>
      <c r="AF3" s="266">
        <v>79.0</v>
      </c>
      <c r="AG3" s="266">
        <v>81.0</v>
      </c>
      <c r="AH3" s="266">
        <v>83.0</v>
      </c>
      <c r="AI3" s="258">
        <f t="shared" ref="AI3:AI7" si="5">AVERAGE(AE3:AH3)</f>
        <v>80.25</v>
      </c>
      <c r="AJ3" s="215">
        <f t="shared" ref="AJ3:AJ8" si="6">AD3/Y3-1</f>
        <v>-0.07407407407</v>
      </c>
      <c r="AK3" s="3"/>
      <c r="AL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304">
        <v>83.0</v>
      </c>
      <c r="AA4" s="264">
        <v>120.0</v>
      </c>
      <c r="AB4" s="264">
        <v>80.0</v>
      </c>
      <c r="AC4" s="264">
        <v>75.0</v>
      </c>
      <c r="AD4" s="258">
        <f t="shared" si="4"/>
        <v>89.5</v>
      </c>
      <c r="AE4" s="264">
        <v>76.0</v>
      </c>
      <c r="AF4" s="264">
        <v>74.0</v>
      </c>
      <c r="AG4" s="264">
        <v>73.0</v>
      </c>
      <c r="AH4" s="264">
        <v>72.0</v>
      </c>
      <c r="AI4" s="258">
        <f t="shared" si="5"/>
        <v>73.75</v>
      </c>
      <c r="AJ4" s="215">
        <f t="shared" si="6"/>
        <v>0.2933526012</v>
      </c>
      <c r="AK4" s="3"/>
      <c r="AL4" s="3" t="s">
        <v>1244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7">V4-V6</f>
        <v>56</v>
      </c>
      <c r="W5" s="254">
        <f t="shared" si="7"/>
        <v>56</v>
      </c>
      <c r="X5" s="254">
        <v>45.0</v>
      </c>
      <c r="Y5" s="248">
        <f t="shared" si="3"/>
        <v>55.15</v>
      </c>
      <c r="Z5" s="347">
        <v>54.24</v>
      </c>
      <c r="AA5" s="430">
        <f t="shared" ref="AA5:AC5" si="8">AA4-AA6</f>
        <v>95</v>
      </c>
      <c r="AB5" s="264">
        <f t="shared" si="8"/>
        <v>60</v>
      </c>
      <c r="AC5" s="264">
        <f t="shared" si="8"/>
        <v>60</v>
      </c>
      <c r="AD5" s="258">
        <f t="shared" si="4"/>
        <v>67.31</v>
      </c>
      <c r="AE5" s="264">
        <f t="shared" ref="AE5:AH5" si="9">AE4-AE6</f>
        <v>61</v>
      </c>
      <c r="AF5" s="264">
        <f t="shared" si="9"/>
        <v>59</v>
      </c>
      <c r="AG5" s="264">
        <f t="shared" si="9"/>
        <v>58</v>
      </c>
      <c r="AH5" s="264">
        <f t="shared" si="9"/>
        <v>57</v>
      </c>
      <c r="AI5" s="258">
        <f t="shared" si="5"/>
        <v>58.75</v>
      </c>
      <c r="AJ5" s="215">
        <f t="shared" si="6"/>
        <v>0.2204895739</v>
      </c>
      <c r="AK5" s="3"/>
      <c r="AL5" s="3" t="s">
        <v>1245</v>
      </c>
    </row>
    <row r="6" ht="26.25" customHeight="1">
      <c r="A6" s="245" t="s">
        <v>643</v>
      </c>
      <c r="B6" s="4"/>
      <c r="C6" s="4"/>
      <c r="D6" s="54"/>
      <c r="E6" s="54"/>
      <c r="F6" s="54"/>
      <c r="G6" s="54"/>
      <c r="H6" s="54"/>
      <c r="I6" s="112"/>
      <c r="J6" s="112"/>
      <c r="K6" s="263">
        <f t="shared" ref="K6:O6" si="10">K4-K5</f>
        <v>29</v>
      </c>
      <c r="L6" s="263">
        <f t="shared" si="10"/>
        <v>24</v>
      </c>
      <c r="M6" s="246">
        <f t="shared" si="10"/>
        <v>21.3</v>
      </c>
      <c r="N6" s="246">
        <f t="shared" si="10"/>
        <v>14.9</v>
      </c>
      <c r="O6" s="248">
        <f t="shared" si="10"/>
        <v>22.3</v>
      </c>
      <c r="P6" s="255">
        <v>15.0</v>
      </c>
      <c r="Q6" s="254">
        <f t="shared" ref="Q6:R6" si="11">Q4-Q5</f>
        <v>13.6</v>
      </c>
      <c r="R6" s="255">
        <f t="shared" si="11"/>
        <v>16</v>
      </c>
      <c r="S6" s="255">
        <v>10.0</v>
      </c>
      <c r="T6" s="248">
        <f t="shared" si="2"/>
        <v>13.65</v>
      </c>
      <c r="U6" s="347">
        <f>U4-U5</f>
        <v>12.2</v>
      </c>
      <c r="V6" s="255">
        <v>12.0</v>
      </c>
      <c r="W6" s="255">
        <v>13.0</v>
      </c>
      <c r="X6" s="254">
        <v>18.4</v>
      </c>
      <c r="Y6" s="258">
        <f t="shared" si="3"/>
        <v>13.9</v>
      </c>
      <c r="Z6" s="347">
        <f>Z4-Z5</f>
        <v>28.76</v>
      </c>
      <c r="AA6" s="264">
        <v>25.0</v>
      </c>
      <c r="AB6" s="264">
        <v>20.0</v>
      </c>
      <c r="AC6" s="264">
        <v>15.0</v>
      </c>
      <c r="AD6" s="258">
        <f t="shared" si="4"/>
        <v>22.19</v>
      </c>
      <c r="AE6" s="264">
        <v>15.0</v>
      </c>
      <c r="AF6" s="264">
        <v>15.0</v>
      </c>
      <c r="AG6" s="264">
        <v>15.0</v>
      </c>
      <c r="AH6" s="264">
        <v>15.0</v>
      </c>
      <c r="AI6" s="258">
        <f t="shared" si="5"/>
        <v>15</v>
      </c>
      <c r="AJ6" s="215">
        <f t="shared" si="6"/>
        <v>0.5964028777</v>
      </c>
      <c r="AK6" s="3"/>
      <c r="AL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82">
        <v>5.9</v>
      </c>
      <c r="AA7" s="267">
        <v>5.9</v>
      </c>
      <c r="AB7" s="267">
        <v>5.2</v>
      </c>
      <c r="AC7" s="267">
        <v>5.8</v>
      </c>
      <c r="AD7" s="258">
        <f t="shared" si="4"/>
        <v>5.7</v>
      </c>
      <c r="AE7" s="267">
        <v>5.6</v>
      </c>
      <c r="AF7" s="267">
        <v>5.4</v>
      </c>
      <c r="AG7" s="267">
        <v>5.2</v>
      </c>
      <c r="AH7" s="267">
        <v>5.0</v>
      </c>
      <c r="AI7" s="258">
        <f t="shared" si="5"/>
        <v>5.3</v>
      </c>
      <c r="AJ7" s="215">
        <f t="shared" si="6"/>
        <v>-0.3153153153</v>
      </c>
      <c r="AK7" s="99"/>
      <c r="AL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71">
        <v>15.0</v>
      </c>
      <c r="AA8" s="269">
        <v>14.0</v>
      </c>
      <c r="AB8" s="269">
        <v>13.0</v>
      </c>
      <c r="AC8" s="269">
        <v>12.5</v>
      </c>
      <c r="AD8" s="258">
        <v>14.1</v>
      </c>
      <c r="AE8" s="269">
        <v>12.0</v>
      </c>
      <c r="AF8" s="269">
        <v>11.0</v>
      </c>
      <c r="AG8" s="269">
        <v>10.5</v>
      </c>
      <c r="AH8" s="269">
        <v>10.0</v>
      </c>
      <c r="AI8" s="258">
        <v>11.2</v>
      </c>
      <c r="AJ8" s="215">
        <f t="shared" si="6"/>
        <v>-0.265625</v>
      </c>
    </row>
    <row r="9" hidden="1">
      <c r="A9" s="252" t="s">
        <v>766</v>
      </c>
      <c r="E9" s="114"/>
      <c r="F9" s="115"/>
      <c r="G9" s="115"/>
      <c r="H9" s="115"/>
      <c r="I9" s="112"/>
      <c r="J9" s="112"/>
      <c r="T9" s="103"/>
      <c r="U9" s="54"/>
      <c r="V9" s="287" t="s">
        <v>767</v>
      </c>
      <c r="W9" s="54"/>
      <c r="X9" s="54"/>
      <c r="Y9" s="103"/>
    </row>
    <row r="10">
      <c r="E10" s="114"/>
      <c r="F10" s="115"/>
      <c r="G10" s="115"/>
      <c r="H10" s="115"/>
      <c r="I10" s="112"/>
      <c r="J10" s="112"/>
      <c r="Y10" s="414">
        <f>Y4/T4-1</f>
        <v>-0.1419714817</v>
      </c>
      <c r="Z10" s="343">
        <v>2026.0</v>
      </c>
      <c r="AA10" s="348" t="s">
        <v>1120</v>
      </c>
      <c r="AB10" s="348" t="s">
        <v>1121</v>
      </c>
      <c r="AC10" s="348" t="s">
        <v>1122</v>
      </c>
      <c r="AD10" s="349" t="s">
        <v>1123</v>
      </c>
      <c r="AE10" s="343">
        <v>2027.0</v>
      </c>
      <c r="AF10" s="348" t="s">
        <v>1259</v>
      </c>
      <c r="AG10" s="348" t="s">
        <v>1260</v>
      </c>
      <c r="AH10" s="348" t="s">
        <v>1261</v>
      </c>
      <c r="AI10" s="349" t="s">
        <v>1262</v>
      </c>
    </row>
    <row r="11">
      <c r="E11" s="114"/>
      <c r="F11" s="115"/>
      <c r="G11" s="115"/>
      <c r="H11" s="115"/>
      <c r="I11" s="112" t="s">
        <v>406</v>
      </c>
      <c r="J11" s="112" t="s">
        <v>406</v>
      </c>
      <c r="Y11" s="350" t="s">
        <v>1006</v>
      </c>
      <c r="Z11" s="351" t="s">
        <v>54</v>
      </c>
      <c r="AA11" s="411"/>
      <c r="AB11" s="411">
        <v>95.0</v>
      </c>
      <c r="AC11" s="411">
        <v>88.0</v>
      </c>
      <c r="AD11" s="411">
        <v>83.0</v>
      </c>
      <c r="AE11" s="351" t="s">
        <v>54</v>
      </c>
      <c r="AF11" s="411">
        <v>80.0</v>
      </c>
      <c r="AG11" s="411">
        <v>79.0</v>
      </c>
      <c r="AH11" s="411">
        <v>78.0</v>
      </c>
      <c r="AI11" s="411">
        <v>77.0</v>
      </c>
      <c r="AJ11" s="350" t="s">
        <v>1006</v>
      </c>
    </row>
    <row r="12">
      <c r="E12" s="114" t="s">
        <v>241</v>
      </c>
      <c r="F12" s="115" t="s">
        <v>242</v>
      </c>
      <c r="G12" s="115" t="s">
        <v>242</v>
      </c>
      <c r="H12" s="115" t="s">
        <v>194</v>
      </c>
      <c r="I12" s="115" t="s">
        <v>148</v>
      </c>
      <c r="Z12" s="352" t="s">
        <v>468</v>
      </c>
      <c r="AA12" s="354"/>
      <c r="AB12" s="354">
        <v>82.0</v>
      </c>
      <c r="AC12" s="354">
        <v>70.0</v>
      </c>
      <c r="AD12" s="354">
        <v>65.0</v>
      </c>
      <c r="AE12" s="352" t="s">
        <v>468</v>
      </c>
      <c r="AF12" s="354">
        <v>75.0</v>
      </c>
      <c r="AG12" s="354">
        <v>75.0</v>
      </c>
      <c r="AH12" s="354">
        <v>75.0</v>
      </c>
      <c r="AI12" s="354">
        <v>75.0</v>
      </c>
    </row>
    <row r="13">
      <c r="C13" s="4">
        <v>5.7</v>
      </c>
      <c r="D13" s="4">
        <v>6.5</v>
      </c>
      <c r="E13" s="62">
        <v>7.4</v>
      </c>
      <c r="F13" s="54">
        <v>8.1</v>
      </c>
      <c r="G13" s="54"/>
      <c r="H13" s="62"/>
      <c r="I13" s="62"/>
      <c r="J13" s="62"/>
      <c r="Z13" s="352" t="s">
        <v>469</v>
      </c>
      <c r="AA13" s="354"/>
      <c r="AB13" s="354">
        <v>85.0</v>
      </c>
      <c r="AC13" s="354">
        <v>75.0</v>
      </c>
      <c r="AD13" s="354">
        <v>70.0</v>
      </c>
      <c r="AE13" s="352" t="s">
        <v>469</v>
      </c>
      <c r="AF13" s="354">
        <v>75.0</v>
      </c>
      <c r="AG13" s="354">
        <v>73.0</v>
      </c>
      <c r="AH13" s="354">
        <v>71.0</v>
      </c>
      <c r="AI13" s="354">
        <v>70.0</v>
      </c>
    </row>
    <row r="14">
      <c r="D14" s="111"/>
      <c r="E14" s="117"/>
      <c r="F14" s="112"/>
      <c r="G14" s="112"/>
      <c r="H14" s="112"/>
      <c r="I14" s="117"/>
      <c r="J14" s="112"/>
      <c r="T14" s="3" t="s">
        <v>1177</v>
      </c>
      <c r="U14" s="3" t="s">
        <v>1264</v>
      </c>
      <c r="V14" s="4"/>
      <c r="W14" s="55"/>
      <c r="Z14" s="352" t="s">
        <v>470</v>
      </c>
      <c r="AA14" s="354"/>
      <c r="AB14" s="354">
        <v>83.0</v>
      </c>
      <c r="AC14" s="354">
        <v>70.0</v>
      </c>
      <c r="AD14" s="354">
        <v>70.0</v>
      </c>
      <c r="AE14" s="352" t="s">
        <v>470</v>
      </c>
      <c r="AF14" s="354">
        <v>75.0</v>
      </c>
      <c r="AG14" s="354">
        <v>75.0</v>
      </c>
      <c r="AH14" s="354">
        <v>75.0</v>
      </c>
      <c r="AI14" s="354">
        <v>75.0</v>
      </c>
      <c r="AJ14" s="4"/>
      <c r="AK14" s="4"/>
      <c r="AL14" s="4"/>
    </row>
    <row r="15">
      <c r="D15" s="111"/>
      <c r="E15" s="117"/>
      <c r="F15" s="112"/>
      <c r="G15" s="112"/>
      <c r="H15" s="112"/>
      <c r="I15" s="117"/>
      <c r="J15" s="112"/>
      <c r="T15" s="4" t="s">
        <v>652</v>
      </c>
      <c r="U15" s="4" t="s">
        <v>335</v>
      </c>
      <c r="V15" s="4" t="s">
        <v>338</v>
      </c>
      <c r="W15" s="4" t="s">
        <v>581</v>
      </c>
      <c r="Z15" s="436" t="s">
        <v>1225</v>
      </c>
      <c r="AA15" s="354"/>
      <c r="AB15" s="354">
        <v>82.0</v>
      </c>
      <c r="AC15" s="354">
        <v>73.0</v>
      </c>
      <c r="AD15" s="354">
        <v>70.0</v>
      </c>
      <c r="AE15" s="436" t="s">
        <v>1225</v>
      </c>
      <c r="AF15" s="354">
        <v>80.0</v>
      </c>
      <c r="AG15" s="354">
        <v>75.0</v>
      </c>
      <c r="AH15" s="354">
        <v>75.0</v>
      </c>
      <c r="AI15" s="354">
        <v>70.0</v>
      </c>
      <c r="AJ15" s="41"/>
      <c r="AK15" s="41"/>
      <c r="AL15" s="41"/>
    </row>
    <row r="16">
      <c r="D16" s="111" t="s">
        <v>241</v>
      </c>
      <c r="E16" s="117">
        <v>7.0</v>
      </c>
      <c r="F16" s="112">
        <v>7.3</v>
      </c>
      <c r="G16" s="112"/>
      <c r="H16" s="112"/>
      <c r="I16" s="117"/>
      <c r="J16" s="112"/>
      <c r="S16" s="4" t="s">
        <v>62</v>
      </c>
      <c r="T16" s="443">
        <v>77.22</v>
      </c>
      <c r="U16" s="443">
        <v>76.93</v>
      </c>
      <c r="V16" s="443">
        <v>80.54</v>
      </c>
      <c r="W16" s="226">
        <f t="shared" ref="W16:W19" si="12">AVERAGE(T16:V16)</f>
        <v>78.23</v>
      </c>
      <c r="Z16" s="440" t="s">
        <v>468</v>
      </c>
      <c r="AA16" s="354"/>
      <c r="AB16" s="354">
        <v>83.0</v>
      </c>
      <c r="AC16" s="354">
        <v>73.0</v>
      </c>
      <c r="AD16" s="354">
        <v>65.0</v>
      </c>
      <c r="AE16" s="440" t="s">
        <v>468</v>
      </c>
      <c r="AF16" s="354">
        <v>75.0</v>
      </c>
      <c r="AG16" s="354">
        <v>73.0</v>
      </c>
      <c r="AH16" s="354">
        <v>71.0</v>
      </c>
      <c r="AI16" s="354">
        <v>70.0</v>
      </c>
      <c r="AJ16" s="4"/>
      <c r="AK16" s="4"/>
      <c r="AL16" s="4"/>
    </row>
    <row r="17">
      <c r="C17" s="10"/>
      <c r="D17" s="10"/>
      <c r="E17" s="10"/>
      <c r="F17" s="10"/>
      <c r="G17" s="10"/>
      <c r="H17" s="10"/>
      <c r="I17" s="10"/>
      <c r="J17" s="10"/>
      <c r="S17" s="4" t="s">
        <v>1265</v>
      </c>
      <c r="T17" s="443">
        <v>68.0</v>
      </c>
      <c r="U17" s="443">
        <v>73.0</v>
      </c>
      <c r="V17" s="443">
        <v>108.0</v>
      </c>
      <c r="W17" s="226">
        <f t="shared" si="12"/>
        <v>83</v>
      </c>
      <c r="Z17" s="440" t="s">
        <v>906</v>
      </c>
      <c r="AA17" s="444"/>
      <c r="AB17" s="445">
        <v>85.0</v>
      </c>
      <c r="AC17" s="445">
        <v>75.0</v>
      </c>
      <c r="AD17" s="446">
        <v>72.0</v>
      </c>
      <c r="AE17" s="440" t="s">
        <v>906</v>
      </c>
      <c r="AF17" s="445">
        <v>75.0</v>
      </c>
      <c r="AG17" s="445">
        <v>73.0</v>
      </c>
      <c r="AH17" s="445">
        <v>71.0</v>
      </c>
      <c r="AI17" s="446">
        <v>70.0</v>
      </c>
    </row>
    <row r="18">
      <c r="E18" s="118"/>
      <c r="F18" s="118"/>
      <c r="G18" s="118"/>
      <c r="H18" s="118"/>
      <c r="I18" s="118"/>
      <c r="J18" s="118"/>
      <c r="K18" s="425">
        <v>78.9</v>
      </c>
      <c r="L18" s="426">
        <v>80.1</v>
      </c>
      <c r="S18" s="4" t="s">
        <v>582</v>
      </c>
      <c r="T18" s="443">
        <v>40.3</v>
      </c>
      <c r="U18" s="443">
        <v>45.4</v>
      </c>
      <c r="V18" s="443">
        <v>77.02</v>
      </c>
      <c r="W18" s="226">
        <f t="shared" si="12"/>
        <v>54.24</v>
      </c>
      <c r="Z18" s="361" t="s">
        <v>912</v>
      </c>
      <c r="AA18" s="359"/>
      <c r="AB18" s="359">
        <f t="shared" ref="AB18:AD18" si="13">AVERAGE(AB12:AB17)</f>
        <v>83.33333333</v>
      </c>
      <c r="AC18" s="359">
        <f t="shared" si="13"/>
        <v>72.66666667</v>
      </c>
      <c r="AD18" s="359">
        <f t="shared" si="13"/>
        <v>68.66666667</v>
      </c>
      <c r="AE18" s="361" t="s">
        <v>912</v>
      </c>
      <c r="AF18" s="359">
        <f t="shared" ref="AF18:AI18" si="14">AVERAGE(AF12:AF17)</f>
        <v>75.83333333</v>
      </c>
      <c r="AG18" s="359">
        <f t="shared" si="14"/>
        <v>74</v>
      </c>
      <c r="AH18" s="359">
        <f t="shared" si="14"/>
        <v>73</v>
      </c>
      <c r="AI18" s="359">
        <f t="shared" si="14"/>
        <v>71.66666667</v>
      </c>
      <c r="AJ18" s="4"/>
      <c r="AK18" s="4"/>
      <c r="AL18" s="4"/>
    </row>
    <row r="19">
      <c r="E19" s="118"/>
      <c r="F19" s="118"/>
      <c r="G19" s="118"/>
      <c r="H19" s="118"/>
      <c r="I19" s="118"/>
      <c r="J19" s="118"/>
      <c r="K19" s="425">
        <v>10.98</v>
      </c>
      <c r="L19" s="426">
        <v>11.12</v>
      </c>
      <c r="S19" s="4" t="s">
        <v>1214</v>
      </c>
      <c r="T19" s="117">
        <f t="shared" ref="T19:U19" si="15">T17-T18</f>
        <v>27.7</v>
      </c>
      <c r="U19" s="117">
        <f t="shared" si="15"/>
        <v>27.6</v>
      </c>
      <c r="V19" s="112">
        <v>25.0</v>
      </c>
      <c r="W19" s="226">
        <f t="shared" si="12"/>
        <v>26.76666667</v>
      </c>
      <c r="Z19" s="364"/>
      <c r="AA19" s="427">
        <v>46112.0</v>
      </c>
      <c r="AB19" s="365">
        <f t="shared" ref="AB19:AD19" si="16">EOMONTH(AA19,3)</f>
        <v>46203</v>
      </c>
      <c r="AC19" s="365">
        <f t="shared" si="16"/>
        <v>46295</v>
      </c>
      <c r="AD19" s="365">
        <f t="shared" si="16"/>
        <v>46387</v>
      </c>
      <c r="AE19" s="364"/>
      <c r="AF19" s="427">
        <v>46477.0</v>
      </c>
      <c r="AG19" s="365">
        <f t="shared" ref="AG19:AI19" si="17">EOMONTH(AF19,3)</f>
        <v>46568</v>
      </c>
      <c r="AH19" s="365">
        <f t="shared" si="17"/>
        <v>46660</v>
      </c>
      <c r="AI19" s="365">
        <f t="shared" si="17"/>
        <v>46752</v>
      </c>
    </row>
    <row r="20">
      <c r="E20" s="118"/>
      <c r="F20" s="118"/>
      <c r="G20" s="118"/>
      <c r="H20" s="118"/>
      <c r="I20" s="118"/>
      <c r="J20" s="118"/>
      <c r="K20" s="425">
        <v>7.14</v>
      </c>
      <c r="L20" s="426">
        <v>7.18</v>
      </c>
      <c r="R20" s="308"/>
      <c r="Y20" s="366" t="s">
        <v>1011</v>
      </c>
      <c r="Z20" s="367" t="s">
        <v>786</v>
      </c>
      <c r="AA20" s="348"/>
      <c r="AB20" s="348">
        <v>77.0</v>
      </c>
      <c r="AC20" s="348">
        <v>76.0</v>
      </c>
      <c r="AD20" s="349">
        <v>77.0</v>
      </c>
      <c r="AE20" s="367" t="s">
        <v>786</v>
      </c>
      <c r="AF20" s="348">
        <v>76.0</v>
      </c>
      <c r="AG20" s="348">
        <v>77.0</v>
      </c>
      <c r="AH20" s="348">
        <v>80.0</v>
      </c>
      <c r="AI20" s="349">
        <v>80.0</v>
      </c>
      <c r="AJ20" s="366" t="s">
        <v>1011</v>
      </c>
    </row>
    <row r="21">
      <c r="E21" s="118"/>
      <c r="F21" s="118"/>
      <c r="G21" s="118"/>
      <c r="H21" s="118"/>
      <c r="I21" s="118"/>
      <c r="J21" s="118"/>
      <c r="K21" s="425">
        <v>93.4</v>
      </c>
      <c r="L21" s="426">
        <v>93.2</v>
      </c>
      <c r="P21" s="3" t="s">
        <v>1266</v>
      </c>
      <c r="R21" s="309"/>
      <c r="S21" s="19" t="s">
        <v>1264</v>
      </c>
      <c r="T21" s="4" t="s">
        <v>340</v>
      </c>
      <c r="U21" s="4" t="s">
        <v>171</v>
      </c>
      <c r="V21" s="4" t="s">
        <v>343</v>
      </c>
      <c r="W21" s="4" t="s">
        <v>581</v>
      </c>
      <c r="Y21" s="3" t="s">
        <v>1188</v>
      </c>
      <c r="Z21" s="352" t="s">
        <v>468</v>
      </c>
      <c r="AA21" s="354"/>
      <c r="AB21" s="354">
        <v>77.0</v>
      </c>
      <c r="AC21" s="354">
        <v>78.0</v>
      </c>
      <c r="AD21" s="355">
        <v>79.0</v>
      </c>
      <c r="AE21" s="352" t="s">
        <v>468</v>
      </c>
      <c r="AF21" s="354">
        <v>78.0</v>
      </c>
      <c r="AG21" s="354">
        <v>80.0</v>
      </c>
      <c r="AH21" s="354">
        <v>82.0</v>
      </c>
      <c r="AI21" s="355">
        <v>84.0</v>
      </c>
    </row>
    <row r="22">
      <c r="E22" s="118"/>
      <c r="F22" s="118"/>
      <c r="G22" s="118"/>
      <c r="H22" s="118"/>
      <c r="I22" s="118"/>
      <c r="J22" s="118"/>
      <c r="K22" s="425">
        <v>1.17</v>
      </c>
      <c r="L22" s="426">
        <v>1.16</v>
      </c>
      <c r="P22" s="3" t="s">
        <v>1267</v>
      </c>
      <c r="R22" s="309"/>
      <c r="S22" s="4" t="s">
        <v>62</v>
      </c>
      <c r="T22" s="437">
        <v>77.0</v>
      </c>
      <c r="U22" s="437">
        <v>76.0</v>
      </c>
      <c r="V22" s="437">
        <v>76.0</v>
      </c>
      <c r="W22" s="226">
        <f t="shared" ref="W22:W25" si="18">AVERAGE(T22:V22)</f>
        <v>76.33333333</v>
      </c>
      <c r="Z22" s="352" t="s">
        <v>469</v>
      </c>
      <c r="AA22" s="354"/>
      <c r="AB22" s="354">
        <v>75.0</v>
      </c>
      <c r="AC22" s="354">
        <v>77.0</v>
      </c>
      <c r="AD22" s="356">
        <v>80.0</v>
      </c>
      <c r="AE22" s="352" t="s">
        <v>469</v>
      </c>
      <c r="AF22" s="354">
        <v>78.0</v>
      </c>
      <c r="AG22" s="354">
        <v>80.0</v>
      </c>
      <c r="AH22" s="354">
        <v>82.0</v>
      </c>
      <c r="AI22" s="355">
        <v>85.0</v>
      </c>
    </row>
    <row r="23">
      <c r="E23" s="118"/>
      <c r="F23" s="118"/>
      <c r="G23" s="118"/>
      <c r="H23" s="118"/>
      <c r="I23" s="118"/>
      <c r="J23" s="118"/>
      <c r="K23" s="425">
        <v>71.0</v>
      </c>
      <c r="L23" s="426">
        <v>68.0</v>
      </c>
      <c r="P23" s="3" t="s">
        <v>1268</v>
      </c>
      <c r="R23" s="309"/>
      <c r="S23" s="4" t="s">
        <v>28</v>
      </c>
      <c r="T23" s="437">
        <v>136.0</v>
      </c>
      <c r="U23" s="437">
        <v>125.0</v>
      </c>
      <c r="V23" s="437">
        <v>105.0</v>
      </c>
      <c r="W23" s="226">
        <f t="shared" si="18"/>
        <v>122</v>
      </c>
      <c r="Z23" s="352" t="s">
        <v>470</v>
      </c>
      <c r="AA23" s="354"/>
      <c r="AB23" s="354">
        <v>77.0</v>
      </c>
      <c r="AC23" s="354">
        <v>76.0</v>
      </c>
      <c r="AD23" s="356">
        <v>77.0</v>
      </c>
      <c r="AE23" s="352" t="s">
        <v>470</v>
      </c>
      <c r="AF23" s="354">
        <v>77.0</v>
      </c>
      <c r="AG23" s="354">
        <v>78.0</v>
      </c>
      <c r="AH23" s="354">
        <v>81.0</v>
      </c>
      <c r="AI23" s="354">
        <v>81.0</v>
      </c>
    </row>
    <row r="24">
      <c r="E24" s="118"/>
      <c r="F24" s="118"/>
      <c r="G24" s="118"/>
      <c r="H24" s="118"/>
      <c r="I24" s="118"/>
      <c r="J24" s="118"/>
      <c r="K24" s="425">
        <v>57.4</v>
      </c>
      <c r="L24" s="426">
        <v>56.1</v>
      </c>
      <c r="P24" s="3" t="s">
        <v>1269</v>
      </c>
      <c r="R24" s="309"/>
      <c r="S24" s="4" t="s">
        <v>1270</v>
      </c>
      <c r="T24" s="437">
        <v>105.0</v>
      </c>
      <c r="U24" s="437">
        <v>100.0</v>
      </c>
      <c r="V24" s="437">
        <v>80.0</v>
      </c>
      <c r="W24" s="226">
        <f t="shared" si="18"/>
        <v>95</v>
      </c>
      <c r="Z24" s="357" t="s">
        <v>906</v>
      </c>
      <c r="AA24" s="354"/>
      <c r="AB24" s="354">
        <v>75.0</v>
      </c>
      <c r="AC24" s="354">
        <v>76.0</v>
      </c>
      <c r="AD24" s="355">
        <v>79.0</v>
      </c>
      <c r="AE24" s="357" t="s">
        <v>906</v>
      </c>
      <c r="AF24" s="354">
        <v>78.0</v>
      </c>
      <c r="AG24" s="354">
        <v>78.0</v>
      </c>
      <c r="AH24" s="354">
        <v>80.0</v>
      </c>
      <c r="AI24" s="355">
        <v>80.0</v>
      </c>
    </row>
    <row r="25">
      <c r="E25" s="118"/>
      <c r="F25" s="118"/>
      <c r="G25" s="118"/>
      <c r="H25" s="118"/>
      <c r="I25" s="118"/>
      <c r="J25" s="118"/>
      <c r="P25" s="3" t="s">
        <v>1271</v>
      </c>
      <c r="R25" s="308"/>
      <c r="S25" s="4" t="s">
        <v>1214</v>
      </c>
      <c r="T25" s="117">
        <f t="shared" ref="T25:V25" si="19">T23-T24</f>
        <v>31</v>
      </c>
      <c r="U25" s="117">
        <f t="shared" si="19"/>
        <v>25</v>
      </c>
      <c r="V25" s="117">
        <f t="shared" si="19"/>
        <v>25</v>
      </c>
      <c r="W25" s="226">
        <f t="shared" si="18"/>
        <v>27</v>
      </c>
      <c r="Z25" s="358" t="s">
        <v>908</v>
      </c>
      <c r="AA25" s="354"/>
      <c r="AB25" s="354">
        <v>76.0</v>
      </c>
      <c r="AC25" s="354">
        <v>78.0</v>
      </c>
      <c r="AD25" s="356">
        <v>80.0</v>
      </c>
      <c r="AE25" s="358" t="s">
        <v>908</v>
      </c>
      <c r="AF25" s="354">
        <v>78.0</v>
      </c>
      <c r="AG25" s="354">
        <v>80.0</v>
      </c>
      <c r="AH25" s="354">
        <v>82.0</v>
      </c>
      <c r="AI25" s="355">
        <v>85.0</v>
      </c>
    </row>
    <row r="26">
      <c r="A26" s="3"/>
      <c r="B26" s="12"/>
      <c r="C26" s="12"/>
      <c r="D26" s="13"/>
      <c r="E26" s="13"/>
      <c r="F26" s="13"/>
      <c r="G26" s="13"/>
      <c r="H26" s="13"/>
      <c r="I26" s="13"/>
      <c r="J26" s="13"/>
      <c r="R26" s="308"/>
      <c r="S26" s="309"/>
      <c r="Z26" s="358"/>
      <c r="AA26" s="444"/>
      <c r="AB26" s="444"/>
      <c r="AC26" s="444"/>
      <c r="AD26" s="447"/>
      <c r="AE26" s="358"/>
      <c r="AF26" s="444"/>
      <c r="AG26" s="444"/>
      <c r="AH26" s="444"/>
      <c r="AI26" s="447"/>
    </row>
    <row r="27">
      <c r="P27" s="3" t="s">
        <v>1272</v>
      </c>
      <c r="S27" s="19" t="s">
        <v>1264</v>
      </c>
      <c r="T27" s="4" t="s">
        <v>345</v>
      </c>
      <c r="U27" s="4" t="s">
        <v>347</v>
      </c>
      <c r="V27" s="4" t="s">
        <v>348</v>
      </c>
      <c r="W27" s="4" t="s">
        <v>581</v>
      </c>
      <c r="Z27" s="361" t="s">
        <v>912</v>
      </c>
      <c r="AA27" s="359" t="str">
        <f t="shared" ref="AA27:AD27" si="20">AVERAGE(AA21:AA25)</f>
        <v>#DIV/0!</v>
      </c>
      <c r="AB27" s="359">
        <f t="shared" si="20"/>
        <v>76</v>
      </c>
      <c r="AC27" s="359">
        <f t="shared" si="20"/>
        <v>77</v>
      </c>
      <c r="AD27" s="360">
        <f t="shared" si="20"/>
        <v>79</v>
      </c>
      <c r="AE27" s="361" t="s">
        <v>912</v>
      </c>
      <c r="AF27" s="359">
        <f t="shared" ref="AF27:AI27" si="21">AVERAGE(AF21:AF25)</f>
        <v>77.8</v>
      </c>
      <c r="AG27" s="359">
        <f t="shared" si="21"/>
        <v>79.2</v>
      </c>
      <c r="AH27" s="359">
        <f t="shared" si="21"/>
        <v>81.4</v>
      </c>
      <c r="AI27" s="360">
        <f t="shared" si="21"/>
        <v>83</v>
      </c>
    </row>
    <row r="28">
      <c r="S28" s="4" t="s">
        <v>62</v>
      </c>
      <c r="T28" s="437"/>
      <c r="U28" s="437"/>
      <c r="V28" s="437"/>
      <c r="W28" s="226" t="str">
        <f t="shared" ref="W28:W31" si="22">AVERAGE(T28:V28)</f>
        <v>#DIV/0!</v>
      </c>
      <c r="Y28" s="366" t="s">
        <v>81</v>
      </c>
      <c r="Z28" s="371" t="s">
        <v>786</v>
      </c>
      <c r="AA28" s="372"/>
      <c r="AB28" s="372"/>
      <c r="AC28" s="372"/>
      <c r="AD28" s="373">
        <v>5.7</v>
      </c>
      <c r="AE28" s="371" t="s">
        <v>786</v>
      </c>
      <c r="AF28" s="372"/>
      <c r="AG28" s="372"/>
      <c r="AH28" s="372"/>
      <c r="AI28" s="373">
        <v>5.0</v>
      </c>
      <c r="AJ28" s="366" t="s">
        <v>81</v>
      </c>
    </row>
    <row r="29">
      <c r="Q29" s="4"/>
      <c r="R29" s="55"/>
      <c r="S29" s="4" t="s">
        <v>28</v>
      </c>
      <c r="T29" s="437">
        <v>80.0</v>
      </c>
      <c r="U29" s="437">
        <v>75.0</v>
      </c>
      <c r="V29" s="437">
        <v>75.0</v>
      </c>
      <c r="W29" s="226">
        <f t="shared" si="22"/>
        <v>76.66666667</v>
      </c>
      <c r="Y29" s="99" t="s">
        <v>1273</v>
      </c>
      <c r="Z29" s="374" t="s">
        <v>468</v>
      </c>
      <c r="AA29" s="53"/>
      <c r="AB29" s="53"/>
      <c r="AC29" s="303">
        <v>5.5</v>
      </c>
      <c r="AD29" s="376">
        <v>6.0</v>
      </c>
      <c r="AE29" s="374" t="s">
        <v>468</v>
      </c>
      <c r="AF29" s="53"/>
      <c r="AG29" s="53"/>
      <c r="AH29" s="303"/>
      <c r="AI29" s="376">
        <v>5.0</v>
      </c>
      <c r="AJ29" s="3" t="s">
        <v>1274</v>
      </c>
    </row>
    <row r="30">
      <c r="M30" s="308"/>
      <c r="Q30" s="4"/>
      <c r="R30" s="55"/>
      <c r="S30" s="4" t="s">
        <v>1270</v>
      </c>
      <c r="T30" s="437"/>
      <c r="U30" s="437"/>
      <c r="V30" s="437"/>
      <c r="W30" s="226" t="str">
        <f t="shared" si="22"/>
        <v>#DIV/0!</v>
      </c>
      <c r="Y30" s="99" t="s">
        <v>1193</v>
      </c>
      <c r="Z30" s="352" t="s">
        <v>469</v>
      </c>
      <c r="AA30" s="53"/>
      <c r="AB30" s="53"/>
      <c r="AC30" s="303">
        <v>5.6</v>
      </c>
      <c r="AD30" s="376">
        <v>5.6</v>
      </c>
      <c r="AE30" s="352" t="s">
        <v>469</v>
      </c>
      <c r="AF30" s="53"/>
      <c r="AG30" s="53"/>
      <c r="AH30" s="303"/>
      <c r="AI30" s="376">
        <v>5.0</v>
      </c>
    </row>
    <row r="31">
      <c r="M31" s="309"/>
      <c r="Q31" s="4"/>
      <c r="R31" s="55"/>
      <c r="S31" s="4" t="s">
        <v>1214</v>
      </c>
      <c r="T31" s="117">
        <f t="shared" ref="T31:V31" si="23">T29-T30</f>
        <v>80</v>
      </c>
      <c r="U31" s="117">
        <f t="shared" si="23"/>
        <v>75</v>
      </c>
      <c r="V31" s="117">
        <f t="shared" si="23"/>
        <v>75</v>
      </c>
      <c r="W31" s="226">
        <f t="shared" si="22"/>
        <v>76.66666667</v>
      </c>
      <c r="Y31" s="99" t="s">
        <v>1195</v>
      </c>
      <c r="Z31" s="374" t="s">
        <v>470</v>
      </c>
      <c r="AA31" s="53"/>
      <c r="AB31" s="53"/>
      <c r="AC31" s="303">
        <v>5.8</v>
      </c>
      <c r="AD31" s="376">
        <v>5.7</v>
      </c>
      <c r="AE31" s="374" t="s">
        <v>470</v>
      </c>
      <c r="AF31" s="53"/>
      <c r="AG31" s="53"/>
      <c r="AH31" s="303"/>
      <c r="AI31" s="376">
        <v>5.0</v>
      </c>
    </row>
    <row r="32">
      <c r="M32" s="309"/>
      <c r="Q32" s="4"/>
      <c r="R32" s="55"/>
      <c r="S32" s="377"/>
      <c r="Z32" s="358" t="s">
        <v>906</v>
      </c>
      <c r="AA32" s="55"/>
      <c r="AB32" s="55"/>
      <c r="AC32" s="303">
        <v>5.6</v>
      </c>
      <c r="AD32" s="376">
        <v>5.8</v>
      </c>
      <c r="AE32" s="358" t="s">
        <v>906</v>
      </c>
      <c r="AF32" s="55"/>
      <c r="AG32" s="55"/>
      <c r="AH32" s="303"/>
      <c r="AI32" s="376">
        <v>5.0</v>
      </c>
    </row>
    <row r="33">
      <c r="M33" s="309"/>
      <c r="Q33" s="4"/>
      <c r="R33" s="55"/>
      <c r="S33" s="377"/>
      <c r="Z33" s="358" t="s">
        <v>908</v>
      </c>
      <c r="AA33" s="55"/>
      <c r="AB33" s="55"/>
      <c r="AC33" s="303">
        <v>5.8</v>
      </c>
      <c r="AD33" s="376">
        <v>5.7</v>
      </c>
      <c r="AE33" s="358" t="s">
        <v>908</v>
      </c>
      <c r="AF33" s="55"/>
      <c r="AG33" s="55"/>
      <c r="AH33" s="303"/>
      <c r="AI33" s="376">
        <v>4.8</v>
      </c>
    </row>
    <row r="34">
      <c r="M34" s="309"/>
      <c r="Q34" s="4"/>
      <c r="R34" s="55"/>
      <c r="S34" s="377"/>
      <c r="Z34" s="358"/>
      <c r="AA34" s="394"/>
      <c r="AB34" s="394"/>
      <c r="AC34" s="394"/>
      <c r="AD34" s="449"/>
      <c r="AE34" s="358"/>
      <c r="AF34" s="394"/>
      <c r="AG34" s="394"/>
      <c r="AH34" s="394"/>
      <c r="AI34" s="449"/>
    </row>
    <row r="35">
      <c r="M35" s="308"/>
      <c r="Q35" s="4"/>
      <c r="R35" s="55"/>
      <c r="S35" s="53"/>
      <c r="Z35" s="380" t="s">
        <v>912</v>
      </c>
      <c r="AA35" s="450"/>
      <c r="AB35" s="450"/>
      <c r="AC35" s="451"/>
      <c r="AD35" s="379">
        <f>AVERAGE(AD29:AD33)</f>
        <v>5.76</v>
      </c>
      <c r="AE35" s="380" t="s">
        <v>912</v>
      </c>
      <c r="AF35" s="450"/>
      <c r="AG35" s="450"/>
      <c r="AH35" s="451"/>
      <c r="AI35" s="379">
        <f>AVERAGE(AI29:AI33)</f>
        <v>4.96</v>
      </c>
    </row>
    <row r="36">
      <c r="M36" s="308"/>
      <c r="Q36" s="4"/>
      <c r="R36" s="55"/>
      <c r="S36" s="384" t="s">
        <v>286</v>
      </c>
      <c r="Y36" s="350" t="s">
        <v>1275</v>
      </c>
      <c r="Z36" s="385"/>
      <c r="AA36" s="61" t="s">
        <v>1120</v>
      </c>
      <c r="AB36" s="61" t="s">
        <v>1121</v>
      </c>
      <c r="AC36" s="61" t="s">
        <v>1122</v>
      </c>
      <c r="AD36" s="61" t="s">
        <v>1123</v>
      </c>
      <c r="AE36" s="386" t="s">
        <v>468</v>
      </c>
      <c r="AF36" s="431">
        <v>12.0</v>
      </c>
      <c r="AG36" s="432">
        <v>11.5</v>
      </c>
      <c r="AH36" s="432">
        <v>11.0</v>
      </c>
      <c r="AI36" s="432">
        <v>10.5</v>
      </c>
      <c r="AJ36" s="350" t="s">
        <v>1275</v>
      </c>
    </row>
    <row r="37">
      <c r="S37" s="55"/>
      <c r="Y37" s="3" t="s">
        <v>1216</v>
      </c>
      <c r="Z37" s="386" t="s">
        <v>468</v>
      </c>
      <c r="AA37" s="431">
        <v>15.0</v>
      </c>
      <c r="AB37" s="432">
        <v>14.0</v>
      </c>
      <c r="AC37" s="432">
        <v>13.5</v>
      </c>
      <c r="AD37" s="432">
        <v>13.0</v>
      </c>
      <c r="AE37" s="386" t="s">
        <v>469</v>
      </c>
      <c r="AF37" s="433">
        <v>12.0</v>
      </c>
      <c r="AG37" s="433">
        <v>11.5</v>
      </c>
      <c r="AH37" s="433">
        <v>11.0</v>
      </c>
      <c r="AI37" s="434">
        <v>10.0</v>
      </c>
    </row>
    <row r="38">
      <c r="N38" s="31" t="s">
        <v>586</v>
      </c>
      <c r="S38" s="55"/>
      <c r="Z38" s="386" t="s">
        <v>469</v>
      </c>
      <c r="AA38" s="433">
        <v>15.0</v>
      </c>
      <c r="AB38" s="433">
        <v>14.0</v>
      </c>
      <c r="AC38" s="433">
        <v>13.0</v>
      </c>
      <c r="AD38" s="434">
        <v>12.0</v>
      </c>
      <c r="AE38" s="386" t="s">
        <v>470</v>
      </c>
      <c r="AF38" s="431">
        <v>11.0</v>
      </c>
      <c r="AG38" s="432">
        <v>10.0</v>
      </c>
      <c r="AH38" s="432">
        <v>10.0</v>
      </c>
      <c r="AI38" s="432">
        <v>10.0</v>
      </c>
    </row>
    <row r="39">
      <c r="N39" s="3" t="s">
        <v>587</v>
      </c>
      <c r="Q39" s="3" t="s">
        <v>588</v>
      </c>
      <c r="S39" s="55"/>
      <c r="Z39" s="386" t="s">
        <v>470</v>
      </c>
      <c r="AA39" s="431">
        <v>15.0</v>
      </c>
      <c r="AB39" s="432">
        <v>14.0</v>
      </c>
      <c r="AC39" s="432">
        <v>13.0</v>
      </c>
      <c r="AD39" s="432">
        <v>12.0</v>
      </c>
      <c r="AE39" s="395" t="s">
        <v>906</v>
      </c>
      <c r="AF39" s="433">
        <v>12.0</v>
      </c>
      <c r="AG39" s="433">
        <v>11.5</v>
      </c>
      <c r="AH39" s="433">
        <v>11.0</v>
      </c>
      <c r="AI39" s="434">
        <v>10.5</v>
      </c>
    </row>
    <row r="40">
      <c r="N40" s="3" t="s">
        <v>589</v>
      </c>
      <c r="Q40" s="3" t="s">
        <v>590</v>
      </c>
      <c r="S40" s="394"/>
      <c r="Z40" s="395" t="s">
        <v>906</v>
      </c>
      <c r="AA40" s="433">
        <v>15.0</v>
      </c>
      <c r="AB40" s="433">
        <v>14.0</v>
      </c>
      <c r="AC40" s="433">
        <v>13.0</v>
      </c>
      <c r="AD40" s="434">
        <v>12.5</v>
      </c>
      <c r="AE40" s="395" t="s">
        <v>908</v>
      </c>
      <c r="AF40" s="431">
        <v>12.0</v>
      </c>
      <c r="AG40" s="431">
        <v>11.0</v>
      </c>
      <c r="AH40" s="431">
        <v>10.0</v>
      </c>
      <c r="AI40" s="431">
        <v>10.0</v>
      </c>
    </row>
    <row r="41">
      <c r="N41" s="3" t="s">
        <v>591</v>
      </c>
      <c r="Q41" s="3" t="s">
        <v>592</v>
      </c>
      <c r="S41" s="394"/>
      <c r="Z41" s="395" t="s">
        <v>908</v>
      </c>
      <c r="AA41" s="431">
        <v>15.0</v>
      </c>
      <c r="AB41" s="431">
        <v>14.0</v>
      </c>
      <c r="AC41" s="431">
        <v>13.0</v>
      </c>
      <c r="AD41" s="431">
        <v>12.0</v>
      </c>
    </row>
    <row r="42">
      <c r="N42" s="3" t="s">
        <v>593</v>
      </c>
      <c r="Q42" s="3" t="s">
        <v>594</v>
      </c>
      <c r="S42" s="394"/>
      <c r="Z42" s="452"/>
      <c r="AA42" s="453"/>
      <c r="AB42" s="453"/>
      <c r="AC42" s="453"/>
      <c r="AD42" s="454"/>
      <c r="AE42" s="452"/>
      <c r="AF42" s="453"/>
      <c r="AG42" s="453"/>
      <c r="AH42" s="453"/>
      <c r="AI42" s="454"/>
    </row>
    <row r="43">
      <c r="N43" s="3" t="s">
        <v>595</v>
      </c>
      <c r="Q43" s="3" t="s">
        <v>596</v>
      </c>
      <c r="S43" s="55"/>
      <c r="Z43" s="401" t="s">
        <v>912</v>
      </c>
      <c r="AA43" s="293">
        <f t="shared" ref="AA43:AD43" si="24">AVERAGE(AA37:AA41)</f>
        <v>15</v>
      </c>
      <c r="AB43" s="293">
        <f t="shared" si="24"/>
        <v>14</v>
      </c>
      <c r="AC43" s="293">
        <f t="shared" si="24"/>
        <v>13.1</v>
      </c>
      <c r="AD43" s="383">
        <f t="shared" si="24"/>
        <v>12.3</v>
      </c>
      <c r="AE43" s="401" t="s">
        <v>912</v>
      </c>
      <c r="AF43" s="293">
        <f t="shared" ref="AF43:AI43" si="25">AVERAGE(AF36:AF40)</f>
        <v>11.8</v>
      </c>
      <c r="AG43" s="293">
        <f t="shared" si="25"/>
        <v>11.1</v>
      </c>
      <c r="AH43" s="293">
        <f t="shared" si="25"/>
        <v>10.6</v>
      </c>
      <c r="AI43" s="383">
        <f t="shared" si="25"/>
        <v>10.2</v>
      </c>
    </row>
    <row r="44">
      <c r="N44" s="3" t="s">
        <v>597</v>
      </c>
      <c r="Q44" s="3" t="s">
        <v>598</v>
      </c>
      <c r="S44" s="384" t="s">
        <v>78</v>
      </c>
      <c r="Y44" s="350" t="s">
        <v>78</v>
      </c>
      <c r="Z44" s="402" t="s">
        <v>786</v>
      </c>
      <c r="AA44" s="403"/>
      <c r="AB44" s="403"/>
      <c r="AC44" s="403"/>
      <c r="AD44" s="412">
        <v>0.7</v>
      </c>
      <c r="AE44" s="402" t="s">
        <v>786</v>
      </c>
      <c r="AF44" s="403"/>
      <c r="AG44" s="403"/>
      <c r="AH44" s="403"/>
      <c r="AI44" s="412">
        <v>1.5</v>
      </c>
      <c r="AJ44" s="350" t="s">
        <v>78</v>
      </c>
    </row>
    <row r="45">
      <c r="N45" s="3" t="s">
        <v>599</v>
      </c>
      <c r="Q45" s="3" t="s">
        <v>600</v>
      </c>
      <c r="S45" s="55"/>
      <c r="Z45" s="405" t="s">
        <v>468</v>
      </c>
      <c r="AA45" s="55"/>
      <c r="AB45" s="55"/>
      <c r="AC45" s="55"/>
      <c r="AD45" s="376">
        <v>1.0</v>
      </c>
      <c r="AE45" s="405" t="s">
        <v>468</v>
      </c>
      <c r="AF45" s="55"/>
      <c r="AG45" s="55"/>
      <c r="AH45" s="55"/>
      <c r="AI45" s="376">
        <v>1.3</v>
      </c>
    </row>
    <row r="46">
      <c r="S46" s="55"/>
      <c r="Z46" s="405" t="s">
        <v>469</v>
      </c>
      <c r="AA46" s="55"/>
      <c r="AB46" s="55"/>
      <c r="AC46" s="55"/>
      <c r="AD46" s="376">
        <v>-1.0</v>
      </c>
      <c r="AE46" s="405" t="s">
        <v>469</v>
      </c>
      <c r="AF46" s="55"/>
      <c r="AG46" s="55"/>
      <c r="AH46" s="55"/>
      <c r="AI46" s="376">
        <v>0.0</v>
      </c>
    </row>
    <row r="47">
      <c r="N47" s="3" t="s">
        <v>601</v>
      </c>
      <c r="Q47" s="3" t="s">
        <v>602</v>
      </c>
      <c r="S47" s="55"/>
      <c r="Z47" s="405" t="s">
        <v>470</v>
      </c>
      <c r="AA47" s="55"/>
      <c r="AB47" s="55"/>
      <c r="AC47" s="55"/>
      <c r="AD47" s="376">
        <v>0.8</v>
      </c>
      <c r="AE47" s="405" t="s">
        <v>470</v>
      </c>
      <c r="AF47" s="55"/>
      <c r="AG47" s="55"/>
      <c r="AH47" s="55"/>
      <c r="AI47" s="376">
        <v>1.5</v>
      </c>
    </row>
    <row r="48">
      <c r="Q48" s="3" t="s">
        <v>603</v>
      </c>
      <c r="S48" s="394"/>
      <c r="Z48" s="407" t="s">
        <v>906</v>
      </c>
      <c r="AA48" s="55"/>
      <c r="AB48" s="55"/>
      <c r="AC48" s="55"/>
      <c r="AD48" s="376">
        <v>0.2</v>
      </c>
      <c r="AE48" s="407" t="s">
        <v>906</v>
      </c>
      <c r="AF48" s="55"/>
      <c r="AG48" s="55"/>
      <c r="AH48" s="55"/>
      <c r="AI48" s="376">
        <v>1.0</v>
      </c>
    </row>
    <row r="49">
      <c r="N49" s="3" t="s">
        <v>604</v>
      </c>
      <c r="S49" s="394"/>
      <c r="Z49" s="407" t="s">
        <v>908</v>
      </c>
      <c r="AA49" s="55"/>
      <c r="AB49" s="408"/>
      <c r="AC49" s="408"/>
      <c r="AD49" s="376">
        <v>0.8</v>
      </c>
      <c r="AE49" s="407" t="s">
        <v>908</v>
      </c>
      <c r="AF49" s="55"/>
      <c r="AG49" s="408"/>
      <c r="AH49" s="408"/>
      <c r="AI49" s="376">
        <v>1.1</v>
      </c>
    </row>
    <row r="50">
      <c r="R50" s="3" t="s">
        <v>605</v>
      </c>
      <c r="S50" s="394"/>
      <c r="Z50" s="455"/>
      <c r="AA50" s="456"/>
      <c r="AB50" s="457"/>
      <c r="AC50" s="456"/>
      <c r="AD50" s="458"/>
      <c r="AE50" s="455"/>
      <c r="AF50" s="456"/>
      <c r="AG50" s="457"/>
      <c r="AH50" s="456"/>
      <c r="AI50" s="458"/>
    </row>
    <row r="51">
      <c r="N51" s="3" t="s">
        <v>606</v>
      </c>
      <c r="R51" s="3" t="s">
        <v>607</v>
      </c>
      <c r="S51" s="55"/>
      <c r="Z51" s="361" t="s">
        <v>912</v>
      </c>
      <c r="AA51" s="451"/>
      <c r="AB51" s="459"/>
      <c r="AC51" s="459"/>
      <c r="AD51" s="379">
        <f>AVERAGE(AD45:AD49)</f>
        <v>0.36</v>
      </c>
      <c r="AE51" s="361" t="s">
        <v>912</v>
      </c>
      <c r="AF51" s="451"/>
      <c r="AG51" s="459"/>
      <c r="AH51" s="459"/>
      <c r="AI51" s="379">
        <f>AVERAGE(AI45:AI49)</f>
        <v>0.98</v>
      </c>
    </row>
    <row r="52">
      <c r="N52" s="65">
        <f>60%*47.5</f>
        <v>28.5</v>
      </c>
      <c r="O52" s="3" t="s">
        <v>608</v>
      </c>
      <c r="R52" s="65">
        <f>60%*55</f>
        <v>33</v>
      </c>
      <c r="Z52" s="343">
        <v>2026.0</v>
      </c>
      <c r="AC52" s="3" t="s">
        <v>1276</v>
      </c>
      <c r="AD52" s="460">
        <v>0.5</v>
      </c>
      <c r="AE52" s="343">
        <v>2027.0</v>
      </c>
    </row>
    <row r="53">
      <c r="N53" s="65">
        <f>N52*72%</f>
        <v>20.52</v>
      </c>
      <c r="O53" s="3" t="s">
        <v>609</v>
      </c>
      <c r="R53" s="65">
        <f>R52*83%</f>
        <v>27.39</v>
      </c>
    </row>
    <row r="54">
      <c r="N54" s="65">
        <f>N52-N53</f>
        <v>7.98</v>
      </c>
      <c r="O54" s="3" t="s">
        <v>610</v>
      </c>
      <c r="R54" s="65">
        <f>R52-R53</f>
        <v>5.61</v>
      </c>
    </row>
    <row r="55">
      <c r="N55" s="3" t="s">
        <v>1277</v>
      </c>
      <c r="Q55" s="3" t="s">
        <v>1278</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1279</v>
      </c>
    </row>
    <row r="64">
      <c r="Q64" s="3" t="s">
        <v>623</v>
      </c>
    </row>
    <row r="65">
      <c r="Q65" s="3" t="s">
        <v>616</v>
      </c>
    </row>
    <row r="66">
      <c r="Q66" s="3" t="s">
        <v>618</v>
      </c>
    </row>
    <row r="68">
      <c r="P68" s="218" t="s">
        <v>619</v>
      </c>
      <c r="Q68" s="31" t="s">
        <v>624</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46169.0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61" t="s">
        <v>1259</v>
      </c>
      <c r="AF1" s="61" t="s">
        <v>1260</v>
      </c>
      <c r="AG1" s="61" t="s">
        <v>1261</v>
      </c>
      <c r="AH1" s="61" t="s">
        <v>1262</v>
      </c>
      <c r="AI1" s="61">
        <v>2027.0</v>
      </c>
      <c r="AJ1" s="3"/>
      <c r="AK1" s="3"/>
      <c r="AL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525</v>
      </c>
      <c r="AA2" s="224" t="s">
        <v>526</v>
      </c>
      <c r="AB2" s="224" t="s">
        <v>526</v>
      </c>
      <c r="AC2" s="224" t="s">
        <v>526</v>
      </c>
      <c r="AD2" s="3" t="s">
        <v>527</v>
      </c>
      <c r="AE2" s="224" t="s">
        <v>526</v>
      </c>
      <c r="AF2" s="224" t="s">
        <v>526</v>
      </c>
      <c r="AG2" s="224" t="s">
        <v>526</v>
      </c>
      <c r="AH2" s="224" t="s">
        <v>526</v>
      </c>
      <c r="AI2" s="3" t="s">
        <v>527</v>
      </c>
      <c r="AJ2" s="213" t="s">
        <v>1263</v>
      </c>
      <c r="AK2" s="213"/>
      <c r="AL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304">
        <v>78.0</v>
      </c>
      <c r="AA3" s="266">
        <v>73.0</v>
      </c>
      <c r="AB3" s="266">
        <v>73.0</v>
      </c>
      <c r="AC3" s="266">
        <v>75.0</v>
      </c>
      <c r="AD3" s="258">
        <f t="shared" ref="AD3:AD7" si="4">AVERAGE(Z3:AC3)</f>
        <v>74.75</v>
      </c>
      <c r="AE3" s="266">
        <v>73.0</v>
      </c>
      <c r="AF3" s="266">
        <v>75.0</v>
      </c>
      <c r="AG3" s="266">
        <v>78.0</v>
      </c>
      <c r="AH3" s="266">
        <v>80.0</v>
      </c>
      <c r="AI3" s="258">
        <f t="shared" ref="AI3:AI7" si="5">AVERAGE(AE3:AH3)</f>
        <v>76.5</v>
      </c>
      <c r="AJ3" s="215">
        <f t="shared" ref="AJ3:AJ8" si="6">AD3/Y3-1</f>
        <v>-0.1069295102</v>
      </c>
      <c r="AK3" s="3"/>
      <c r="AL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304">
        <v>80.0</v>
      </c>
      <c r="AA4" s="264">
        <v>112.0</v>
      </c>
      <c r="AB4" s="264">
        <v>88.0</v>
      </c>
      <c r="AC4" s="264">
        <v>80.0</v>
      </c>
      <c r="AD4" s="258">
        <f t="shared" si="4"/>
        <v>90</v>
      </c>
      <c r="AE4" s="264">
        <v>76.0</v>
      </c>
      <c r="AF4" s="264">
        <v>74.0</v>
      </c>
      <c r="AG4" s="264">
        <v>73.0</v>
      </c>
      <c r="AH4" s="264">
        <v>72.0</v>
      </c>
      <c r="AI4" s="258">
        <f t="shared" si="5"/>
        <v>73.75</v>
      </c>
      <c r="AJ4" s="215">
        <f t="shared" si="6"/>
        <v>0.3005780347</v>
      </c>
      <c r="AK4" s="3"/>
      <c r="AL4" s="3" t="s">
        <v>1244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7">V4-V6</f>
        <v>56</v>
      </c>
      <c r="W5" s="254">
        <f t="shared" si="7"/>
        <v>56</v>
      </c>
      <c r="X5" s="254">
        <v>45.0</v>
      </c>
      <c r="Y5" s="248">
        <f t="shared" si="3"/>
        <v>55.15</v>
      </c>
      <c r="Z5" s="347">
        <v>54.24</v>
      </c>
      <c r="AA5" s="430">
        <v>90.0</v>
      </c>
      <c r="AB5" s="264">
        <f t="shared" ref="AB5:AC5" si="8">AB4-AB6</f>
        <v>68</v>
      </c>
      <c r="AC5" s="264">
        <f t="shared" si="8"/>
        <v>62</v>
      </c>
      <c r="AD5" s="258">
        <f t="shared" si="4"/>
        <v>68.56</v>
      </c>
      <c r="AE5" s="264">
        <f t="shared" ref="AE5:AH5" si="9">AE4-AE6</f>
        <v>59</v>
      </c>
      <c r="AF5" s="264">
        <f t="shared" si="9"/>
        <v>57</v>
      </c>
      <c r="AG5" s="264">
        <f t="shared" si="9"/>
        <v>56</v>
      </c>
      <c r="AH5" s="264">
        <f t="shared" si="9"/>
        <v>55</v>
      </c>
      <c r="AI5" s="258">
        <f t="shared" si="5"/>
        <v>56.75</v>
      </c>
      <c r="AJ5" s="215">
        <f t="shared" si="6"/>
        <v>0.2431550317</v>
      </c>
      <c r="AK5" s="3"/>
      <c r="AL5" s="3" t="s">
        <v>1245</v>
      </c>
    </row>
    <row r="6" ht="26.25" customHeight="1">
      <c r="A6" s="245" t="s">
        <v>643</v>
      </c>
      <c r="B6" s="4"/>
      <c r="C6" s="4"/>
      <c r="D6" s="54"/>
      <c r="E6" s="54"/>
      <c r="F6" s="54"/>
      <c r="G6" s="54"/>
      <c r="H6" s="54"/>
      <c r="I6" s="112"/>
      <c r="J6" s="112"/>
      <c r="K6" s="263">
        <f t="shared" ref="K6:O6" si="10">K4-K5</f>
        <v>29</v>
      </c>
      <c r="L6" s="263">
        <f t="shared" si="10"/>
        <v>24</v>
      </c>
      <c r="M6" s="246">
        <f t="shared" si="10"/>
        <v>21.3</v>
      </c>
      <c r="N6" s="246">
        <f t="shared" si="10"/>
        <v>14.9</v>
      </c>
      <c r="O6" s="248">
        <f t="shared" si="10"/>
        <v>22.3</v>
      </c>
      <c r="P6" s="255">
        <v>15.0</v>
      </c>
      <c r="Q6" s="254">
        <f t="shared" ref="Q6:R6" si="11">Q4-Q5</f>
        <v>13.6</v>
      </c>
      <c r="R6" s="255">
        <f t="shared" si="11"/>
        <v>16</v>
      </c>
      <c r="S6" s="255">
        <v>10.0</v>
      </c>
      <c r="T6" s="248">
        <f t="shared" si="2"/>
        <v>13.65</v>
      </c>
      <c r="U6" s="347">
        <f>U4-U5</f>
        <v>12.2</v>
      </c>
      <c r="V6" s="255">
        <v>12.0</v>
      </c>
      <c r="W6" s="255">
        <v>13.0</v>
      </c>
      <c r="X6" s="254">
        <v>18.4</v>
      </c>
      <c r="Y6" s="258">
        <f t="shared" si="3"/>
        <v>13.9</v>
      </c>
      <c r="Z6" s="347">
        <f>Z4-Z5</f>
        <v>25.76</v>
      </c>
      <c r="AA6" s="264">
        <v>22.0</v>
      </c>
      <c r="AB6" s="264">
        <v>20.0</v>
      </c>
      <c r="AC6" s="264">
        <v>18.0</v>
      </c>
      <c r="AD6" s="258">
        <f t="shared" si="4"/>
        <v>21.44</v>
      </c>
      <c r="AE6" s="264">
        <v>17.0</v>
      </c>
      <c r="AF6" s="264">
        <v>17.0</v>
      </c>
      <c r="AG6" s="264">
        <v>17.0</v>
      </c>
      <c r="AH6" s="264">
        <v>17.0</v>
      </c>
      <c r="AI6" s="258">
        <f t="shared" si="5"/>
        <v>17</v>
      </c>
      <c r="AJ6" s="215">
        <f t="shared" si="6"/>
        <v>0.5424460432</v>
      </c>
      <c r="AK6" s="3"/>
      <c r="AL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82">
        <v>5.9</v>
      </c>
      <c r="AA7" s="267">
        <v>5.4</v>
      </c>
      <c r="AB7" s="267">
        <v>4.9</v>
      </c>
      <c r="AC7" s="267">
        <v>5.4</v>
      </c>
      <c r="AD7" s="258">
        <f t="shared" si="4"/>
        <v>5.4</v>
      </c>
      <c r="AE7" s="267">
        <v>4.2</v>
      </c>
      <c r="AF7" s="267">
        <v>4.7</v>
      </c>
      <c r="AG7" s="267">
        <v>5.4</v>
      </c>
      <c r="AH7" s="267">
        <v>4.9</v>
      </c>
      <c r="AI7" s="258">
        <f t="shared" si="5"/>
        <v>4.8</v>
      </c>
      <c r="AJ7" s="215">
        <f t="shared" si="6"/>
        <v>-0.3513513514</v>
      </c>
      <c r="AK7" s="99"/>
      <c r="AL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71">
        <v>15.0</v>
      </c>
      <c r="AA8" s="269">
        <v>14.0</v>
      </c>
      <c r="AB8" s="269">
        <v>13.0</v>
      </c>
      <c r="AC8" s="269">
        <v>12.0</v>
      </c>
      <c r="AD8" s="258">
        <v>14.1</v>
      </c>
      <c r="AE8" s="269">
        <v>11.5</v>
      </c>
      <c r="AF8" s="269">
        <v>10.5</v>
      </c>
      <c r="AG8" s="269">
        <v>10.0</v>
      </c>
      <c r="AH8" s="269">
        <v>9.5</v>
      </c>
      <c r="AI8" s="258">
        <v>10.7</v>
      </c>
      <c r="AJ8" s="215">
        <f t="shared" si="6"/>
        <v>-0.265625</v>
      </c>
    </row>
    <row r="9" hidden="1">
      <c r="A9" s="252" t="s">
        <v>766</v>
      </c>
      <c r="E9" s="114"/>
      <c r="F9" s="115"/>
      <c r="G9" s="115"/>
      <c r="H9" s="115"/>
      <c r="I9" s="112"/>
      <c r="J9" s="112"/>
      <c r="T9" s="103"/>
      <c r="U9" s="54"/>
      <c r="V9" s="287" t="s">
        <v>767</v>
      </c>
      <c r="W9" s="54"/>
      <c r="X9" s="54"/>
      <c r="Y9" s="103"/>
    </row>
    <row r="10">
      <c r="E10" s="114"/>
      <c r="F10" s="115"/>
      <c r="G10" s="115"/>
      <c r="H10" s="115"/>
      <c r="I10" s="112"/>
      <c r="J10" s="112"/>
      <c r="Y10" s="414">
        <f>Y4/T4-1</f>
        <v>-0.1419714817</v>
      </c>
      <c r="Z10" s="343">
        <v>2026.0</v>
      </c>
      <c r="AA10" s="348" t="s">
        <v>1120</v>
      </c>
      <c r="AB10" s="348" t="s">
        <v>1121</v>
      </c>
      <c r="AC10" s="348" t="s">
        <v>1122</v>
      </c>
      <c r="AD10" s="349" t="s">
        <v>1123</v>
      </c>
      <c r="AE10" s="343">
        <v>2027.0</v>
      </c>
      <c r="AF10" s="348" t="s">
        <v>1259</v>
      </c>
      <c r="AG10" s="348" t="s">
        <v>1260</v>
      </c>
      <c r="AH10" s="348" t="s">
        <v>1261</v>
      </c>
      <c r="AI10" s="349" t="s">
        <v>1262</v>
      </c>
    </row>
    <row r="11">
      <c r="E11" s="114"/>
      <c r="F11" s="115"/>
      <c r="G11" s="115"/>
      <c r="H11" s="115"/>
      <c r="I11" s="112" t="s">
        <v>406</v>
      </c>
      <c r="J11" s="112" t="s">
        <v>406</v>
      </c>
      <c r="Y11" s="350" t="s">
        <v>1006</v>
      </c>
      <c r="Z11" s="351" t="s">
        <v>54</v>
      </c>
      <c r="AA11" s="411"/>
      <c r="AB11" s="411"/>
      <c r="AC11" s="411">
        <v>94.0</v>
      </c>
      <c r="AD11" s="411">
        <v>87.0</v>
      </c>
      <c r="AE11" s="351" t="s">
        <v>54</v>
      </c>
      <c r="AF11" s="411">
        <v>82.0</v>
      </c>
      <c r="AG11" s="411">
        <v>79.0</v>
      </c>
      <c r="AH11" s="411">
        <v>78.0</v>
      </c>
      <c r="AI11" s="411">
        <v>77.0</v>
      </c>
      <c r="AJ11" s="350" t="s">
        <v>1006</v>
      </c>
    </row>
    <row r="12">
      <c r="E12" s="114" t="s">
        <v>241</v>
      </c>
      <c r="F12" s="115" t="s">
        <v>242</v>
      </c>
      <c r="G12" s="115" t="s">
        <v>242</v>
      </c>
      <c r="H12" s="115" t="s">
        <v>194</v>
      </c>
      <c r="I12" s="115" t="s">
        <v>148</v>
      </c>
      <c r="Z12" s="352" t="s">
        <v>468</v>
      </c>
      <c r="AA12" s="354"/>
      <c r="AB12" s="354"/>
      <c r="AC12" s="354"/>
      <c r="AD12" s="354"/>
      <c r="AE12" s="352" t="s">
        <v>468</v>
      </c>
      <c r="AF12" s="354">
        <v>75.0</v>
      </c>
      <c r="AG12" s="354">
        <v>75.0</v>
      </c>
      <c r="AH12" s="354">
        <v>75.0</v>
      </c>
      <c r="AI12" s="354">
        <v>75.0</v>
      </c>
    </row>
    <row r="13">
      <c r="C13" s="4">
        <v>5.7</v>
      </c>
      <c r="D13" s="4">
        <v>6.5</v>
      </c>
      <c r="E13" s="62">
        <v>7.4</v>
      </c>
      <c r="F13" s="54">
        <v>8.1</v>
      </c>
      <c r="G13" s="54"/>
      <c r="H13" s="62"/>
      <c r="I13" s="62"/>
      <c r="J13" s="62"/>
      <c r="Z13" s="352" t="s">
        <v>469</v>
      </c>
      <c r="AA13" s="354"/>
      <c r="AB13" s="354"/>
      <c r="AC13" s="354"/>
      <c r="AD13" s="354"/>
      <c r="AE13" s="352" t="s">
        <v>469</v>
      </c>
      <c r="AF13" s="354">
        <v>75.0</v>
      </c>
      <c r="AG13" s="354">
        <v>73.0</v>
      </c>
      <c r="AH13" s="354">
        <v>71.0</v>
      </c>
      <c r="AI13" s="354">
        <v>70.0</v>
      </c>
    </row>
    <row r="14">
      <c r="D14" s="111"/>
      <c r="E14" s="117"/>
      <c r="F14" s="112"/>
      <c r="G14" s="112"/>
      <c r="H14" s="112"/>
      <c r="I14" s="117"/>
      <c r="J14" s="112"/>
      <c r="Z14" s="352" t="s">
        <v>470</v>
      </c>
      <c r="AA14" s="354"/>
      <c r="AB14" s="354"/>
      <c r="AC14" s="354"/>
      <c r="AD14" s="354"/>
      <c r="AE14" s="352" t="s">
        <v>470</v>
      </c>
      <c r="AF14" s="354">
        <v>75.0</v>
      </c>
      <c r="AG14" s="354">
        <v>75.0</v>
      </c>
      <c r="AH14" s="354">
        <v>75.0</v>
      </c>
      <c r="AI14" s="354">
        <v>75.0</v>
      </c>
      <c r="AJ14" s="4"/>
      <c r="AK14" s="4"/>
      <c r="AL14" s="4"/>
    </row>
    <row r="15">
      <c r="D15" s="111"/>
      <c r="E15" s="117"/>
      <c r="F15" s="112"/>
      <c r="G15" s="112"/>
      <c r="H15" s="112"/>
      <c r="I15" s="117"/>
      <c r="J15" s="112"/>
      <c r="Z15" s="436" t="s">
        <v>1225</v>
      </c>
      <c r="AA15" s="354"/>
      <c r="AB15" s="354"/>
      <c r="AC15" s="354"/>
      <c r="AD15" s="354"/>
      <c r="AE15" s="436" t="s">
        <v>1225</v>
      </c>
      <c r="AF15" s="354">
        <v>80.0</v>
      </c>
      <c r="AG15" s="354">
        <v>75.0</v>
      </c>
      <c r="AH15" s="354">
        <v>75.0</v>
      </c>
      <c r="AI15" s="354">
        <v>70.0</v>
      </c>
      <c r="AJ15" s="41"/>
      <c r="AK15" s="41"/>
      <c r="AL15" s="41"/>
    </row>
    <row r="16">
      <c r="D16" s="111" t="s">
        <v>241</v>
      </c>
      <c r="E16" s="117">
        <v>7.0</v>
      </c>
      <c r="F16" s="112">
        <v>7.3</v>
      </c>
      <c r="G16" s="112"/>
      <c r="H16" s="112"/>
      <c r="I16" s="117"/>
      <c r="J16" s="112"/>
      <c r="Z16" s="440" t="s">
        <v>468</v>
      </c>
      <c r="AA16" s="354"/>
      <c r="AB16" s="354"/>
      <c r="AC16" s="354"/>
      <c r="AD16" s="354"/>
      <c r="AE16" s="440" t="s">
        <v>468</v>
      </c>
      <c r="AF16" s="354">
        <v>75.0</v>
      </c>
      <c r="AG16" s="354">
        <v>73.0</v>
      </c>
      <c r="AH16" s="354">
        <v>71.0</v>
      </c>
      <c r="AI16" s="354">
        <v>70.0</v>
      </c>
      <c r="AJ16" s="4"/>
      <c r="AK16" s="4"/>
      <c r="AL16" s="4"/>
    </row>
    <row r="17">
      <c r="C17" s="10"/>
      <c r="D17" s="10"/>
      <c r="E17" s="10"/>
      <c r="F17" s="10"/>
      <c r="G17" s="10"/>
      <c r="H17" s="10"/>
      <c r="I17" s="10"/>
      <c r="J17" s="10"/>
      <c r="Z17" s="440" t="s">
        <v>906</v>
      </c>
      <c r="AA17" s="444"/>
      <c r="AB17" s="445"/>
      <c r="AC17" s="445"/>
      <c r="AD17" s="446"/>
      <c r="AE17" s="440" t="s">
        <v>906</v>
      </c>
      <c r="AF17" s="445">
        <v>75.0</v>
      </c>
      <c r="AG17" s="445">
        <v>73.0</v>
      </c>
      <c r="AH17" s="445">
        <v>71.0</v>
      </c>
      <c r="AI17" s="446">
        <v>70.0</v>
      </c>
    </row>
    <row r="18">
      <c r="E18" s="118"/>
      <c r="F18" s="118"/>
      <c r="G18" s="118"/>
      <c r="H18" s="118"/>
      <c r="I18" s="118"/>
      <c r="J18" s="118"/>
      <c r="K18" s="425">
        <v>78.9</v>
      </c>
      <c r="L18" s="426">
        <v>80.1</v>
      </c>
      <c r="T18" s="19" t="s">
        <v>1280</v>
      </c>
      <c r="Z18" s="361" t="s">
        <v>912</v>
      </c>
      <c r="AA18" s="359"/>
      <c r="AB18" s="359" t="str">
        <f t="shared" ref="AB18:AD18" si="12">AVERAGE(AB12:AB17)</f>
        <v>#DIV/0!</v>
      </c>
      <c r="AC18" s="359" t="str">
        <f t="shared" si="12"/>
        <v>#DIV/0!</v>
      </c>
      <c r="AD18" s="359" t="str">
        <f t="shared" si="12"/>
        <v>#DIV/0!</v>
      </c>
      <c r="AE18" s="361" t="s">
        <v>912</v>
      </c>
      <c r="AF18" s="359">
        <f t="shared" ref="AF18:AI18" si="13">AVERAGE(AF12:AF17)</f>
        <v>75.83333333</v>
      </c>
      <c r="AG18" s="359">
        <f t="shared" si="13"/>
        <v>74</v>
      </c>
      <c r="AH18" s="359">
        <f t="shared" si="13"/>
        <v>73</v>
      </c>
      <c r="AI18" s="359">
        <f t="shared" si="13"/>
        <v>71.66666667</v>
      </c>
      <c r="AJ18" s="4"/>
      <c r="AK18" s="4"/>
      <c r="AL18" s="4"/>
    </row>
    <row r="19">
      <c r="E19" s="118"/>
      <c r="F19" s="118"/>
      <c r="G19" s="118"/>
      <c r="H19" s="118"/>
      <c r="I19" s="118"/>
      <c r="J19" s="118"/>
      <c r="K19" s="425">
        <v>10.98</v>
      </c>
      <c r="L19" s="426">
        <v>11.12</v>
      </c>
      <c r="T19" s="4" t="s">
        <v>340</v>
      </c>
      <c r="U19" s="4" t="s">
        <v>171</v>
      </c>
      <c r="V19" s="4" t="s">
        <v>343</v>
      </c>
      <c r="W19" s="4" t="s">
        <v>581</v>
      </c>
      <c r="Z19" s="364"/>
      <c r="AA19" s="427">
        <v>46112.0</v>
      </c>
      <c r="AB19" s="365">
        <f t="shared" ref="AB19:AD19" si="14">EOMONTH(AA19,3)</f>
        <v>46203</v>
      </c>
      <c r="AC19" s="365">
        <f t="shared" si="14"/>
        <v>46295</v>
      </c>
      <c r="AD19" s="365">
        <f t="shared" si="14"/>
        <v>46387</v>
      </c>
      <c r="AE19" s="364"/>
      <c r="AF19" s="427">
        <v>46477.0</v>
      </c>
      <c r="AG19" s="365">
        <f t="shared" ref="AG19:AI19" si="15">EOMONTH(AF19,3)</f>
        <v>46568</v>
      </c>
      <c r="AH19" s="365">
        <f t="shared" si="15"/>
        <v>46660</v>
      </c>
      <c r="AI19" s="365">
        <f t="shared" si="15"/>
        <v>46752</v>
      </c>
    </row>
    <row r="20">
      <c r="E20" s="118"/>
      <c r="F20" s="118"/>
      <c r="G20" s="118"/>
      <c r="H20" s="118"/>
      <c r="I20" s="118"/>
      <c r="J20" s="118"/>
      <c r="K20" s="425">
        <v>7.14</v>
      </c>
      <c r="L20" s="426">
        <v>7.18</v>
      </c>
      <c r="R20" s="308"/>
      <c r="S20" s="4" t="s">
        <v>62</v>
      </c>
      <c r="T20" s="461">
        <v>76.6</v>
      </c>
      <c r="U20" s="437">
        <v>73.01</v>
      </c>
      <c r="V20" s="437">
        <v>70.0</v>
      </c>
      <c r="W20" s="226">
        <f t="shared" ref="W20:W23" si="16">AVERAGE(T20:V20)</f>
        <v>73.20333333</v>
      </c>
      <c r="Y20" s="366" t="s">
        <v>1011</v>
      </c>
      <c r="Z20" s="367" t="s">
        <v>786</v>
      </c>
      <c r="AA20" s="348"/>
      <c r="AB20" s="348">
        <v>74.0</v>
      </c>
      <c r="AC20" s="348">
        <v>73.0</v>
      </c>
      <c r="AD20" s="349">
        <v>74.0</v>
      </c>
      <c r="AE20" s="367" t="s">
        <v>786</v>
      </c>
      <c r="AF20" s="348">
        <v>73.0</v>
      </c>
      <c r="AG20" s="348">
        <v>75.0</v>
      </c>
      <c r="AH20" s="348">
        <v>78.0</v>
      </c>
      <c r="AI20" s="349">
        <v>80.0</v>
      </c>
      <c r="AJ20" s="366" t="s">
        <v>1011</v>
      </c>
    </row>
    <row r="21">
      <c r="E21" s="118"/>
      <c r="F21" s="118"/>
      <c r="G21" s="118"/>
      <c r="H21" s="118"/>
      <c r="I21" s="118"/>
      <c r="J21" s="118"/>
      <c r="K21" s="425">
        <v>93.4</v>
      </c>
      <c r="L21" s="426">
        <v>93.2</v>
      </c>
      <c r="R21" s="309"/>
      <c r="S21" s="4" t="s">
        <v>28</v>
      </c>
      <c r="T21" s="461">
        <v>122.21</v>
      </c>
      <c r="U21" s="437">
        <v>110.1</v>
      </c>
      <c r="V21" s="437">
        <v>105.0</v>
      </c>
      <c r="W21" s="226">
        <f t="shared" si="16"/>
        <v>112.4366667</v>
      </c>
      <c r="Y21" s="3" t="s">
        <v>1188</v>
      </c>
      <c r="Z21" s="352" t="s">
        <v>468</v>
      </c>
      <c r="AA21" s="354"/>
      <c r="AB21" s="354">
        <v>74.0</v>
      </c>
      <c r="AC21" s="354">
        <v>74.0</v>
      </c>
      <c r="AD21" s="355">
        <v>75.0</v>
      </c>
      <c r="AE21" s="352" t="s">
        <v>468</v>
      </c>
      <c r="AF21" s="354">
        <v>73.0</v>
      </c>
      <c r="AG21" s="354">
        <v>75.0</v>
      </c>
      <c r="AH21" s="354">
        <v>78.0</v>
      </c>
      <c r="AI21" s="355">
        <v>80.0</v>
      </c>
    </row>
    <row r="22">
      <c r="E22" s="118"/>
      <c r="F22" s="118"/>
      <c r="G22" s="118"/>
      <c r="H22" s="118"/>
      <c r="I22" s="118"/>
      <c r="J22" s="118"/>
      <c r="K22" s="425">
        <v>1.17</v>
      </c>
      <c r="L22" s="426">
        <v>1.16</v>
      </c>
      <c r="R22" s="309"/>
      <c r="S22" s="4" t="s">
        <v>1270</v>
      </c>
      <c r="T22" s="461">
        <v>95.3</v>
      </c>
      <c r="U22" s="437">
        <v>89.2</v>
      </c>
      <c r="V22" s="437">
        <v>85.0</v>
      </c>
      <c r="W22" s="226">
        <f t="shared" si="16"/>
        <v>89.83333333</v>
      </c>
      <c r="Z22" s="352" t="s">
        <v>469</v>
      </c>
      <c r="AA22" s="354"/>
      <c r="AB22" s="354">
        <v>73.0</v>
      </c>
      <c r="AC22" s="354">
        <v>73.0</v>
      </c>
      <c r="AD22" s="356">
        <v>75.0</v>
      </c>
      <c r="AE22" s="352" t="s">
        <v>469</v>
      </c>
      <c r="AF22" s="354">
        <v>73.0</v>
      </c>
      <c r="AG22" s="354">
        <v>75.0</v>
      </c>
      <c r="AH22" s="354">
        <v>78.0</v>
      </c>
      <c r="AI22" s="355">
        <v>80.0</v>
      </c>
    </row>
    <row r="23">
      <c r="E23" s="118"/>
      <c r="F23" s="118"/>
      <c r="G23" s="118"/>
      <c r="H23" s="118"/>
      <c r="I23" s="118"/>
      <c r="J23" s="118"/>
      <c r="K23" s="425">
        <v>71.0</v>
      </c>
      <c r="L23" s="426">
        <v>68.0</v>
      </c>
      <c r="R23" s="309"/>
      <c r="S23" s="4" t="s">
        <v>1214</v>
      </c>
      <c r="T23" s="461">
        <f t="shared" ref="T23:V23" si="17">T21-T22</f>
        <v>26.91</v>
      </c>
      <c r="U23" s="117">
        <f t="shared" si="17"/>
        <v>20.9</v>
      </c>
      <c r="V23" s="117">
        <f t="shared" si="17"/>
        <v>20</v>
      </c>
      <c r="W23" s="226">
        <f t="shared" si="16"/>
        <v>22.60333333</v>
      </c>
      <c r="Z23" s="352" t="s">
        <v>470</v>
      </c>
      <c r="AA23" s="354"/>
      <c r="AB23" s="354">
        <v>73.0</v>
      </c>
      <c r="AC23" s="354">
        <v>73.0</v>
      </c>
      <c r="AD23" s="356">
        <v>74.0</v>
      </c>
      <c r="AE23" s="352" t="s">
        <v>470</v>
      </c>
      <c r="AF23" s="354">
        <v>73.0</v>
      </c>
      <c r="AG23" s="354">
        <v>75.0</v>
      </c>
      <c r="AH23" s="354">
        <v>78.0</v>
      </c>
      <c r="AI23" s="355">
        <v>80.0</v>
      </c>
    </row>
    <row r="24">
      <c r="E24" s="118"/>
      <c r="F24" s="118"/>
      <c r="G24" s="118"/>
      <c r="H24" s="118"/>
      <c r="I24" s="118"/>
      <c r="J24" s="118"/>
      <c r="K24" s="425">
        <v>57.4</v>
      </c>
      <c r="L24" s="426">
        <v>56.1</v>
      </c>
      <c r="R24" s="309"/>
      <c r="Z24" s="357" t="s">
        <v>906</v>
      </c>
      <c r="AA24" s="354"/>
      <c r="AB24" s="354">
        <v>73.0</v>
      </c>
      <c r="AC24" s="354">
        <v>73.0</v>
      </c>
      <c r="AD24" s="356">
        <v>75.0</v>
      </c>
      <c r="AE24" s="357" t="s">
        <v>906</v>
      </c>
      <c r="AF24" s="354">
        <v>74.0</v>
      </c>
      <c r="AG24" s="354">
        <v>76.0</v>
      </c>
      <c r="AH24" s="354">
        <v>78.0</v>
      </c>
      <c r="AI24" s="355">
        <v>80.0</v>
      </c>
    </row>
    <row r="25">
      <c r="E25" s="118"/>
      <c r="F25" s="118"/>
      <c r="G25" s="118"/>
      <c r="H25" s="118"/>
      <c r="I25" s="118"/>
      <c r="J25" s="118"/>
      <c r="R25" s="308"/>
      <c r="Z25" s="358" t="s">
        <v>908</v>
      </c>
      <c r="AA25" s="354"/>
      <c r="AB25" s="354">
        <v>73.0</v>
      </c>
      <c r="AC25" s="354">
        <v>73.0</v>
      </c>
      <c r="AD25" s="356">
        <v>74.0</v>
      </c>
      <c r="AE25" s="358" t="s">
        <v>908</v>
      </c>
      <c r="AF25" s="354">
        <v>73.0</v>
      </c>
      <c r="AG25" s="354">
        <v>75.0</v>
      </c>
      <c r="AH25" s="354">
        <v>80.0</v>
      </c>
      <c r="AI25" s="355">
        <v>82.0</v>
      </c>
    </row>
    <row r="26">
      <c r="A26" s="3"/>
      <c r="B26" s="12"/>
      <c r="C26" s="12"/>
      <c r="D26" s="13"/>
      <c r="E26" s="13"/>
      <c r="F26" s="13"/>
      <c r="G26" s="13"/>
      <c r="H26" s="13"/>
      <c r="I26" s="13"/>
      <c r="J26" s="13"/>
      <c r="R26" s="308"/>
      <c r="S26" s="309"/>
      <c r="Z26" s="358"/>
      <c r="AA26" s="444"/>
      <c r="AB26" s="444"/>
      <c r="AC26" s="444"/>
      <c r="AD26" s="447"/>
      <c r="AE26" s="358"/>
      <c r="AF26" s="444"/>
      <c r="AG26" s="444"/>
      <c r="AH26" s="444"/>
      <c r="AI26" s="447"/>
    </row>
    <row r="27">
      <c r="S27" s="19" t="s">
        <v>1264</v>
      </c>
      <c r="T27" s="4" t="s">
        <v>345</v>
      </c>
      <c r="U27" s="4" t="s">
        <v>347</v>
      </c>
      <c r="V27" s="4" t="s">
        <v>348</v>
      </c>
      <c r="W27" s="4" t="s">
        <v>581</v>
      </c>
      <c r="Z27" s="361" t="s">
        <v>912</v>
      </c>
      <c r="AA27" s="359" t="str">
        <f t="shared" ref="AA27:AD27" si="18">AVERAGE(AA21:AA25)</f>
        <v>#DIV/0!</v>
      </c>
      <c r="AB27" s="359">
        <f t="shared" si="18"/>
        <v>73.2</v>
      </c>
      <c r="AC27" s="359">
        <f t="shared" si="18"/>
        <v>73.2</v>
      </c>
      <c r="AD27" s="360">
        <f t="shared" si="18"/>
        <v>74.6</v>
      </c>
      <c r="AE27" s="361" t="s">
        <v>912</v>
      </c>
      <c r="AF27" s="359">
        <f t="shared" ref="AF27:AI27" si="19">AVERAGE(AF21:AF25)</f>
        <v>73.2</v>
      </c>
      <c r="AG27" s="359">
        <f t="shared" si="19"/>
        <v>75.2</v>
      </c>
      <c r="AH27" s="359">
        <f t="shared" si="19"/>
        <v>78.4</v>
      </c>
      <c r="AI27" s="360">
        <f t="shared" si="19"/>
        <v>80.4</v>
      </c>
    </row>
    <row r="28">
      <c r="S28" s="4" t="s">
        <v>62</v>
      </c>
      <c r="T28" s="437"/>
      <c r="U28" s="437"/>
      <c r="V28" s="437"/>
      <c r="W28" s="226" t="str">
        <f t="shared" ref="W28:W31" si="20">AVERAGE(T28:V28)</f>
        <v>#DIV/0!</v>
      </c>
      <c r="Y28" s="366" t="s">
        <v>81</v>
      </c>
      <c r="Z28" s="371" t="s">
        <v>786</v>
      </c>
      <c r="AA28" s="372"/>
      <c r="AB28" s="372"/>
      <c r="AC28" s="372"/>
      <c r="AD28" s="373">
        <v>5.7</v>
      </c>
      <c r="AE28" s="371" t="s">
        <v>786</v>
      </c>
      <c r="AF28" s="372"/>
      <c r="AG28" s="372"/>
      <c r="AH28" s="372"/>
      <c r="AI28" s="373">
        <v>4.6</v>
      </c>
      <c r="AJ28" s="366" t="s">
        <v>81</v>
      </c>
    </row>
    <row r="29">
      <c r="Q29" s="4"/>
      <c r="R29" s="55"/>
      <c r="S29" s="4" t="s">
        <v>28</v>
      </c>
      <c r="T29" s="437">
        <v>100.0</v>
      </c>
      <c r="U29" s="437">
        <v>85.0</v>
      </c>
      <c r="V29" s="437">
        <v>80.0</v>
      </c>
      <c r="W29" s="226">
        <f t="shared" si="20"/>
        <v>88.33333333</v>
      </c>
      <c r="Y29" s="99" t="s">
        <v>1273</v>
      </c>
      <c r="Z29" s="374" t="s">
        <v>468</v>
      </c>
      <c r="AA29" s="53"/>
      <c r="AB29" s="53"/>
      <c r="AC29" s="303"/>
      <c r="AD29" s="376">
        <v>5.5</v>
      </c>
      <c r="AE29" s="374" t="s">
        <v>468</v>
      </c>
      <c r="AF29" s="53"/>
      <c r="AG29" s="53"/>
      <c r="AH29" s="303"/>
      <c r="AI29" s="376">
        <v>5.0</v>
      </c>
      <c r="AJ29" s="3" t="s">
        <v>1274</v>
      </c>
    </row>
    <row r="30">
      <c r="M30" s="308"/>
      <c r="Q30" s="4"/>
      <c r="R30" s="55"/>
      <c r="S30" s="4" t="s">
        <v>1270</v>
      </c>
      <c r="T30" s="437">
        <v>80.0</v>
      </c>
      <c r="U30" s="437">
        <v>65.0</v>
      </c>
      <c r="V30" s="437">
        <v>60.0</v>
      </c>
      <c r="W30" s="226">
        <f t="shared" si="20"/>
        <v>68.33333333</v>
      </c>
      <c r="Y30" s="99" t="s">
        <v>1193</v>
      </c>
      <c r="Z30" s="352" t="s">
        <v>469</v>
      </c>
      <c r="AA30" s="52" t="s">
        <v>1281</v>
      </c>
      <c r="AB30" s="53"/>
      <c r="AC30" s="303"/>
      <c r="AD30" s="376">
        <v>5.1</v>
      </c>
      <c r="AE30" s="352" t="s">
        <v>469</v>
      </c>
      <c r="AF30" s="52" t="s">
        <v>1282</v>
      </c>
      <c r="AG30" s="53"/>
      <c r="AH30" s="303"/>
      <c r="AI30" s="376">
        <v>4.5</v>
      </c>
    </row>
    <row r="31">
      <c r="M31" s="309"/>
      <c r="Q31" s="4"/>
      <c r="R31" s="55"/>
      <c r="S31" s="4" t="s">
        <v>1214</v>
      </c>
      <c r="T31" s="117">
        <f t="shared" ref="T31:V31" si="21">T29-T30</f>
        <v>20</v>
      </c>
      <c r="U31" s="117">
        <f t="shared" si="21"/>
        <v>20</v>
      </c>
      <c r="V31" s="117">
        <f t="shared" si="21"/>
        <v>20</v>
      </c>
      <c r="W31" s="226">
        <f t="shared" si="20"/>
        <v>20</v>
      </c>
      <c r="Y31" s="99" t="s">
        <v>1195</v>
      </c>
      <c r="Z31" s="374" t="s">
        <v>470</v>
      </c>
      <c r="AA31" s="52" t="s">
        <v>1283</v>
      </c>
      <c r="AB31" s="53"/>
      <c r="AC31" s="303"/>
      <c r="AD31" s="376">
        <v>5.2</v>
      </c>
      <c r="AE31" s="374" t="s">
        <v>470</v>
      </c>
      <c r="AF31" s="53"/>
      <c r="AG31" s="53"/>
      <c r="AH31" s="303"/>
      <c r="AI31" s="376">
        <v>5.0</v>
      </c>
    </row>
    <row r="32">
      <c r="M32" s="309"/>
      <c r="Q32" s="4"/>
      <c r="R32" s="55"/>
      <c r="S32" s="377"/>
      <c r="Z32" s="358" t="s">
        <v>906</v>
      </c>
      <c r="AA32" s="52" t="s">
        <v>1284</v>
      </c>
      <c r="AB32" s="55"/>
      <c r="AC32" s="303"/>
      <c r="AD32" s="376">
        <v>5.5</v>
      </c>
      <c r="AE32" s="358" t="s">
        <v>906</v>
      </c>
      <c r="AF32" s="55"/>
      <c r="AG32" s="55"/>
      <c r="AH32" s="303"/>
      <c r="AI32" s="376">
        <v>5.0</v>
      </c>
    </row>
    <row r="33">
      <c r="M33" s="309"/>
      <c r="Q33" s="4"/>
      <c r="R33" s="55"/>
      <c r="S33" s="377"/>
      <c r="Z33" s="358" t="s">
        <v>908</v>
      </c>
      <c r="AA33" s="55"/>
      <c r="AB33" s="55"/>
      <c r="AC33" s="303"/>
      <c r="AD33" s="376">
        <v>5.5</v>
      </c>
      <c r="AE33" s="358" t="s">
        <v>908</v>
      </c>
      <c r="AF33" s="55"/>
      <c r="AG33" s="55"/>
      <c r="AH33" s="303"/>
      <c r="AI33" s="376">
        <v>4.8</v>
      </c>
    </row>
    <row r="34">
      <c r="M34" s="309"/>
      <c r="Q34" s="4"/>
      <c r="R34" s="55"/>
      <c r="S34" s="377"/>
      <c r="Z34" s="358"/>
      <c r="AA34" s="394"/>
      <c r="AB34" s="394"/>
      <c r="AC34" s="394"/>
      <c r="AD34" s="449"/>
      <c r="AE34" s="358"/>
      <c r="AF34" s="394"/>
      <c r="AG34" s="394"/>
      <c r="AH34" s="394"/>
      <c r="AI34" s="449"/>
    </row>
    <row r="35">
      <c r="M35" s="308"/>
      <c r="Q35" s="4"/>
      <c r="R35" s="55"/>
      <c r="S35" s="53"/>
      <c r="Z35" s="380" t="s">
        <v>912</v>
      </c>
      <c r="AA35" s="450"/>
      <c r="AB35" s="450"/>
      <c r="AC35" s="451"/>
      <c r="AD35" s="379">
        <f>AVERAGE(AD29:AD33)</f>
        <v>5.36</v>
      </c>
      <c r="AE35" s="380" t="s">
        <v>912</v>
      </c>
      <c r="AF35" s="450"/>
      <c r="AG35" s="450"/>
      <c r="AH35" s="451"/>
      <c r="AI35" s="379">
        <f>AVERAGE(AI29:AI33)</f>
        <v>4.86</v>
      </c>
    </row>
    <row r="36">
      <c r="M36" s="308"/>
      <c r="Q36" s="4"/>
      <c r="R36" s="55"/>
      <c r="S36" s="384" t="s">
        <v>286</v>
      </c>
      <c r="Y36" s="350" t="s">
        <v>1275</v>
      </c>
      <c r="Z36" s="385"/>
      <c r="AA36" s="61" t="s">
        <v>1120</v>
      </c>
      <c r="AB36" s="61" t="s">
        <v>1121</v>
      </c>
      <c r="AC36" s="61" t="s">
        <v>1122</v>
      </c>
      <c r="AD36" s="61" t="s">
        <v>1123</v>
      </c>
      <c r="AF36" s="4" t="s">
        <v>1259</v>
      </c>
      <c r="AG36" s="4" t="s">
        <v>1260</v>
      </c>
      <c r="AH36" s="4" t="s">
        <v>1261</v>
      </c>
      <c r="AI36" s="4" t="s">
        <v>1262</v>
      </c>
      <c r="AJ36" s="350" t="s">
        <v>1275</v>
      </c>
    </row>
    <row r="37">
      <c r="S37" s="55"/>
      <c r="Y37" s="3" t="s">
        <v>1216</v>
      </c>
      <c r="Z37" s="386" t="s">
        <v>468</v>
      </c>
      <c r="AA37" s="431">
        <v>15.0</v>
      </c>
      <c r="AB37" s="432">
        <v>14.0</v>
      </c>
      <c r="AC37" s="432">
        <v>13.0</v>
      </c>
      <c r="AD37" s="432">
        <v>13.0</v>
      </c>
      <c r="AE37" s="386" t="s">
        <v>468</v>
      </c>
      <c r="AF37" s="431">
        <v>12.0</v>
      </c>
      <c r="AG37" s="432">
        <v>11.5</v>
      </c>
      <c r="AH37" s="432">
        <v>11.0</v>
      </c>
      <c r="AI37" s="432">
        <v>10.5</v>
      </c>
    </row>
    <row r="38">
      <c r="N38" s="31" t="s">
        <v>586</v>
      </c>
      <c r="S38" s="55"/>
      <c r="Z38" s="386" t="s">
        <v>469</v>
      </c>
      <c r="AA38" s="433">
        <v>15.0</v>
      </c>
      <c r="AB38" s="433">
        <v>14.0</v>
      </c>
      <c r="AC38" s="433">
        <v>13.0</v>
      </c>
      <c r="AD38" s="434">
        <v>11.0</v>
      </c>
      <c r="AE38" s="386" t="s">
        <v>469</v>
      </c>
      <c r="AF38" s="433">
        <v>11.0</v>
      </c>
      <c r="AG38" s="433">
        <v>10.0</v>
      </c>
      <c r="AH38" s="433">
        <v>9.0</v>
      </c>
      <c r="AI38" s="434">
        <v>8.0</v>
      </c>
    </row>
    <row r="39">
      <c r="N39" s="3" t="s">
        <v>587</v>
      </c>
      <c r="Q39" s="3" t="s">
        <v>588</v>
      </c>
      <c r="S39" s="55"/>
      <c r="Z39" s="386" t="s">
        <v>470</v>
      </c>
      <c r="AA39" s="431">
        <v>15.0</v>
      </c>
      <c r="AB39" s="432">
        <v>14.0</v>
      </c>
      <c r="AC39" s="432">
        <v>12.5</v>
      </c>
      <c r="AD39" s="432">
        <v>11.5</v>
      </c>
      <c r="AE39" s="386" t="s">
        <v>470</v>
      </c>
      <c r="AF39" s="431">
        <v>11.0</v>
      </c>
      <c r="AG39" s="432">
        <v>10.0</v>
      </c>
      <c r="AH39" s="432">
        <v>10.0</v>
      </c>
      <c r="AI39" s="432">
        <v>9.0</v>
      </c>
    </row>
    <row r="40">
      <c r="N40" s="3" t="s">
        <v>589</v>
      </c>
      <c r="Q40" s="3" t="s">
        <v>590</v>
      </c>
      <c r="S40" s="394"/>
      <c r="Z40" s="395" t="s">
        <v>906</v>
      </c>
      <c r="AA40" s="433">
        <v>15.0</v>
      </c>
      <c r="AB40" s="433">
        <v>14.0</v>
      </c>
      <c r="AC40" s="433">
        <v>13.0</v>
      </c>
      <c r="AD40" s="434">
        <v>12.0</v>
      </c>
      <c r="AE40" s="395" t="s">
        <v>906</v>
      </c>
      <c r="AF40" s="433">
        <v>11.5</v>
      </c>
      <c r="AG40" s="433">
        <v>11.0</v>
      </c>
      <c r="AH40" s="433">
        <v>10.5</v>
      </c>
      <c r="AI40" s="434">
        <v>10.0</v>
      </c>
    </row>
    <row r="41">
      <c r="N41" s="3" t="s">
        <v>591</v>
      </c>
      <c r="Q41" s="3" t="s">
        <v>592</v>
      </c>
      <c r="S41" s="394"/>
      <c r="Z41" s="395" t="s">
        <v>908</v>
      </c>
      <c r="AA41" s="431">
        <v>15.0</v>
      </c>
      <c r="AB41" s="431">
        <v>14.0</v>
      </c>
      <c r="AC41" s="431">
        <v>13.0</v>
      </c>
      <c r="AD41" s="431">
        <v>11.5</v>
      </c>
      <c r="AE41" s="395" t="s">
        <v>908</v>
      </c>
      <c r="AF41" s="431">
        <v>11.0</v>
      </c>
      <c r="AG41" s="431">
        <v>11.0</v>
      </c>
      <c r="AH41" s="431">
        <v>10.0</v>
      </c>
      <c r="AI41" s="431">
        <v>10.0</v>
      </c>
    </row>
    <row r="42">
      <c r="N42" s="3" t="s">
        <v>593</v>
      </c>
      <c r="Q42" s="3" t="s">
        <v>594</v>
      </c>
      <c r="S42" s="394"/>
      <c r="Z42" s="452"/>
      <c r="AA42" s="453"/>
      <c r="AB42" s="453"/>
      <c r="AC42" s="453"/>
      <c r="AD42" s="454"/>
      <c r="AE42" s="452"/>
      <c r="AF42" s="453"/>
      <c r="AG42" s="453"/>
      <c r="AH42" s="453"/>
      <c r="AI42" s="454"/>
    </row>
    <row r="43">
      <c r="N43" s="3" t="s">
        <v>595</v>
      </c>
      <c r="Q43" s="3" t="s">
        <v>596</v>
      </c>
      <c r="S43" s="55"/>
      <c r="Z43" s="401" t="s">
        <v>912</v>
      </c>
      <c r="AA43" s="293">
        <f t="shared" ref="AA43:AD43" si="22">AVERAGE(AA37:AA41)</f>
        <v>15</v>
      </c>
      <c r="AB43" s="293">
        <f t="shared" si="22"/>
        <v>14</v>
      </c>
      <c r="AC43" s="293">
        <f t="shared" si="22"/>
        <v>12.9</v>
      </c>
      <c r="AD43" s="383">
        <f t="shared" si="22"/>
        <v>11.8</v>
      </c>
      <c r="AE43" s="401" t="s">
        <v>912</v>
      </c>
      <c r="AF43" s="293">
        <f t="shared" ref="AF43:AI43" si="23">AVERAGE(AF37:AF41)</f>
        <v>11.3</v>
      </c>
      <c r="AG43" s="293">
        <f t="shared" si="23"/>
        <v>10.7</v>
      </c>
      <c r="AH43" s="293">
        <f t="shared" si="23"/>
        <v>10.1</v>
      </c>
      <c r="AI43" s="383">
        <f t="shared" si="23"/>
        <v>9.5</v>
      </c>
    </row>
    <row r="44">
      <c r="N44" s="3" t="s">
        <v>597</v>
      </c>
      <c r="Q44" s="3" t="s">
        <v>598</v>
      </c>
      <c r="S44" s="384" t="s">
        <v>78</v>
      </c>
      <c r="Y44" s="350" t="s">
        <v>78</v>
      </c>
      <c r="Z44" s="402" t="s">
        <v>786</v>
      </c>
      <c r="AA44" s="403"/>
      <c r="AB44" s="403"/>
      <c r="AC44" s="403"/>
      <c r="AD44" s="412">
        <v>0.3</v>
      </c>
      <c r="AE44" s="402" t="s">
        <v>786</v>
      </c>
      <c r="AF44" s="403"/>
      <c r="AG44" s="403"/>
      <c r="AH44" s="403"/>
      <c r="AI44" s="412">
        <v>2.4</v>
      </c>
      <c r="AJ44" s="350" t="s">
        <v>78</v>
      </c>
    </row>
    <row r="45">
      <c r="N45" s="3" t="s">
        <v>599</v>
      </c>
      <c r="Q45" s="3" t="s">
        <v>600</v>
      </c>
      <c r="S45" s="55"/>
      <c r="Z45" s="405" t="s">
        <v>468</v>
      </c>
      <c r="AA45" s="55"/>
      <c r="AB45" s="55"/>
      <c r="AC45" s="55"/>
      <c r="AD45" s="376">
        <v>1.0</v>
      </c>
      <c r="AE45" s="405" t="s">
        <v>468</v>
      </c>
      <c r="AF45" s="55"/>
      <c r="AG45" s="55"/>
      <c r="AH45" s="55"/>
      <c r="AI45" s="376">
        <v>1.3</v>
      </c>
    </row>
    <row r="46">
      <c r="S46" s="55"/>
      <c r="Z46" s="405" t="s">
        <v>469</v>
      </c>
      <c r="AA46" s="55"/>
      <c r="AB46" s="55"/>
      <c r="AC46" s="55"/>
      <c r="AD46" s="376">
        <v>-1.0</v>
      </c>
      <c r="AE46" s="405" t="s">
        <v>469</v>
      </c>
      <c r="AF46" s="55"/>
      <c r="AG46" s="55"/>
      <c r="AH46" s="55"/>
      <c r="AI46" s="376">
        <v>0.0</v>
      </c>
    </row>
    <row r="47">
      <c r="N47" s="3" t="s">
        <v>601</v>
      </c>
      <c r="Q47" s="3" t="s">
        <v>602</v>
      </c>
      <c r="S47" s="55"/>
      <c r="Z47" s="405" t="s">
        <v>470</v>
      </c>
      <c r="AA47" s="55"/>
      <c r="AB47" s="55"/>
      <c r="AC47" s="55"/>
      <c r="AD47" s="376">
        <v>0.8</v>
      </c>
      <c r="AE47" s="405" t="s">
        <v>470</v>
      </c>
      <c r="AF47" s="55"/>
      <c r="AG47" s="55"/>
      <c r="AH47" s="55"/>
      <c r="AI47" s="376">
        <v>1.5</v>
      </c>
    </row>
    <row r="48">
      <c r="Q48" s="3" t="s">
        <v>603</v>
      </c>
      <c r="S48" s="394"/>
      <c r="Z48" s="407" t="s">
        <v>906</v>
      </c>
      <c r="AA48" s="55"/>
      <c r="AB48" s="55"/>
      <c r="AC48" s="55"/>
      <c r="AD48" s="376">
        <v>0.2</v>
      </c>
      <c r="AE48" s="407" t="s">
        <v>906</v>
      </c>
      <c r="AF48" s="55"/>
      <c r="AG48" s="55"/>
      <c r="AH48" s="55"/>
      <c r="AI48" s="376">
        <v>1.0</v>
      </c>
    </row>
    <row r="49">
      <c r="N49" s="3" t="s">
        <v>604</v>
      </c>
      <c r="S49" s="394"/>
      <c r="Z49" s="407" t="s">
        <v>908</v>
      </c>
      <c r="AA49" s="55"/>
      <c r="AB49" s="408"/>
      <c r="AC49" s="408"/>
      <c r="AD49" s="376">
        <v>0.8</v>
      </c>
      <c r="AE49" s="407" t="s">
        <v>908</v>
      </c>
      <c r="AF49" s="55"/>
      <c r="AG49" s="408"/>
      <c r="AH49" s="408"/>
      <c r="AI49" s="376">
        <v>1.1</v>
      </c>
    </row>
    <row r="50">
      <c r="R50" s="3" t="s">
        <v>605</v>
      </c>
      <c r="S50" s="394"/>
      <c r="Z50" s="455"/>
      <c r="AA50" s="456"/>
      <c r="AB50" s="457"/>
      <c r="AC50" s="456"/>
      <c r="AD50" s="458"/>
      <c r="AE50" s="455"/>
      <c r="AF50" s="456"/>
      <c r="AG50" s="457"/>
      <c r="AH50" s="456"/>
      <c r="AI50" s="458"/>
    </row>
    <row r="51">
      <c r="N51" s="3" t="s">
        <v>606</v>
      </c>
      <c r="R51" s="3" t="s">
        <v>607</v>
      </c>
      <c r="S51" s="55"/>
      <c r="Z51" s="361" t="s">
        <v>912</v>
      </c>
      <c r="AA51" s="451"/>
      <c r="AB51" s="459"/>
      <c r="AC51" s="459"/>
      <c r="AD51" s="379">
        <f>AVERAGE(AD45:AD49)</f>
        <v>0.36</v>
      </c>
      <c r="AE51" s="361" t="s">
        <v>912</v>
      </c>
      <c r="AF51" s="451"/>
      <c r="AG51" s="459"/>
      <c r="AH51" s="459"/>
      <c r="AI51" s="379">
        <f>AVERAGE(AI45:AI49)</f>
        <v>0.98</v>
      </c>
    </row>
    <row r="52">
      <c r="N52" s="65">
        <f>60%*47.5</f>
        <v>28.5</v>
      </c>
      <c r="O52" s="3" t="s">
        <v>608</v>
      </c>
      <c r="R52" s="65">
        <f>60%*55</f>
        <v>33</v>
      </c>
      <c r="Z52" s="343">
        <v>2026.0</v>
      </c>
      <c r="AC52" s="3" t="s">
        <v>1276</v>
      </c>
      <c r="AD52" s="460">
        <v>0.5</v>
      </c>
      <c r="AE52" s="343">
        <v>2027.0</v>
      </c>
    </row>
    <row r="53">
      <c r="N53" s="65">
        <f>N52*72%</f>
        <v>20.52</v>
      </c>
      <c r="O53" s="3" t="s">
        <v>609</v>
      </c>
      <c r="R53" s="65">
        <f>R52*83%</f>
        <v>27.39</v>
      </c>
    </row>
    <row r="54">
      <c r="N54" s="65">
        <f>N52-N53</f>
        <v>7.98</v>
      </c>
      <c r="O54" s="3" t="s">
        <v>610</v>
      </c>
      <c r="R54" s="65">
        <f>R52-R53</f>
        <v>5.61</v>
      </c>
    </row>
    <row r="55">
      <c r="N55" s="3" t="s">
        <v>1285</v>
      </c>
      <c r="Q55" s="3" t="s">
        <v>1286</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1287</v>
      </c>
    </row>
    <row r="64">
      <c r="Q64" s="3" t="s">
        <v>623</v>
      </c>
    </row>
    <row r="65">
      <c r="Q65" s="3" t="s">
        <v>616</v>
      </c>
    </row>
    <row r="66">
      <c r="Q66" s="3" t="s">
        <v>618</v>
      </c>
    </row>
    <row r="68">
      <c r="P68" s="218" t="s">
        <v>619</v>
      </c>
      <c r="Q68" s="31" t="s">
        <v>624</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min="11" max="15" width="14.5"/>
  </cols>
  <sheetData>
    <row r="1">
      <c r="A1" s="60">
        <v>46197.0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61" t="s">
        <v>1259</v>
      </c>
      <c r="AF1" s="61" t="s">
        <v>1260</v>
      </c>
      <c r="AG1" s="61" t="s">
        <v>1261</v>
      </c>
      <c r="AH1" s="61" t="s">
        <v>1262</v>
      </c>
      <c r="AI1" s="61">
        <v>2027.0</v>
      </c>
      <c r="AJ1" s="3"/>
      <c r="AK1" s="3"/>
      <c r="AL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525</v>
      </c>
      <c r="AA2" s="224" t="s">
        <v>526</v>
      </c>
      <c r="AB2" s="224" t="s">
        <v>526</v>
      </c>
      <c r="AC2" s="224" t="s">
        <v>526</v>
      </c>
      <c r="AD2" s="3" t="s">
        <v>527</v>
      </c>
      <c r="AE2" s="224" t="s">
        <v>526</v>
      </c>
      <c r="AF2" s="224" t="s">
        <v>526</v>
      </c>
      <c r="AG2" s="224" t="s">
        <v>526</v>
      </c>
      <c r="AH2" s="224" t="s">
        <v>526</v>
      </c>
      <c r="AI2" s="3" t="s">
        <v>527</v>
      </c>
      <c r="AJ2" s="213" t="s">
        <v>1263</v>
      </c>
      <c r="AK2" s="213"/>
      <c r="AL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304">
        <v>78.0</v>
      </c>
      <c r="AA3" s="266">
        <v>74.0</v>
      </c>
      <c r="AB3" s="266">
        <v>76.0</v>
      </c>
      <c r="AC3" s="266">
        <v>78.0</v>
      </c>
      <c r="AD3" s="258">
        <f t="shared" ref="AD3:AD7" si="4">AVERAGE(Z3:AC3)</f>
        <v>76.5</v>
      </c>
      <c r="AE3" s="266">
        <v>78.0</v>
      </c>
      <c r="AF3" s="266">
        <v>80.0</v>
      </c>
      <c r="AG3" s="266">
        <v>84.0</v>
      </c>
      <c r="AH3" s="266">
        <v>85.0</v>
      </c>
      <c r="AI3" s="258">
        <f t="shared" ref="AI3:AI7" si="5">AVERAGE(AE3:AH3)</f>
        <v>81.75</v>
      </c>
      <c r="AJ3" s="215">
        <f t="shared" ref="AJ3:AJ8" si="6">AD3/Y3-1</f>
        <v>-0.08602150538</v>
      </c>
      <c r="AK3" s="3"/>
      <c r="AL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304">
        <v>80.0</v>
      </c>
      <c r="AA4" s="266">
        <v>105.0</v>
      </c>
      <c r="AB4" s="264">
        <v>77.0</v>
      </c>
      <c r="AC4" s="264">
        <v>73.0</v>
      </c>
      <c r="AD4" s="258">
        <f t="shared" si="4"/>
        <v>83.75</v>
      </c>
      <c r="AE4" s="264">
        <v>72.0</v>
      </c>
      <c r="AF4" s="264">
        <v>71.0</v>
      </c>
      <c r="AG4" s="264">
        <v>71.0</v>
      </c>
      <c r="AH4" s="264">
        <v>69.0</v>
      </c>
      <c r="AI4" s="258">
        <f t="shared" si="5"/>
        <v>70.75</v>
      </c>
      <c r="AJ4" s="215">
        <f t="shared" si="6"/>
        <v>0.2102601156</v>
      </c>
      <c r="AK4" s="3"/>
      <c r="AL4" s="3" t="s">
        <v>1244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7">V4-V6</f>
        <v>56</v>
      </c>
      <c r="W5" s="254">
        <f t="shared" si="7"/>
        <v>56</v>
      </c>
      <c r="X5" s="254">
        <v>45.0</v>
      </c>
      <c r="Y5" s="248">
        <f t="shared" si="3"/>
        <v>55.15</v>
      </c>
      <c r="Z5" s="347">
        <v>54.24</v>
      </c>
      <c r="AA5" s="430">
        <v>82.0</v>
      </c>
      <c r="AB5" s="264">
        <f t="shared" ref="AB5:AC5" si="8">AB4-AB6</f>
        <v>56</v>
      </c>
      <c r="AC5" s="264">
        <f t="shared" si="8"/>
        <v>53</v>
      </c>
      <c r="AD5" s="258">
        <f t="shared" si="4"/>
        <v>61.31</v>
      </c>
      <c r="AE5" s="264">
        <f t="shared" ref="AE5:AH5" si="9">AE4-AE6</f>
        <v>55</v>
      </c>
      <c r="AF5" s="264">
        <f t="shared" si="9"/>
        <v>54</v>
      </c>
      <c r="AG5" s="264">
        <f t="shared" si="9"/>
        <v>54</v>
      </c>
      <c r="AH5" s="264">
        <f t="shared" si="9"/>
        <v>52</v>
      </c>
      <c r="AI5" s="258">
        <f t="shared" si="5"/>
        <v>53.75</v>
      </c>
      <c r="AJ5" s="215">
        <f t="shared" si="6"/>
        <v>0.1116953762</v>
      </c>
      <c r="AK5" s="3"/>
      <c r="AL5" s="3" t="s">
        <v>1245</v>
      </c>
    </row>
    <row r="6" ht="26.25" customHeight="1">
      <c r="A6" s="245" t="s">
        <v>643</v>
      </c>
      <c r="B6" s="4"/>
      <c r="C6" s="4"/>
      <c r="D6" s="54"/>
      <c r="E6" s="54"/>
      <c r="F6" s="54"/>
      <c r="G6" s="54"/>
      <c r="H6" s="54"/>
      <c r="I6" s="112"/>
      <c r="J6" s="112"/>
      <c r="K6" s="263">
        <f t="shared" ref="K6:O6" si="10">K4-K5</f>
        <v>29</v>
      </c>
      <c r="L6" s="263">
        <f t="shared" si="10"/>
        <v>24</v>
      </c>
      <c r="M6" s="246">
        <f t="shared" si="10"/>
        <v>21.3</v>
      </c>
      <c r="N6" s="246">
        <f t="shared" si="10"/>
        <v>14.9</v>
      </c>
      <c r="O6" s="248">
        <f t="shared" si="10"/>
        <v>22.3</v>
      </c>
      <c r="P6" s="255">
        <v>15.0</v>
      </c>
      <c r="Q6" s="254">
        <f t="shared" ref="Q6:R6" si="11">Q4-Q5</f>
        <v>13.6</v>
      </c>
      <c r="R6" s="255">
        <f t="shared" si="11"/>
        <v>16</v>
      </c>
      <c r="S6" s="255">
        <v>10.0</v>
      </c>
      <c r="T6" s="248">
        <f t="shared" si="2"/>
        <v>13.65</v>
      </c>
      <c r="U6" s="347">
        <f>U4-U5</f>
        <v>12.2</v>
      </c>
      <c r="V6" s="255">
        <v>12.0</v>
      </c>
      <c r="W6" s="255">
        <v>13.0</v>
      </c>
      <c r="X6" s="254">
        <v>18.4</v>
      </c>
      <c r="Y6" s="258">
        <f t="shared" si="3"/>
        <v>13.9</v>
      </c>
      <c r="Z6" s="347">
        <f>Z4-Z5</f>
        <v>25.76</v>
      </c>
      <c r="AA6" s="264">
        <v>23.0</v>
      </c>
      <c r="AB6" s="264">
        <v>21.0</v>
      </c>
      <c r="AC6" s="264">
        <v>20.0</v>
      </c>
      <c r="AD6" s="258">
        <f t="shared" si="4"/>
        <v>22.44</v>
      </c>
      <c r="AE6" s="264">
        <v>17.0</v>
      </c>
      <c r="AF6" s="264">
        <v>17.0</v>
      </c>
      <c r="AG6" s="264">
        <v>17.0</v>
      </c>
      <c r="AH6" s="264">
        <v>17.0</v>
      </c>
      <c r="AI6" s="258">
        <f t="shared" si="5"/>
        <v>17</v>
      </c>
      <c r="AJ6" s="215">
        <f t="shared" si="6"/>
        <v>0.6143884892</v>
      </c>
      <c r="AK6" s="3"/>
      <c r="AL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82">
        <v>5.9</v>
      </c>
      <c r="AA7" s="267">
        <v>5.8</v>
      </c>
      <c r="AB7" s="267">
        <v>5.5</v>
      </c>
      <c r="AC7" s="267">
        <v>5.9</v>
      </c>
      <c r="AD7" s="258">
        <f t="shared" si="4"/>
        <v>5.775</v>
      </c>
      <c r="AE7" s="267">
        <v>4.9</v>
      </c>
      <c r="AF7" s="267">
        <v>5.2</v>
      </c>
      <c r="AG7" s="267">
        <v>5.9</v>
      </c>
      <c r="AH7" s="267">
        <v>5.8</v>
      </c>
      <c r="AI7" s="258">
        <f t="shared" si="5"/>
        <v>5.45</v>
      </c>
      <c r="AJ7" s="215">
        <f t="shared" si="6"/>
        <v>-0.3063063063</v>
      </c>
      <c r="AK7" s="99"/>
      <c r="AL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71">
        <v>15.0</v>
      </c>
      <c r="AA8" s="269">
        <v>14.25</v>
      </c>
      <c r="AB8" s="269">
        <v>13.75</v>
      </c>
      <c r="AC8" s="269">
        <v>13.25</v>
      </c>
      <c r="AD8" s="258">
        <v>14.5</v>
      </c>
      <c r="AE8" s="269">
        <v>12.5</v>
      </c>
      <c r="AF8" s="269">
        <v>12.0</v>
      </c>
      <c r="AG8" s="269">
        <v>11.5</v>
      </c>
      <c r="AH8" s="269">
        <v>11.0</v>
      </c>
      <c r="AI8" s="258">
        <v>12.1</v>
      </c>
      <c r="AJ8" s="215">
        <f t="shared" si="6"/>
        <v>-0.2447916667</v>
      </c>
    </row>
    <row r="9" hidden="1">
      <c r="A9" s="252" t="s">
        <v>766</v>
      </c>
      <c r="E9" s="114"/>
      <c r="F9" s="115"/>
      <c r="G9" s="115"/>
      <c r="H9" s="115"/>
      <c r="I9" s="112"/>
      <c r="J9" s="112"/>
      <c r="T9" s="103"/>
      <c r="U9" s="54"/>
      <c r="V9" s="287" t="s">
        <v>767</v>
      </c>
      <c r="W9" s="54"/>
      <c r="X9" s="54"/>
      <c r="Y9" s="103"/>
    </row>
    <row r="10">
      <c r="E10" s="114"/>
      <c r="F10" s="115"/>
      <c r="G10" s="115"/>
      <c r="H10" s="115"/>
      <c r="I10" s="112"/>
      <c r="J10" s="112"/>
      <c r="Y10" s="414">
        <f>Y4/T4-1</f>
        <v>-0.1419714817</v>
      </c>
      <c r="Z10" s="343">
        <v>2026.0</v>
      </c>
      <c r="AA10" s="348" t="s">
        <v>1120</v>
      </c>
      <c r="AB10" s="348" t="s">
        <v>1121</v>
      </c>
      <c r="AC10" s="348" t="s">
        <v>1122</v>
      </c>
      <c r="AD10" s="349" t="s">
        <v>1123</v>
      </c>
      <c r="AE10" s="343">
        <v>2027.0</v>
      </c>
      <c r="AF10" s="348" t="s">
        <v>1259</v>
      </c>
      <c r="AG10" s="348" t="s">
        <v>1260</v>
      </c>
      <c r="AH10" s="348" t="s">
        <v>1261</v>
      </c>
      <c r="AI10" s="349" t="s">
        <v>1262</v>
      </c>
    </row>
    <row r="11">
      <c r="E11" s="114"/>
      <c r="F11" s="115"/>
      <c r="G11" s="115"/>
      <c r="H11" s="115"/>
      <c r="I11" s="112" t="s">
        <v>406</v>
      </c>
      <c r="J11" s="112" t="s">
        <v>406</v>
      </c>
      <c r="Y11" s="350" t="s">
        <v>1006</v>
      </c>
      <c r="Z11" s="351" t="s">
        <v>54</v>
      </c>
      <c r="AA11" s="411"/>
      <c r="AB11" s="411"/>
      <c r="AC11" s="411">
        <v>76.0</v>
      </c>
      <c r="AD11" s="411">
        <v>75.0</v>
      </c>
      <c r="AE11" s="351" t="s">
        <v>54</v>
      </c>
      <c r="AF11" s="411">
        <v>74.0</v>
      </c>
      <c r="AG11" s="411">
        <v>73.0</v>
      </c>
      <c r="AH11" s="411">
        <v>72.0</v>
      </c>
      <c r="AI11" s="411">
        <v>71.0</v>
      </c>
      <c r="AJ11" s="350" t="s">
        <v>1006</v>
      </c>
    </row>
    <row r="12">
      <c r="E12" s="114" t="s">
        <v>241</v>
      </c>
      <c r="F12" s="115" t="s">
        <v>242</v>
      </c>
      <c r="G12" s="115" t="s">
        <v>242</v>
      </c>
      <c r="H12" s="115" t="s">
        <v>194</v>
      </c>
      <c r="I12" s="115" t="s">
        <v>148</v>
      </c>
      <c r="Z12" s="352" t="s">
        <v>468</v>
      </c>
      <c r="AA12" s="354"/>
      <c r="AB12" s="354"/>
      <c r="AC12" s="354">
        <v>73.0</v>
      </c>
      <c r="AD12" s="354">
        <v>70.0</v>
      </c>
      <c r="AE12" s="352" t="s">
        <v>468</v>
      </c>
      <c r="AF12" s="354">
        <v>69.0</v>
      </c>
      <c r="AG12" s="354">
        <v>68.0</v>
      </c>
      <c r="AH12" s="354">
        <v>67.0</v>
      </c>
      <c r="AI12" s="354">
        <v>66.0</v>
      </c>
    </row>
    <row r="13">
      <c r="C13" s="4">
        <v>5.7</v>
      </c>
      <c r="D13" s="4">
        <v>6.5</v>
      </c>
      <c r="E13" s="62">
        <v>7.4</v>
      </c>
      <c r="F13" s="54">
        <v>8.1</v>
      </c>
      <c r="G13" s="54"/>
      <c r="H13" s="62"/>
      <c r="I13" s="62"/>
      <c r="J13" s="62"/>
      <c r="Z13" s="352" t="s">
        <v>469</v>
      </c>
      <c r="AA13" s="354"/>
      <c r="AB13" s="354"/>
      <c r="AC13" s="354">
        <v>80.0</v>
      </c>
      <c r="AD13" s="354">
        <v>77.0</v>
      </c>
      <c r="AE13" s="352" t="s">
        <v>469</v>
      </c>
      <c r="AF13" s="354">
        <v>75.0</v>
      </c>
      <c r="AG13" s="354">
        <v>73.0</v>
      </c>
      <c r="AH13" s="354">
        <v>71.0</v>
      </c>
      <c r="AI13" s="354">
        <v>68.0</v>
      </c>
    </row>
    <row r="14">
      <c r="D14" s="111"/>
      <c r="E14" s="117"/>
      <c r="F14" s="112"/>
      <c r="G14" s="112"/>
      <c r="H14" s="112"/>
      <c r="I14" s="117"/>
      <c r="J14" s="112"/>
      <c r="Z14" s="352" t="s">
        <v>470</v>
      </c>
      <c r="AA14" s="354"/>
      <c r="AB14" s="354"/>
      <c r="AC14" s="354">
        <v>80.0</v>
      </c>
      <c r="AD14" s="354">
        <v>77.0</v>
      </c>
      <c r="AE14" s="352" t="s">
        <v>470</v>
      </c>
      <c r="AF14" s="354">
        <v>75.0</v>
      </c>
      <c r="AG14" s="354">
        <v>75.0</v>
      </c>
      <c r="AH14" s="354">
        <v>75.0</v>
      </c>
      <c r="AI14" s="354">
        <v>75.0</v>
      </c>
      <c r="AJ14" s="4"/>
      <c r="AK14" s="4"/>
      <c r="AL14" s="4"/>
    </row>
    <row r="15">
      <c r="D15" s="111"/>
      <c r="E15" s="117"/>
      <c r="F15" s="112"/>
      <c r="G15" s="112"/>
      <c r="H15" s="112"/>
      <c r="I15" s="117"/>
      <c r="J15" s="112"/>
      <c r="Z15" s="436" t="s">
        <v>1225</v>
      </c>
      <c r="AA15" s="354"/>
      <c r="AB15" s="354"/>
      <c r="AC15" s="354">
        <v>78.0</v>
      </c>
      <c r="AD15" s="354">
        <v>73.0</v>
      </c>
      <c r="AE15" s="436" t="s">
        <v>1225</v>
      </c>
      <c r="AF15" s="354">
        <v>73.0</v>
      </c>
      <c r="AG15" s="354">
        <v>72.0</v>
      </c>
      <c r="AH15" s="354">
        <v>72.0</v>
      </c>
      <c r="AI15" s="354">
        <v>71.0</v>
      </c>
      <c r="AJ15" s="41"/>
      <c r="AK15" s="41"/>
      <c r="AL15" s="41"/>
    </row>
    <row r="16">
      <c r="D16" s="111" t="s">
        <v>241</v>
      </c>
      <c r="E16" s="117">
        <v>7.0</v>
      </c>
      <c r="F16" s="112">
        <v>7.3</v>
      </c>
      <c r="G16" s="112"/>
      <c r="H16" s="112"/>
      <c r="I16" s="117"/>
      <c r="J16" s="112"/>
      <c r="Z16" s="440" t="s">
        <v>468</v>
      </c>
      <c r="AA16" s="354"/>
      <c r="AB16" s="354"/>
      <c r="AC16" s="354">
        <v>75.0</v>
      </c>
      <c r="AD16" s="354">
        <v>73.0</v>
      </c>
      <c r="AE16" s="440" t="s">
        <v>468</v>
      </c>
      <c r="AF16" s="354">
        <v>71.0</v>
      </c>
      <c r="AG16" s="354">
        <v>70.0</v>
      </c>
      <c r="AH16" s="354">
        <v>69.0</v>
      </c>
      <c r="AI16" s="354">
        <v>68.0</v>
      </c>
      <c r="AJ16" s="4"/>
      <c r="AK16" s="4"/>
      <c r="AL16" s="4"/>
    </row>
    <row r="17">
      <c r="C17" s="10"/>
      <c r="D17" s="10"/>
      <c r="E17" s="10"/>
      <c r="F17" s="10"/>
      <c r="G17" s="10"/>
      <c r="H17" s="10"/>
      <c r="I17" s="10"/>
      <c r="J17" s="10"/>
      <c r="Z17" s="440" t="s">
        <v>906</v>
      </c>
      <c r="AA17" s="444"/>
      <c r="AB17" s="445"/>
      <c r="AC17" s="445">
        <v>78.0</v>
      </c>
      <c r="AD17" s="446">
        <v>70.0</v>
      </c>
      <c r="AE17" s="440" t="s">
        <v>906</v>
      </c>
      <c r="AF17" s="445">
        <v>70.0</v>
      </c>
      <c r="AG17" s="445">
        <v>70.0</v>
      </c>
      <c r="AH17" s="445">
        <v>69.0</v>
      </c>
      <c r="AI17" s="446">
        <v>68.0</v>
      </c>
    </row>
    <row r="18">
      <c r="E18" s="118"/>
      <c r="F18" s="118"/>
      <c r="G18" s="118"/>
      <c r="H18" s="118"/>
      <c r="I18" s="118"/>
      <c r="J18" s="118"/>
      <c r="K18" s="425">
        <v>78.9</v>
      </c>
      <c r="L18" s="426">
        <v>80.1</v>
      </c>
      <c r="V18" s="19" t="s">
        <v>1288</v>
      </c>
      <c r="Z18" s="361" t="s">
        <v>912</v>
      </c>
      <c r="AA18" s="359"/>
      <c r="AB18" s="359" t="str">
        <f t="shared" ref="AB18:AD18" si="12">AVERAGE(AB12:AB17)</f>
        <v>#DIV/0!</v>
      </c>
      <c r="AC18" s="359">
        <f t="shared" si="12"/>
        <v>77.33333333</v>
      </c>
      <c r="AD18" s="359">
        <f t="shared" si="12"/>
        <v>73.33333333</v>
      </c>
      <c r="AE18" s="361" t="s">
        <v>912</v>
      </c>
      <c r="AF18" s="359">
        <f t="shared" ref="AF18:AI18" si="13">AVERAGE(AF12:AF17)</f>
        <v>72.16666667</v>
      </c>
      <c r="AG18" s="359">
        <f t="shared" si="13"/>
        <v>71.33333333</v>
      </c>
      <c r="AH18" s="359">
        <f t="shared" si="13"/>
        <v>70.5</v>
      </c>
      <c r="AI18" s="359">
        <f t="shared" si="13"/>
        <v>69.33333333</v>
      </c>
      <c r="AJ18" s="4"/>
      <c r="AK18" s="4"/>
      <c r="AL18" s="4"/>
    </row>
    <row r="19">
      <c r="E19" s="118"/>
      <c r="F19" s="118"/>
      <c r="G19" s="118"/>
      <c r="H19" s="118"/>
      <c r="I19" s="118"/>
      <c r="J19" s="118"/>
      <c r="K19" s="425">
        <v>10.98</v>
      </c>
      <c r="L19" s="426">
        <v>11.12</v>
      </c>
      <c r="T19" s="4" t="s">
        <v>340</v>
      </c>
      <c r="U19" s="4" t="s">
        <v>171</v>
      </c>
      <c r="V19" s="4" t="s">
        <v>343</v>
      </c>
      <c r="W19" s="4" t="s">
        <v>581</v>
      </c>
      <c r="Z19" s="364"/>
      <c r="AA19" s="427">
        <v>46112.0</v>
      </c>
      <c r="AB19" s="365">
        <f t="shared" ref="AB19:AD19" si="14">EOMONTH(AA19,3)</f>
        <v>46203</v>
      </c>
      <c r="AC19" s="365">
        <f t="shared" si="14"/>
        <v>46295</v>
      </c>
      <c r="AD19" s="365">
        <f t="shared" si="14"/>
        <v>46387</v>
      </c>
      <c r="AE19" s="364"/>
      <c r="AF19" s="427">
        <v>46477.0</v>
      </c>
      <c r="AG19" s="365">
        <f t="shared" ref="AG19:AI19" si="15">EOMONTH(AF19,3)</f>
        <v>46568</v>
      </c>
      <c r="AH19" s="365">
        <f t="shared" si="15"/>
        <v>46660</v>
      </c>
      <c r="AI19" s="365">
        <f t="shared" si="15"/>
        <v>46752</v>
      </c>
    </row>
    <row r="20">
      <c r="E20" s="118"/>
      <c r="F20" s="118"/>
      <c r="G20" s="118"/>
      <c r="H20" s="118"/>
      <c r="I20" s="118"/>
      <c r="J20" s="118"/>
      <c r="K20" s="425">
        <v>7.14</v>
      </c>
      <c r="L20" s="426">
        <v>7.18</v>
      </c>
      <c r="R20" s="308"/>
      <c r="S20" s="4" t="s">
        <v>62</v>
      </c>
      <c r="T20" s="461">
        <v>76.6</v>
      </c>
      <c r="U20" s="461">
        <v>72.71</v>
      </c>
      <c r="V20" s="29">
        <v>72.9</v>
      </c>
      <c r="W20" s="226">
        <f t="shared" ref="W20:W23" si="16">AVERAGE(T20:V20)</f>
        <v>74.07</v>
      </c>
      <c r="Y20" s="366" t="s">
        <v>1011</v>
      </c>
      <c r="Z20" s="367" t="s">
        <v>786</v>
      </c>
      <c r="AA20" s="348"/>
      <c r="AB20" s="348"/>
      <c r="AC20" s="348">
        <v>75.0</v>
      </c>
      <c r="AD20" s="349">
        <v>76.0</v>
      </c>
      <c r="AE20" s="367" t="s">
        <v>786</v>
      </c>
      <c r="AF20" s="348">
        <v>76.0</v>
      </c>
      <c r="AG20" s="348">
        <v>79.0</v>
      </c>
      <c r="AH20" s="348">
        <v>83.0</v>
      </c>
      <c r="AI20" s="349">
        <v>85.0</v>
      </c>
      <c r="AJ20" s="366" t="s">
        <v>1011</v>
      </c>
    </row>
    <row r="21">
      <c r="E21" s="118"/>
      <c r="F21" s="118"/>
      <c r="G21" s="118"/>
      <c r="H21" s="118"/>
      <c r="I21" s="118"/>
      <c r="J21" s="118"/>
      <c r="K21" s="425">
        <v>93.4</v>
      </c>
      <c r="L21" s="426">
        <v>93.2</v>
      </c>
      <c r="R21" s="309"/>
      <c r="S21" s="4" t="s">
        <v>28</v>
      </c>
      <c r="T21" s="461">
        <v>122.21</v>
      </c>
      <c r="U21" s="461">
        <v>107.6</v>
      </c>
      <c r="V21" s="29">
        <v>89.95</v>
      </c>
      <c r="W21" s="226">
        <f t="shared" si="16"/>
        <v>106.5866667</v>
      </c>
      <c r="Y21" s="3" t="s">
        <v>1188</v>
      </c>
      <c r="Z21" s="352" t="s">
        <v>468</v>
      </c>
      <c r="AA21" s="354"/>
      <c r="AB21" s="354"/>
      <c r="AC21" s="354">
        <v>77.0</v>
      </c>
      <c r="AD21" s="355">
        <v>79.0</v>
      </c>
      <c r="AE21" s="352" t="s">
        <v>468</v>
      </c>
      <c r="AF21" s="354">
        <v>80.0</v>
      </c>
      <c r="AG21" s="354">
        <v>82.0</v>
      </c>
      <c r="AH21" s="354">
        <v>83.0</v>
      </c>
      <c r="AI21" s="355">
        <v>85.0</v>
      </c>
    </row>
    <row r="22">
      <c r="E22" s="118"/>
      <c r="F22" s="118"/>
      <c r="G22" s="118"/>
      <c r="H22" s="118"/>
      <c r="I22" s="118"/>
      <c r="J22" s="118"/>
      <c r="K22" s="425">
        <v>1.17</v>
      </c>
      <c r="L22" s="426">
        <v>1.16</v>
      </c>
      <c r="R22" s="309"/>
      <c r="S22" s="4" t="s">
        <v>1270</v>
      </c>
      <c r="T22" s="461">
        <v>95.3</v>
      </c>
      <c r="U22" s="461">
        <v>86.52</v>
      </c>
      <c r="V22" s="29">
        <v>69.2</v>
      </c>
      <c r="W22" s="226">
        <f t="shared" si="16"/>
        <v>83.67333333</v>
      </c>
      <c r="Z22" s="352" t="s">
        <v>469</v>
      </c>
      <c r="AA22" s="354"/>
      <c r="AB22" s="354"/>
      <c r="AC22" s="354">
        <v>76.0</v>
      </c>
      <c r="AD22" s="356">
        <v>78.0</v>
      </c>
      <c r="AE22" s="352" t="s">
        <v>469</v>
      </c>
      <c r="AF22" s="354">
        <v>78.0</v>
      </c>
      <c r="AG22" s="354">
        <v>80.0</v>
      </c>
      <c r="AH22" s="354">
        <v>85.0</v>
      </c>
      <c r="AI22" s="355">
        <v>86.0</v>
      </c>
    </row>
    <row r="23">
      <c r="E23" s="118"/>
      <c r="F23" s="118"/>
      <c r="G23" s="118"/>
      <c r="H23" s="118"/>
      <c r="I23" s="118"/>
      <c r="J23" s="118"/>
      <c r="K23" s="425">
        <v>71.0</v>
      </c>
      <c r="L23" s="426">
        <v>68.0</v>
      </c>
      <c r="R23" s="309"/>
      <c r="S23" s="4" t="s">
        <v>1214</v>
      </c>
      <c r="T23" s="461">
        <f t="shared" ref="T23:V23" si="17">T21-T22</f>
        <v>26.91</v>
      </c>
      <c r="U23" s="117">
        <f t="shared" si="17"/>
        <v>21.08</v>
      </c>
      <c r="V23" s="117">
        <f t="shared" si="17"/>
        <v>20.75</v>
      </c>
      <c r="W23" s="226">
        <f t="shared" si="16"/>
        <v>22.91333333</v>
      </c>
      <c r="Z23" s="352" t="s">
        <v>470</v>
      </c>
      <c r="AA23" s="354"/>
      <c r="AB23" s="354"/>
      <c r="AC23" s="354">
        <v>76.0</v>
      </c>
      <c r="AD23" s="356">
        <v>77.0</v>
      </c>
      <c r="AE23" s="352" t="s">
        <v>470</v>
      </c>
      <c r="AF23" s="354">
        <v>77.0</v>
      </c>
      <c r="AG23" s="354">
        <v>80.0</v>
      </c>
      <c r="AH23" s="354">
        <v>84.0</v>
      </c>
      <c r="AI23" s="355">
        <v>86.0</v>
      </c>
    </row>
    <row r="24">
      <c r="E24" s="118"/>
      <c r="F24" s="118"/>
      <c r="G24" s="118"/>
      <c r="H24" s="118"/>
      <c r="I24" s="118"/>
      <c r="J24" s="118"/>
      <c r="K24" s="425">
        <v>57.4</v>
      </c>
      <c r="L24" s="426">
        <v>56.1</v>
      </c>
      <c r="R24" s="309"/>
      <c r="Z24" s="357" t="s">
        <v>906</v>
      </c>
      <c r="AA24" s="354"/>
      <c r="AB24" s="354"/>
      <c r="AC24" s="354">
        <v>76.0</v>
      </c>
      <c r="AD24" s="356">
        <v>78.0</v>
      </c>
      <c r="AE24" s="357" t="s">
        <v>906</v>
      </c>
      <c r="AF24" s="354">
        <v>78.0</v>
      </c>
      <c r="AG24" s="354">
        <v>80.0</v>
      </c>
      <c r="AH24" s="354">
        <v>83.0</v>
      </c>
      <c r="AI24" s="355">
        <v>85.0</v>
      </c>
    </row>
    <row r="25">
      <c r="E25" s="118"/>
      <c r="F25" s="118"/>
      <c r="G25" s="118"/>
      <c r="H25" s="118"/>
      <c r="I25" s="118"/>
      <c r="J25" s="118"/>
      <c r="R25" s="308"/>
      <c r="Z25" s="358" t="s">
        <v>908</v>
      </c>
      <c r="AA25" s="354"/>
      <c r="AB25" s="354"/>
      <c r="AC25" s="354">
        <v>76.0</v>
      </c>
      <c r="AD25" s="356">
        <v>77.0</v>
      </c>
      <c r="AE25" s="358" t="s">
        <v>908</v>
      </c>
      <c r="AF25" s="354">
        <v>78.0</v>
      </c>
      <c r="AG25" s="354">
        <v>80.0</v>
      </c>
      <c r="AH25" s="354">
        <v>83.0</v>
      </c>
      <c r="AI25" s="355">
        <v>85.0</v>
      </c>
    </row>
    <row r="26">
      <c r="A26" s="3"/>
      <c r="B26" s="12"/>
      <c r="C26" s="12"/>
      <c r="D26" s="13"/>
      <c r="E26" s="13"/>
      <c r="F26" s="13"/>
      <c r="G26" s="13"/>
      <c r="H26" s="13"/>
      <c r="I26" s="13"/>
      <c r="J26" s="13"/>
      <c r="R26" s="308"/>
      <c r="S26" s="309"/>
      <c r="Z26" s="358"/>
      <c r="AA26" s="444"/>
      <c r="AB26" s="444"/>
      <c r="AC26" s="444"/>
      <c r="AD26" s="447"/>
      <c r="AE26" s="358"/>
      <c r="AF26" s="444"/>
      <c r="AG26" s="444"/>
      <c r="AH26" s="444"/>
      <c r="AI26" s="447"/>
    </row>
    <row r="27">
      <c r="S27" s="19"/>
      <c r="T27" s="4" t="s">
        <v>345</v>
      </c>
      <c r="U27" s="4" t="s">
        <v>347</v>
      </c>
      <c r="V27" s="4" t="s">
        <v>348</v>
      </c>
      <c r="W27" s="4" t="s">
        <v>581</v>
      </c>
      <c r="Z27" s="361" t="s">
        <v>912</v>
      </c>
      <c r="AA27" s="359" t="str">
        <f t="shared" ref="AA27:AD27" si="18">AVERAGE(AA21:AA25)</f>
        <v>#DIV/0!</v>
      </c>
      <c r="AB27" s="359" t="str">
        <f t="shared" si="18"/>
        <v>#DIV/0!</v>
      </c>
      <c r="AC27" s="359">
        <f t="shared" si="18"/>
        <v>76.2</v>
      </c>
      <c r="AD27" s="360">
        <f t="shared" si="18"/>
        <v>77.8</v>
      </c>
      <c r="AE27" s="361" t="s">
        <v>912</v>
      </c>
      <c r="AF27" s="359">
        <f t="shared" ref="AF27:AI27" si="19">AVERAGE(AF21:AF25)</f>
        <v>78.2</v>
      </c>
      <c r="AG27" s="359">
        <f t="shared" si="19"/>
        <v>80.4</v>
      </c>
      <c r="AH27" s="359">
        <f t="shared" si="19"/>
        <v>83.6</v>
      </c>
      <c r="AI27" s="360">
        <f t="shared" si="19"/>
        <v>85.4</v>
      </c>
    </row>
    <row r="28">
      <c r="S28" s="4" t="s">
        <v>62</v>
      </c>
      <c r="T28" s="437"/>
      <c r="U28" s="437"/>
      <c r="V28" s="437"/>
      <c r="W28" s="226" t="str">
        <f t="shared" ref="W28:W31" si="20">AVERAGE(T28:V28)</f>
        <v>#DIV/0!</v>
      </c>
      <c r="Y28" s="366" t="s">
        <v>81</v>
      </c>
      <c r="Z28" s="371" t="s">
        <v>786</v>
      </c>
      <c r="AA28" s="372"/>
      <c r="AB28" s="372"/>
      <c r="AC28" s="372"/>
      <c r="AD28" s="373">
        <v>5.5</v>
      </c>
      <c r="AE28" s="371" t="s">
        <v>786</v>
      </c>
      <c r="AF28" s="372"/>
      <c r="AG28" s="372"/>
      <c r="AH28" s="372"/>
      <c r="AI28" s="373">
        <v>6.1</v>
      </c>
      <c r="AJ28" s="366" t="s">
        <v>81</v>
      </c>
    </row>
    <row r="29">
      <c r="Q29" s="4"/>
      <c r="R29" s="55"/>
      <c r="S29" s="4" t="s">
        <v>28</v>
      </c>
      <c r="T29" s="437">
        <v>100.0</v>
      </c>
      <c r="U29" s="437">
        <v>85.0</v>
      </c>
      <c r="V29" s="437">
        <v>80.0</v>
      </c>
      <c r="W29" s="226">
        <f t="shared" si="20"/>
        <v>88.33333333</v>
      </c>
      <c r="Y29" s="99" t="s">
        <v>1273</v>
      </c>
      <c r="Z29" s="374" t="s">
        <v>468</v>
      </c>
      <c r="AA29" s="53"/>
      <c r="AB29" s="53"/>
      <c r="AC29" s="303"/>
      <c r="AD29" s="376">
        <v>6.0</v>
      </c>
      <c r="AE29" s="374" t="s">
        <v>468</v>
      </c>
      <c r="AF29" s="53"/>
      <c r="AG29" s="53"/>
      <c r="AH29" s="303"/>
      <c r="AI29" s="376">
        <v>6.1</v>
      </c>
      <c r="AJ29" s="3" t="s">
        <v>1274</v>
      </c>
    </row>
    <row r="30">
      <c r="M30" s="308"/>
      <c r="Q30" s="4"/>
      <c r="R30" s="55"/>
      <c r="S30" s="4" t="s">
        <v>1270</v>
      </c>
      <c r="T30" s="437">
        <v>80.0</v>
      </c>
      <c r="U30" s="437">
        <v>65.0</v>
      </c>
      <c r="V30" s="437">
        <v>60.0</v>
      </c>
      <c r="W30" s="226">
        <f t="shared" si="20"/>
        <v>68.33333333</v>
      </c>
      <c r="Y30" s="99" t="s">
        <v>1193</v>
      </c>
      <c r="Z30" s="352" t="s">
        <v>469</v>
      </c>
      <c r="AA30" s="52"/>
      <c r="AB30" s="53"/>
      <c r="AC30" s="303"/>
      <c r="AD30" s="376">
        <v>6.0</v>
      </c>
      <c r="AE30" s="352" t="s">
        <v>469</v>
      </c>
      <c r="AF30" s="52" t="s">
        <v>1282</v>
      </c>
      <c r="AG30" s="53"/>
      <c r="AH30" s="303"/>
      <c r="AI30" s="376">
        <v>6.0</v>
      </c>
    </row>
    <row r="31">
      <c r="M31" s="309"/>
      <c r="Q31" s="4"/>
      <c r="R31" s="55"/>
      <c r="S31" s="4" t="s">
        <v>1214</v>
      </c>
      <c r="T31" s="117">
        <f t="shared" ref="T31:V31" si="21">T29-T30</f>
        <v>20</v>
      </c>
      <c r="U31" s="117">
        <f t="shared" si="21"/>
        <v>20</v>
      </c>
      <c r="V31" s="117">
        <f t="shared" si="21"/>
        <v>20</v>
      </c>
      <c r="W31" s="226">
        <f t="shared" si="20"/>
        <v>20</v>
      </c>
      <c r="Y31" s="99" t="s">
        <v>1195</v>
      </c>
      <c r="Z31" s="374" t="s">
        <v>470</v>
      </c>
      <c r="AA31" s="52"/>
      <c r="AB31" s="53"/>
      <c r="AC31" s="303"/>
      <c r="AD31" s="376">
        <v>6.0</v>
      </c>
      <c r="AE31" s="374" t="s">
        <v>470</v>
      </c>
      <c r="AF31" s="53"/>
      <c r="AG31" s="53"/>
      <c r="AH31" s="303"/>
      <c r="AI31" s="376">
        <v>6.0</v>
      </c>
    </row>
    <row r="32">
      <c r="M32" s="309"/>
      <c r="Q32" s="4"/>
      <c r="R32" s="55"/>
      <c r="S32" s="377"/>
      <c r="Z32" s="358" t="s">
        <v>906</v>
      </c>
      <c r="AA32" s="52"/>
      <c r="AB32" s="55"/>
      <c r="AC32" s="303"/>
      <c r="AD32" s="376">
        <v>5.8</v>
      </c>
      <c r="AE32" s="358" t="s">
        <v>906</v>
      </c>
      <c r="AF32" s="55"/>
      <c r="AG32" s="55"/>
      <c r="AH32" s="303"/>
      <c r="AI32" s="376">
        <v>5.5</v>
      </c>
    </row>
    <row r="33">
      <c r="M33" s="309"/>
      <c r="Q33" s="4"/>
      <c r="R33" s="55"/>
      <c r="S33" s="377"/>
      <c r="Z33" s="358" t="s">
        <v>908</v>
      </c>
      <c r="AA33" s="55"/>
      <c r="AB33" s="55"/>
      <c r="AC33" s="303"/>
      <c r="AD33" s="376">
        <v>5.7</v>
      </c>
      <c r="AE33" s="358" t="s">
        <v>908</v>
      </c>
      <c r="AF33" s="55"/>
      <c r="AG33" s="55"/>
      <c r="AH33" s="303"/>
      <c r="AI33" s="376">
        <v>5.5</v>
      </c>
    </row>
    <row r="34">
      <c r="M34" s="309"/>
      <c r="Q34" s="4"/>
      <c r="R34" s="55"/>
      <c r="S34" s="377"/>
      <c r="Z34" s="358"/>
      <c r="AA34" s="394"/>
      <c r="AB34" s="394"/>
      <c r="AC34" s="394"/>
      <c r="AD34" s="449"/>
      <c r="AE34" s="358"/>
      <c r="AF34" s="394"/>
      <c r="AG34" s="394"/>
      <c r="AH34" s="394"/>
      <c r="AI34" s="449"/>
    </row>
    <row r="35">
      <c r="M35" s="308"/>
      <c r="Q35" s="4"/>
      <c r="R35" s="55"/>
      <c r="S35" s="53"/>
      <c r="Z35" s="380" t="s">
        <v>912</v>
      </c>
      <c r="AA35" s="450"/>
      <c r="AB35" s="450"/>
      <c r="AC35" s="451"/>
      <c r="AD35" s="379">
        <f>AVERAGE(AD29:AD33)</f>
        <v>5.9</v>
      </c>
      <c r="AE35" s="380" t="s">
        <v>912</v>
      </c>
      <c r="AF35" s="450"/>
      <c r="AG35" s="450"/>
      <c r="AH35" s="451"/>
      <c r="AI35" s="379">
        <f>AVERAGE(AI29:AI33)</f>
        <v>5.82</v>
      </c>
    </row>
    <row r="36">
      <c r="M36" s="308"/>
      <c r="Q36" s="4"/>
      <c r="R36" s="55"/>
      <c r="S36" s="384" t="s">
        <v>286</v>
      </c>
      <c r="Y36" s="350" t="s">
        <v>1275</v>
      </c>
      <c r="Z36" s="385"/>
      <c r="AA36" s="61" t="s">
        <v>1120</v>
      </c>
      <c r="AB36" s="61" t="s">
        <v>1121</v>
      </c>
      <c r="AC36" s="61" t="s">
        <v>1122</v>
      </c>
      <c r="AD36" s="61" t="s">
        <v>1123</v>
      </c>
      <c r="AF36" s="4" t="s">
        <v>1259</v>
      </c>
      <c r="AG36" s="4" t="s">
        <v>1260</v>
      </c>
      <c r="AH36" s="4" t="s">
        <v>1261</v>
      </c>
      <c r="AI36" s="4" t="s">
        <v>1262</v>
      </c>
      <c r="AJ36" s="350" t="s">
        <v>1275</v>
      </c>
    </row>
    <row r="37">
      <c r="S37" s="55"/>
      <c r="Y37" s="3" t="s">
        <v>1216</v>
      </c>
      <c r="Z37" s="386" t="s">
        <v>468</v>
      </c>
      <c r="AA37" s="431"/>
      <c r="AB37" s="462">
        <v>14.25</v>
      </c>
      <c r="AC37" s="462">
        <v>13.75</v>
      </c>
      <c r="AD37" s="432">
        <v>13.5</v>
      </c>
      <c r="AE37" s="386" t="s">
        <v>468</v>
      </c>
      <c r="AF37" s="463">
        <v>13.25</v>
      </c>
      <c r="AG37" s="432">
        <v>13.0</v>
      </c>
      <c r="AH37" s="462">
        <v>12.75</v>
      </c>
      <c r="AI37" s="432">
        <v>12.5</v>
      </c>
    </row>
    <row r="38">
      <c r="N38" s="31" t="s">
        <v>586</v>
      </c>
      <c r="S38" s="55"/>
      <c r="Z38" s="386" t="s">
        <v>469</v>
      </c>
      <c r="AA38" s="433"/>
      <c r="AB38" s="464">
        <v>14.25</v>
      </c>
      <c r="AC38" s="433">
        <v>14.0</v>
      </c>
      <c r="AD38" s="434">
        <v>13.5</v>
      </c>
      <c r="AE38" s="386" t="s">
        <v>469</v>
      </c>
      <c r="AF38" s="433">
        <v>12.5</v>
      </c>
      <c r="AG38" s="433">
        <v>11.5</v>
      </c>
      <c r="AH38" s="433">
        <v>10.5</v>
      </c>
      <c r="AI38" s="434">
        <v>9.5</v>
      </c>
    </row>
    <row r="39">
      <c r="N39" s="3" t="s">
        <v>587</v>
      </c>
      <c r="Q39" s="3" t="s">
        <v>588</v>
      </c>
      <c r="S39" s="55"/>
      <c r="Z39" s="386" t="s">
        <v>470</v>
      </c>
      <c r="AA39" s="431"/>
      <c r="AB39" s="462">
        <v>14.25</v>
      </c>
      <c r="AC39" s="462">
        <v>13.75</v>
      </c>
      <c r="AD39" s="432">
        <v>13.0</v>
      </c>
      <c r="AE39" s="386" t="s">
        <v>470</v>
      </c>
      <c r="AF39" s="431">
        <v>12.5</v>
      </c>
      <c r="AG39" s="432">
        <v>12.0</v>
      </c>
      <c r="AH39" s="432">
        <v>11.5</v>
      </c>
      <c r="AI39" s="432">
        <v>11.0</v>
      </c>
    </row>
    <row r="40">
      <c r="N40" s="3" t="s">
        <v>589</v>
      </c>
      <c r="Q40" s="3" t="s">
        <v>590</v>
      </c>
      <c r="S40" s="394"/>
      <c r="Z40" s="395" t="s">
        <v>906</v>
      </c>
      <c r="AA40" s="433"/>
      <c r="AB40" s="464">
        <v>14.25</v>
      </c>
      <c r="AC40" s="464">
        <v>13.75</v>
      </c>
      <c r="AD40" s="465">
        <v>13.25</v>
      </c>
      <c r="AE40" s="395" t="s">
        <v>906</v>
      </c>
      <c r="AF40" s="464">
        <v>12.75</v>
      </c>
      <c r="AG40" s="464">
        <v>12.25</v>
      </c>
      <c r="AH40" s="464">
        <v>12.0</v>
      </c>
      <c r="AI40" s="465">
        <v>11.75</v>
      </c>
    </row>
    <row r="41">
      <c r="N41" s="3" t="s">
        <v>591</v>
      </c>
      <c r="Q41" s="3" t="s">
        <v>592</v>
      </c>
      <c r="S41" s="394"/>
      <c r="Z41" s="395" t="s">
        <v>908</v>
      </c>
      <c r="AA41" s="431"/>
      <c r="AB41" s="462">
        <v>14.25</v>
      </c>
      <c r="AC41" s="431">
        <v>13.5</v>
      </c>
      <c r="AD41" s="431">
        <v>12.5</v>
      </c>
      <c r="AE41" s="395" t="s">
        <v>908</v>
      </c>
      <c r="AF41" s="431">
        <v>12.0</v>
      </c>
      <c r="AG41" s="431">
        <v>11.5</v>
      </c>
      <c r="AH41" s="463">
        <v>11.25</v>
      </c>
      <c r="AI41" s="431">
        <v>11.0</v>
      </c>
    </row>
    <row r="42">
      <c r="N42" s="3" t="s">
        <v>593</v>
      </c>
      <c r="Q42" s="3" t="s">
        <v>594</v>
      </c>
      <c r="S42" s="394"/>
      <c r="Z42" s="452"/>
      <c r="AA42" s="453"/>
      <c r="AB42" s="453"/>
      <c r="AC42" s="453"/>
      <c r="AD42" s="454"/>
      <c r="AE42" s="452"/>
      <c r="AF42" s="453"/>
      <c r="AG42" s="453"/>
      <c r="AH42" s="453"/>
      <c r="AI42" s="454"/>
    </row>
    <row r="43">
      <c r="N43" s="3" t="s">
        <v>595</v>
      </c>
      <c r="Q43" s="3" t="s">
        <v>596</v>
      </c>
      <c r="S43" s="55"/>
      <c r="Z43" s="401" t="s">
        <v>912</v>
      </c>
      <c r="AA43" s="293" t="str">
        <f t="shared" ref="AA43:AD43" si="22">AVERAGE(AA37:AA41)</f>
        <v>#DIV/0!</v>
      </c>
      <c r="AB43" s="466">
        <f t="shared" si="22"/>
        <v>14.25</v>
      </c>
      <c r="AC43" s="466">
        <f t="shared" si="22"/>
        <v>13.75</v>
      </c>
      <c r="AD43" s="467">
        <f t="shared" si="22"/>
        <v>13.15</v>
      </c>
      <c r="AE43" s="401" t="s">
        <v>912</v>
      </c>
      <c r="AF43" s="466">
        <f t="shared" ref="AF43:AI43" si="23">AVERAGE(AF37:AF41)</f>
        <v>12.6</v>
      </c>
      <c r="AG43" s="466">
        <f t="shared" si="23"/>
        <v>12.05</v>
      </c>
      <c r="AH43" s="466">
        <f t="shared" si="23"/>
        <v>11.6</v>
      </c>
      <c r="AI43" s="467">
        <f t="shared" si="23"/>
        <v>11.15</v>
      </c>
    </row>
    <row r="44">
      <c r="N44" s="3" t="s">
        <v>597</v>
      </c>
      <c r="Q44" s="3" t="s">
        <v>598</v>
      </c>
      <c r="S44" s="384" t="s">
        <v>78</v>
      </c>
      <c r="Y44" s="350" t="s">
        <v>78</v>
      </c>
      <c r="Z44" s="402" t="s">
        <v>786</v>
      </c>
      <c r="AA44" s="403"/>
      <c r="AB44" s="403"/>
      <c r="AC44" s="403"/>
      <c r="AD44" s="412">
        <v>0.0</v>
      </c>
      <c r="AE44" s="402" t="s">
        <v>786</v>
      </c>
      <c r="AF44" s="403"/>
      <c r="AG44" s="403"/>
      <c r="AH44" s="403"/>
      <c r="AI44" s="412">
        <v>1.8</v>
      </c>
      <c r="AJ44" s="350" t="s">
        <v>78</v>
      </c>
    </row>
    <row r="45">
      <c r="N45" s="3" t="s">
        <v>599</v>
      </c>
      <c r="Q45" s="3" t="s">
        <v>600</v>
      </c>
      <c r="S45" s="55"/>
      <c r="Z45" s="405" t="s">
        <v>468</v>
      </c>
      <c r="AA45" s="55"/>
      <c r="AB45" s="55"/>
      <c r="AC45" s="55"/>
      <c r="AD45" s="376">
        <v>0.5</v>
      </c>
      <c r="AE45" s="405" t="s">
        <v>468</v>
      </c>
      <c r="AF45" s="55"/>
      <c r="AG45" s="55"/>
      <c r="AH45" s="55"/>
      <c r="AI45" s="376">
        <v>1.8</v>
      </c>
    </row>
    <row r="46">
      <c r="S46" s="55"/>
      <c r="Z46" s="405" t="s">
        <v>469</v>
      </c>
      <c r="AA46" s="55"/>
      <c r="AB46" s="55"/>
      <c r="AC46" s="55"/>
      <c r="AD46" s="376">
        <v>-1.0</v>
      </c>
      <c r="AE46" s="405" t="s">
        <v>469</v>
      </c>
      <c r="AF46" s="55"/>
      <c r="AG46" s="55"/>
      <c r="AH46" s="55"/>
      <c r="AI46" s="376">
        <v>-1.0</v>
      </c>
    </row>
    <row r="47">
      <c r="N47" s="3" t="s">
        <v>601</v>
      </c>
      <c r="Q47" s="3" t="s">
        <v>602</v>
      </c>
      <c r="S47" s="55"/>
      <c r="Z47" s="405" t="s">
        <v>470</v>
      </c>
      <c r="AA47" s="55"/>
      <c r="AB47" s="55"/>
      <c r="AC47" s="55"/>
      <c r="AD47" s="376">
        <v>0.0</v>
      </c>
      <c r="AE47" s="405" t="s">
        <v>470</v>
      </c>
      <c r="AF47" s="55"/>
      <c r="AG47" s="55"/>
      <c r="AH47" s="55"/>
      <c r="AI47" s="376">
        <v>1.5</v>
      </c>
    </row>
    <row r="48">
      <c r="Q48" s="3" t="s">
        <v>603</v>
      </c>
      <c r="S48" s="394"/>
      <c r="Z48" s="407" t="s">
        <v>906</v>
      </c>
      <c r="AA48" s="55"/>
      <c r="AB48" s="55"/>
      <c r="AC48" s="55"/>
      <c r="AD48" s="376">
        <v>0.5</v>
      </c>
      <c r="AE48" s="407" t="s">
        <v>906</v>
      </c>
      <c r="AF48" s="55"/>
      <c r="AG48" s="55"/>
      <c r="AH48" s="55"/>
      <c r="AI48" s="376">
        <v>1.0</v>
      </c>
    </row>
    <row r="49">
      <c r="N49" s="3" t="s">
        <v>604</v>
      </c>
      <c r="S49" s="394"/>
      <c r="Z49" s="407" t="s">
        <v>908</v>
      </c>
      <c r="AA49" s="55"/>
      <c r="AB49" s="408"/>
      <c r="AC49" s="408"/>
      <c r="AD49" s="376">
        <v>0.4</v>
      </c>
      <c r="AE49" s="407" t="s">
        <v>908</v>
      </c>
      <c r="AF49" s="55"/>
      <c r="AG49" s="408"/>
      <c r="AH49" s="408"/>
      <c r="AI49" s="376">
        <v>1.2</v>
      </c>
    </row>
    <row r="50">
      <c r="R50" s="3" t="s">
        <v>605</v>
      </c>
      <c r="S50" s="394"/>
      <c r="Z50" s="455"/>
      <c r="AA50" s="456"/>
      <c r="AB50" s="457"/>
      <c r="AC50" s="456"/>
      <c r="AD50" s="458"/>
      <c r="AE50" s="455"/>
      <c r="AF50" s="456"/>
      <c r="AG50" s="457"/>
      <c r="AH50" s="456"/>
      <c r="AI50" s="458"/>
    </row>
    <row r="51">
      <c r="N51" s="3" t="s">
        <v>606</v>
      </c>
      <c r="R51" s="3" t="s">
        <v>607</v>
      </c>
      <c r="S51" s="55"/>
      <c r="Z51" s="361" t="s">
        <v>912</v>
      </c>
      <c r="AA51" s="451"/>
      <c r="AB51" s="459"/>
      <c r="AC51" s="459"/>
      <c r="AD51" s="379">
        <f>AVERAGE(AD45:AD49)</f>
        <v>0.08</v>
      </c>
      <c r="AE51" s="361" t="s">
        <v>912</v>
      </c>
      <c r="AF51" s="451"/>
      <c r="AG51" s="459"/>
      <c r="AH51" s="459"/>
      <c r="AI51" s="379">
        <f>AVERAGE(AI45:AI49)</f>
        <v>0.9</v>
      </c>
    </row>
    <row r="52">
      <c r="N52" s="65">
        <f>60%*47.5</f>
        <v>28.5</v>
      </c>
      <c r="O52" s="3" t="s">
        <v>608</v>
      </c>
      <c r="R52" s="65">
        <f>60%*55</f>
        <v>33</v>
      </c>
      <c r="Z52" s="343">
        <v>2026.0</v>
      </c>
      <c r="AC52" s="218"/>
      <c r="AD52" s="468"/>
      <c r="AE52" s="343">
        <v>2027.0</v>
      </c>
    </row>
    <row r="53">
      <c r="N53" s="65">
        <f>N52*72%</f>
        <v>20.52</v>
      </c>
      <c r="O53" s="3" t="s">
        <v>609</v>
      </c>
      <c r="R53" s="65">
        <f>R52*83%</f>
        <v>27.39</v>
      </c>
    </row>
    <row r="54">
      <c r="N54" s="65">
        <f>N52-N53</f>
        <v>7.98</v>
      </c>
      <c r="O54" s="3" t="s">
        <v>610</v>
      </c>
      <c r="R54" s="65">
        <f>R52-R53</f>
        <v>5.61</v>
      </c>
    </row>
    <row r="55">
      <c r="N55" s="3" t="s">
        <v>1289</v>
      </c>
      <c r="Q55" s="3" t="s">
        <v>1290</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1291</v>
      </c>
    </row>
    <row r="64">
      <c r="Q64" s="3" t="s">
        <v>623</v>
      </c>
    </row>
    <row r="65">
      <c r="Q65" s="3" t="s">
        <v>616</v>
      </c>
    </row>
    <row r="66">
      <c r="Q66" s="3" t="s">
        <v>618</v>
      </c>
    </row>
    <row r="68">
      <c r="P68" s="218" t="s">
        <v>619</v>
      </c>
      <c r="Q68" s="31" t="s">
        <v>624</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5"/>
    <col hidden="1" min="2" max="7" width="12.63"/>
    <col customWidth="1" hidden="1" min="8" max="9" width="12.5"/>
    <col customWidth="1" hidden="1" min="10" max="10" width="11.75"/>
    <col customWidth="1" hidden="1" min="11" max="15" width="14.5"/>
    <col hidden="1" min="16" max="20" width="12.63"/>
  </cols>
  <sheetData>
    <row r="1">
      <c r="A1" s="60">
        <v>46217.0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61" t="s">
        <v>1259</v>
      </c>
      <c r="AF1" s="61" t="s">
        <v>1260</v>
      </c>
      <c r="AG1" s="61" t="s">
        <v>1261</v>
      </c>
      <c r="AH1" s="61" t="s">
        <v>1262</v>
      </c>
      <c r="AI1" s="61">
        <v>2027.0</v>
      </c>
      <c r="AJ1" s="3"/>
      <c r="AK1" s="3"/>
      <c r="AL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525</v>
      </c>
      <c r="AA2" s="224" t="s">
        <v>525</v>
      </c>
      <c r="AB2" s="224" t="s">
        <v>526</v>
      </c>
      <c r="AC2" s="224" t="s">
        <v>526</v>
      </c>
      <c r="AD2" s="3" t="s">
        <v>527</v>
      </c>
      <c r="AE2" s="224" t="s">
        <v>526</v>
      </c>
      <c r="AF2" s="224" t="s">
        <v>526</v>
      </c>
      <c r="AG2" s="224" t="s">
        <v>526</v>
      </c>
      <c r="AH2" s="224" t="s">
        <v>526</v>
      </c>
      <c r="AI2" s="3" t="s">
        <v>527</v>
      </c>
      <c r="AJ2" s="213" t="s">
        <v>1263</v>
      </c>
      <c r="AK2" s="213"/>
      <c r="AL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304">
        <v>78.0</v>
      </c>
      <c r="AA3" s="304">
        <v>74.0</v>
      </c>
      <c r="AB3" s="266">
        <v>78.0</v>
      </c>
      <c r="AC3" s="266">
        <v>80.0</v>
      </c>
      <c r="AD3" s="258">
        <f t="shared" ref="AD3:AD7" si="4">AVERAGE(Z3:AC3)</f>
        <v>77.5</v>
      </c>
      <c r="AE3" s="266">
        <v>81.0</v>
      </c>
      <c r="AF3" s="266">
        <v>84.0</v>
      </c>
      <c r="AG3" s="266">
        <v>87.0</v>
      </c>
      <c r="AH3" s="266">
        <v>90.0</v>
      </c>
      <c r="AI3" s="258">
        <f t="shared" ref="AI3:AI7" si="5">AVERAGE(AE3:AH3)</f>
        <v>85.5</v>
      </c>
      <c r="AJ3" s="215">
        <f t="shared" ref="AJ3:AJ8" si="6">AD3/Y3-1</f>
        <v>-0.07407407407</v>
      </c>
      <c r="AK3" s="3"/>
      <c r="AL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304">
        <v>80.0</v>
      </c>
      <c r="AA4" s="304">
        <v>105.0</v>
      </c>
      <c r="AB4" s="264">
        <v>81.0</v>
      </c>
      <c r="AC4" s="264">
        <v>77.0</v>
      </c>
      <c r="AD4" s="258">
        <f t="shared" si="4"/>
        <v>85.75</v>
      </c>
      <c r="AE4" s="264">
        <v>74.0</v>
      </c>
      <c r="AF4" s="264">
        <v>73.0</v>
      </c>
      <c r="AG4" s="264">
        <v>71.0</v>
      </c>
      <c r="AH4" s="264">
        <v>70.0</v>
      </c>
      <c r="AI4" s="258">
        <f t="shared" si="5"/>
        <v>72</v>
      </c>
      <c r="AJ4" s="215">
        <f t="shared" si="6"/>
        <v>0.2391618497</v>
      </c>
      <c r="AK4" s="3"/>
      <c r="AL4" s="3" t="s">
        <v>1244</v>
      </c>
    </row>
    <row r="5" ht="27.75" customHeight="1">
      <c r="A5" s="252" t="s">
        <v>642</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7">V4-V6</f>
        <v>56</v>
      </c>
      <c r="W5" s="254">
        <f t="shared" si="7"/>
        <v>56</v>
      </c>
      <c r="X5" s="254">
        <v>45.0</v>
      </c>
      <c r="Y5" s="248">
        <f t="shared" si="3"/>
        <v>55.15</v>
      </c>
      <c r="Z5" s="347">
        <v>54.24</v>
      </c>
      <c r="AA5" s="347">
        <v>82.0</v>
      </c>
      <c r="AB5" s="264">
        <f t="shared" ref="AB5:AC5" si="8">AB4-AB6</f>
        <v>60</v>
      </c>
      <c r="AC5" s="264">
        <f t="shared" si="8"/>
        <v>57</v>
      </c>
      <c r="AD5" s="258">
        <f t="shared" si="4"/>
        <v>63.31</v>
      </c>
      <c r="AE5" s="264">
        <f t="shared" ref="AE5:AH5" si="9">AE4-AE6</f>
        <v>57</v>
      </c>
      <c r="AF5" s="264">
        <f t="shared" si="9"/>
        <v>56</v>
      </c>
      <c r="AG5" s="264">
        <f t="shared" si="9"/>
        <v>54</v>
      </c>
      <c r="AH5" s="264">
        <f t="shared" si="9"/>
        <v>53</v>
      </c>
      <c r="AI5" s="258">
        <f t="shared" si="5"/>
        <v>55</v>
      </c>
      <c r="AJ5" s="215">
        <f t="shared" si="6"/>
        <v>0.1479601088</v>
      </c>
      <c r="AK5" s="3"/>
      <c r="AL5" s="3" t="s">
        <v>1245</v>
      </c>
    </row>
    <row r="6" ht="26.25" customHeight="1">
      <c r="A6" s="245" t="s">
        <v>643</v>
      </c>
      <c r="B6" s="4"/>
      <c r="C6" s="4"/>
      <c r="D6" s="54"/>
      <c r="E6" s="54"/>
      <c r="F6" s="54"/>
      <c r="G6" s="54"/>
      <c r="H6" s="54"/>
      <c r="I6" s="112"/>
      <c r="J6" s="112"/>
      <c r="K6" s="263">
        <f t="shared" ref="K6:O6" si="10">K4-K5</f>
        <v>29</v>
      </c>
      <c r="L6" s="263">
        <f t="shared" si="10"/>
        <v>24</v>
      </c>
      <c r="M6" s="246">
        <f t="shared" si="10"/>
        <v>21.3</v>
      </c>
      <c r="N6" s="246">
        <f t="shared" si="10"/>
        <v>14.9</v>
      </c>
      <c r="O6" s="248">
        <f t="shared" si="10"/>
        <v>22.3</v>
      </c>
      <c r="P6" s="255">
        <v>15.0</v>
      </c>
      <c r="Q6" s="254">
        <f t="shared" ref="Q6:R6" si="11">Q4-Q5</f>
        <v>13.6</v>
      </c>
      <c r="R6" s="255">
        <f t="shared" si="11"/>
        <v>16</v>
      </c>
      <c r="S6" s="255">
        <v>10.0</v>
      </c>
      <c r="T6" s="248">
        <f t="shared" si="2"/>
        <v>13.65</v>
      </c>
      <c r="U6" s="347">
        <f>U4-U5</f>
        <v>12.2</v>
      </c>
      <c r="V6" s="255">
        <v>12.0</v>
      </c>
      <c r="W6" s="255">
        <v>13.0</v>
      </c>
      <c r="X6" s="254">
        <v>18.4</v>
      </c>
      <c r="Y6" s="258">
        <f t="shared" si="3"/>
        <v>13.9</v>
      </c>
      <c r="Z6" s="347">
        <f>Z4-Z5</f>
        <v>25.76</v>
      </c>
      <c r="AA6" s="347">
        <v>23.0</v>
      </c>
      <c r="AB6" s="264">
        <v>21.0</v>
      </c>
      <c r="AC6" s="264">
        <v>20.0</v>
      </c>
      <c r="AD6" s="258">
        <f t="shared" si="4"/>
        <v>22.44</v>
      </c>
      <c r="AE6" s="264">
        <v>17.0</v>
      </c>
      <c r="AF6" s="264">
        <v>17.0</v>
      </c>
      <c r="AG6" s="264">
        <v>17.0</v>
      </c>
      <c r="AH6" s="264">
        <v>17.0</v>
      </c>
      <c r="AI6" s="258">
        <f t="shared" si="5"/>
        <v>17</v>
      </c>
      <c r="AJ6" s="215">
        <f t="shared" si="6"/>
        <v>0.6143884892</v>
      </c>
      <c r="AK6" s="3"/>
      <c r="AL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82">
        <v>5.9</v>
      </c>
      <c r="AA7" s="282">
        <v>6.0</v>
      </c>
      <c r="AB7" s="267">
        <v>6.4</v>
      </c>
      <c r="AC7" s="267">
        <v>6.7</v>
      </c>
      <c r="AD7" s="258">
        <f t="shared" si="4"/>
        <v>6.25</v>
      </c>
      <c r="AE7" s="267">
        <v>5.7</v>
      </c>
      <c r="AF7" s="267">
        <v>6.0</v>
      </c>
      <c r="AG7" s="267">
        <v>6.1</v>
      </c>
      <c r="AH7" s="267">
        <v>6.3</v>
      </c>
      <c r="AI7" s="258">
        <f t="shared" si="5"/>
        <v>6.025</v>
      </c>
      <c r="AJ7" s="215">
        <f t="shared" si="6"/>
        <v>-0.2492492492</v>
      </c>
      <c r="AK7" s="99"/>
      <c r="AL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71">
        <v>15.0</v>
      </c>
      <c r="AA8" s="271">
        <v>14.25</v>
      </c>
      <c r="AB8" s="269">
        <v>14.25</v>
      </c>
      <c r="AC8" s="269">
        <v>14.0</v>
      </c>
      <c r="AD8" s="258">
        <v>14.7</v>
      </c>
      <c r="AE8" s="269">
        <v>13.75</v>
      </c>
      <c r="AF8" s="269">
        <v>13.5</v>
      </c>
      <c r="AG8" s="269">
        <v>13.0</v>
      </c>
      <c r="AH8" s="269">
        <v>12.5</v>
      </c>
      <c r="AI8" s="258">
        <v>13.4</v>
      </c>
      <c r="AJ8" s="215">
        <f t="shared" si="6"/>
        <v>-0.234375</v>
      </c>
    </row>
    <row r="9" hidden="1">
      <c r="A9" s="252" t="s">
        <v>766</v>
      </c>
      <c r="E9" s="114"/>
      <c r="F9" s="115"/>
      <c r="G9" s="115"/>
      <c r="H9" s="115"/>
      <c r="I9" s="112"/>
      <c r="J9" s="112"/>
      <c r="T9" s="103"/>
      <c r="U9" s="54"/>
      <c r="V9" s="287" t="s">
        <v>767</v>
      </c>
      <c r="W9" s="54"/>
      <c r="X9" s="54"/>
      <c r="Y9" s="103"/>
    </row>
    <row r="10">
      <c r="E10" s="114"/>
      <c r="F10" s="115"/>
      <c r="G10" s="115"/>
      <c r="H10" s="115"/>
      <c r="I10" s="112"/>
      <c r="J10" s="112"/>
      <c r="X10" s="414">
        <f>Y4/T4-1</f>
        <v>-0.1419714817</v>
      </c>
      <c r="Y10" s="343">
        <v>2026.0</v>
      </c>
      <c r="Z10" s="348" t="s">
        <v>1120</v>
      </c>
      <c r="AA10" s="348" t="s">
        <v>1121</v>
      </c>
      <c r="AB10" s="348" t="s">
        <v>1122</v>
      </c>
      <c r="AC10" s="349" t="s">
        <v>1123</v>
      </c>
      <c r="AD10" s="343">
        <v>2027.0</v>
      </c>
      <c r="AE10" s="348" t="s">
        <v>1259</v>
      </c>
      <c r="AF10" s="348" t="s">
        <v>1260</v>
      </c>
      <c r="AG10" s="348" t="s">
        <v>1261</v>
      </c>
      <c r="AH10" s="349" t="s">
        <v>1262</v>
      </c>
    </row>
    <row r="11">
      <c r="E11" s="114"/>
      <c r="F11" s="115"/>
      <c r="G11" s="115"/>
      <c r="H11" s="115"/>
      <c r="I11" s="112" t="s">
        <v>406</v>
      </c>
      <c r="J11" s="112" t="s">
        <v>406</v>
      </c>
      <c r="X11" s="350" t="s">
        <v>1006</v>
      </c>
      <c r="Y11" s="351" t="s">
        <v>54</v>
      </c>
      <c r="Z11" s="411"/>
      <c r="AA11" s="411"/>
      <c r="AB11" s="411"/>
      <c r="AC11" s="411">
        <v>83.0</v>
      </c>
      <c r="AD11" s="351" t="s">
        <v>54</v>
      </c>
      <c r="AE11" s="411">
        <v>79.0</v>
      </c>
      <c r="AF11" s="411">
        <v>77.0</v>
      </c>
      <c r="AG11" s="411">
        <v>76.0</v>
      </c>
      <c r="AH11" s="411">
        <v>75.0</v>
      </c>
      <c r="AI11" s="350" t="s">
        <v>1006</v>
      </c>
    </row>
    <row r="12">
      <c r="E12" s="114" t="s">
        <v>241</v>
      </c>
      <c r="F12" s="115" t="s">
        <v>242</v>
      </c>
      <c r="G12" s="115" t="s">
        <v>242</v>
      </c>
      <c r="H12" s="115" t="s">
        <v>194</v>
      </c>
      <c r="I12" s="115" t="s">
        <v>148</v>
      </c>
      <c r="Y12" s="352" t="s">
        <v>468</v>
      </c>
      <c r="Z12" s="354"/>
      <c r="AA12" s="354"/>
      <c r="AB12" s="354">
        <v>79.0</v>
      </c>
      <c r="AC12" s="354">
        <v>79.0</v>
      </c>
      <c r="AD12" s="352" t="s">
        <v>468</v>
      </c>
      <c r="AE12" s="354">
        <v>75.0</v>
      </c>
      <c r="AF12" s="354">
        <v>73.0</v>
      </c>
      <c r="AG12" s="354">
        <v>70.0</v>
      </c>
      <c r="AH12" s="354">
        <v>69.0</v>
      </c>
    </row>
    <row r="13">
      <c r="C13" s="4">
        <v>5.7</v>
      </c>
      <c r="D13" s="4">
        <v>6.5</v>
      </c>
      <c r="E13" s="62">
        <v>7.4</v>
      </c>
      <c r="F13" s="54">
        <v>8.1</v>
      </c>
      <c r="G13" s="54"/>
      <c r="H13" s="62"/>
      <c r="I13" s="62"/>
      <c r="J13" s="62"/>
      <c r="Y13" s="352" t="s">
        <v>469</v>
      </c>
      <c r="Z13" s="354"/>
      <c r="AA13" s="354"/>
      <c r="AB13" s="354">
        <v>85.0</v>
      </c>
      <c r="AC13" s="354">
        <v>80.0</v>
      </c>
      <c r="AD13" s="352" t="s">
        <v>469</v>
      </c>
      <c r="AE13" s="354">
        <v>75.0</v>
      </c>
      <c r="AF13" s="354">
        <v>73.0</v>
      </c>
      <c r="AG13" s="354">
        <v>71.0</v>
      </c>
      <c r="AH13" s="354">
        <v>68.0</v>
      </c>
    </row>
    <row r="14">
      <c r="D14" s="111"/>
      <c r="E14" s="117"/>
      <c r="F14" s="112"/>
      <c r="G14" s="112"/>
      <c r="H14" s="112"/>
      <c r="I14" s="117"/>
      <c r="J14" s="112"/>
      <c r="Y14" s="352" t="s">
        <v>470</v>
      </c>
      <c r="Z14" s="354"/>
      <c r="AA14" s="354"/>
      <c r="AB14" s="354">
        <v>85.0</v>
      </c>
      <c r="AC14" s="354">
        <v>80.0</v>
      </c>
      <c r="AD14" s="352" t="s">
        <v>470</v>
      </c>
      <c r="AE14" s="354">
        <v>75.0</v>
      </c>
      <c r="AF14" s="354">
        <v>75.0</v>
      </c>
      <c r="AG14" s="354">
        <v>75.0</v>
      </c>
      <c r="AH14" s="354">
        <v>75.0</v>
      </c>
      <c r="AI14" s="4"/>
      <c r="AJ14" s="4"/>
      <c r="AK14" s="4"/>
    </row>
    <row r="15">
      <c r="D15" s="111"/>
      <c r="E15" s="117"/>
      <c r="F15" s="112"/>
      <c r="G15" s="112"/>
      <c r="H15" s="112"/>
      <c r="I15" s="117"/>
      <c r="J15" s="112"/>
      <c r="Y15" s="436" t="s">
        <v>1225</v>
      </c>
      <c r="Z15" s="354"/>
      <c r="AA15" s="354"/>
      <c r="AB15" s="354">
        <v>78.0</v>
      </c>
      <c r="AC15" s="354">
        <v>73.0</v>
      </c>
      <c r="AD15" s="436" t="s">
        <v>1225</v>
      </c>
      <c r="AE15" s="354">
        <v>73.0</v>
      </c>
      <c r="AF15" s="354">
        <v>72.0</v>
      </c>
      <c r="AG15" s="354">
        <v>72.0</v>
      </c>
      <c r="AH15" s="354">
        <v>71.0</v>
      </c>
      <c r="AI15" s="41"/>
      <c r="AJ15" s="41"/>
      <c r="AK15" s="41"/>
    </row>
    <row r="16">
      <c r="D16" s="111" t="s">
        <v>241</v>
      </c>
      <c r="E16" s="117">
        <v>7.0</v>
      </c>
      <c r="F16" s="112">
        <v>7.3</v>
      </c>
      <c r="G16" s="112"/>
      <c r="H16" s="112"/>
      <c r="I16" s="117"/>
      <c r="J16" s="112"/>
      <c r="Y16" s="440" t="s">
        <v>468</v>
      </c>
      <c r="Z16" s="354"/>
      <c r="AA16" s="354"/>
      <c r="AB16" s="354"/>
      <c r="AC16" s="354"/>
      <c r="AD16" s="440" t="s">
        <v>468</v>
      </c>
      <c r="AE16" s="354"/>
      <c r="AF16" s="354"/>
      <c r="AG16" s="354"/>
      <c r="AH16" s="354"/>
      <c r="AI16" s="4"/>
      <c r="AJ16" s="4"/>
      <c r="AK16" s="4"/>
    </row>
    <row r="17">
      <c r="C17" s="10"/>
      <c r="D17" s="10"/>
      <c r="E17" s="10"/>
      <c r="F17" s="10"/>
      <c r="G17" s="10"/>
      <c r="H17" s="10"/>
      <c r="I17" s="10"/>
      <c r="J17" s="10"/>
      <c r="Y17" s="440" t="s">
        <v>906</v>
      </c>
      <c r="Z17" s="444"/>
      <c r="AA17" s="445"/>
      <c r="AB17" s="445">
        <v>80.0</v>
      </c>
      <c r="AC17" s="446">
        <v>75.0</v>
      </c>
      <c r="AD17" s="440" t="s">
        <v>906</v>
      </c>
      <c r="AE17" s="445">
        <v>70.0</v>
      </c>
      <c r="AF17" s="445">
        <v>70.0</v>
      </c>
      <c r="AG17" s="445">
        <v>69.0</v>
      </c>
      <c r="AH17" s="446">
        <v>68.0</v>
      </c>
    </row>
    <row r="18">
      <c r="E18" s="118"/>
      <c r="F18" s="118"/>
      <c r="G18" s="118"/>
      <c r="H18" s="118"/>
      <c r="I18" s="118"/>
      <c r="J18" s="118"/>
      <c r="K18" s="425">
        <v>78.9</v>
      </c>
      <c r="L18" s="426">
        <v>80.1</v>
      </c>
      <c r="V18" s="19" t="s">
        <v>1292</v>
      </c>
      <c r="Y18" s="361" t="s">
        <v>912</v>
      </c>
      <c r="Z18" s="359"/>
      <c r="AA18" s="359" t="str">
        <f t="shared" ref="AA18:AC18" si="12">AVERAGE(AA12:AA17)</f>
        <v>#DIV/0!</v>
      </c>
      <c r="AB18" s="359">
        <f t="shared" si="12"/>
        <v>81.4</v>
      </c>
      <c r="AC18" s="359">
        <f t="shared" si="12"/>
        <v>77.4</v>
      </c>
      <c r="AD18" s="361" t="s">
        <v>912</v>
      </c>
      <c r="AE18" s="359">
        <f t="shared" ref="AE18:AH18" si="13">AVERAGE(AE12:AE17)</f>
        <v>73.6</v>
      </c>
      <c r="AF18" s="359">
        <f t="shared" si="13"/>
        <v>72.6</v>
      </c>
      <c r="AG18" s="359">
        <f t="shared" si="13"/>
        <v>71.4</v>
      </c>
      <c r="AH18" s="359">
        <f t="shared" si="13"/>
        <v>70.2</v>
      </c>
      <c r="AI18" s="4"/>
      <c r="AJ18" s="4"/>
      <c r="AK18" s="4"/>
    </row>
    <row r="19">
      <c r="E19" s="118"/>
      <c r="F19" s="118"/>
      <c r="G19" s="118"/>
      <c r="H19" s="118"/>
      <c r="I19" s="118"/>
      <c r="J19" s="118"/>
      <c r="K19" s="425">
        <v>10.98</v>
      </c>
      <c r="L19" s="426">
        <v>11.12</v>
      </c>
      <c r="T19" s="4" t="s">
        <v>340</v>
      </c>
      <c r="U19" s="4" t="s">
        <v>171</v>
      </c>
      <c r="V19" s="4" t="s">
        <v>343</v>
      </c>
      <c r="W19" s="4" t="s">
        <v>581</v>
      </c>
      <c r="Y19" s="364"/>
      <c r="Z19" s="427">
        <v>46112.0</v>
      </c>
      <c r="AA19" s="365">
        <f t="shared" ref="AA19:AC19" si="14">EOMONTH(Z19,3)</f>
        <v>46203</v>
      </c>
      <c r="AB19" s="365">
        <f t="shared" si="14"/>
        <v>46295</v>
      </c>
      <c r="AC19" s="365">
        <f t="shared" si="14"/>
        <v>46387</v>
      </c>
      <c r="AD19" s="364"/>
      <c r="AE19" s="427">
        <v>46477.0</v>
      </c>
      <c r="AF19" s="365">
        <f t="shared" ref="AF19:AH19" si="15">EOMONTH(AE19,3)</f>
        <v>46568</v>
      </c>
      <c r="AG19" s="365">
        <f t="shared" si="15"/>
        <v>46660</v>
      </c>
      <c r="AH19" s="365">
        <f t="shared" si="15"/>
        <v>46752</v>
      </c>
    </row>
    <row r="20">
      <c r="E20" s="118"/>
      <c r="F20" s="118"/>
      <c r="G20" s="118"/>
      <c r="H20" s="118"/>
      <c r="I20" s="118"/>
      <c r="J20" s="118"/>
      <c r="K20" s="425">
        <v>7.14</v>
      </c>
      <c r="L20" s="426">
        <v>7.18</v>
      </c>
      <c r="R20" s="308"/>
      <c r="S20" s="4" t="s">
        <v>62</v>
      </c>
      <c r="T20" s="461">
        <v>76.6</v>
      </c>
      <c r="U20" s="461">
        <v>72.71</v>
      </c>
      <c r="V20" s="461">
        <v>73.8</v>
      </c>
      <c r="W20" s="226">
        <f t="shared" ref="W20:W23" si="16">AVERAGE(T20:V20)</f>
        <v>74.37</v>
      </c>
      <c r="X20" s="366" t="s">
        <v>1011</v>
      </c>
      <c r="Y20" s="367" t="s">
        <v>786</v>
      </c>
      <c r="Z20" s="348"/>
      <c r="AA20" s="348"/>
      <c r="AB20" s="348">
        <v>78.0</v>
      </c>
      <c r="AC20" s="349">
        <v>80.0</v>
      </c>
      <c r="AD20" s="367" t="s">
        <v>786</v>
      </c>
      <c r="AE20" s="348">
        <v>81.0</v>
      </c>
      <c r="AF20" s="348">
        <v>84.0</v>
      </c>
      <c r="AG20" s="348">
        <v>88.0</v>
      </c>
      <c r="AH20" s="349">
        <v>91.0</v>
      </c>
      <c r="AI20" s="366" t="s">
        <v>1011</v>
      </c>
    </row>
    <row r="21">
      <c r="E21" s="118"/>
      <c r="F21" s="118"/>
      <c r="G21" s="118"/>
      <c r="H21" s="118"/>
      <c r="I21" s="118"/>
      <c r="J21" s="118"/>
      <c r="K21" s="425">
        <v>93.4</v>
      </c>
      <c r="L21" s="426">
        <v>93.2</v>
      </c>
      <c r="R21" s="309"/>
      <c r="S21" s="4" t="s">
        <v>28</v>
      </c>
      <c r="T21" s="461">
        <v>122.21</v>
      </c>
      <c r="U21" s="461">
        <v>107.6</v>
      </c>
      <c r="V21" s="461">
        <v>85.17</v>
      </c>
      <c r="W21" s="226">
        <f t="shared" si="16"/>
        <v>104.9933333</v>
      </c>
      <c r="Y21" s="352" t="s">
        <v>468</v>
      </c>
      <c r="Z21" s="354"/>
      <c r="AA21" s="354"/>
      <c r="AB21" s="354">
        <v>78.0</v>
      </c>
      <c r="AC21" s="355">
        <v>80.0</v>
      </c>
      <c r="AD21" s="352" t="s">
        <v>468</v>
      </c>
      <c r="AE21" s="354">
        <v>79.0</v>
      </c>
      <c r="AF21" s="354">
        <v>82.0</v>
      </c>
      <c r="AG21" s="354">
        <v>85.0</v>
      </c>
      <c r="AH21" s="355">
        <v>88.0</v>
      </c>
    </row>
    <row r="22">
      <c r="E22" s="118"/>
      <c r="F22" s="118"/>
      <c r="G22" s="118"/>
      <c r="H22" s="118"/>
      <c r="I22" s="118"/>
      <c r="J22" s="118"/>
      <c r="K22" s="425">
        <v>1.17</v>
      </c>
      <c r="L22" s="426">
        <v>1.16</v>
      </c>
      <c r="R22" s="309"/>
      <c r="S22" s="4" t="s">
        <v>1270</v>
      </c>
      <c r="T22" s="461">
        <v>95.3</v>
      </c>
      <c r="U22" s="461">
        <v>86.52</v>
      </c>
      <c r="V22" s="461">
        <v>63.9</v>
      </c>
      <c r="W22" s="226">
        <f t="shared" si="16"/>
        <v>81.90666667</v>
      </c>
      <c r="Y22" s="352" t="s">
        <v>469</v>
      </c>
      <c r="Z22" s="354"/>
      <c r="AA22" s="354"/>
      <c r="AB22" s="354">
        <v>78.0</v>
      </c>
      <c r="AC22" s="355">
        <v>80.0</v>
      </c>
      <c r="AD22" s="352" t="s">
        <v>469</v>
      </c>
      <c r="AE22" s="354">
        <v>80.0</v>
      </c>
      <c r="AF22" s="354">
        <v>84.0</v>
      </c>
      <c r="AG22" s="354">
        <v>88.0</v>
      </c>
      <c r="AH22" s="355">
        <v>91.0</v>
      </c>
    </row>
    <row r="23">
      <c r="E23" s="118"/>
      <c r="F23" s="118"/>
      <c r="G23" s="118"/>
      <c r="H23" s="118"/>
      <c r="I23" s="118"/>
      <c r="J23" s="118"/>
      <c r="K23" s="425">
        <v>71.0</v>
      </c>
      <c r="L23" s="426">
        <v>68.0</v>
      </c>
      <c r="R23" s="309"/>
      <c r="S23" s="4" t="s">
        <v>1214</v>
      </c>
      <c r="T23" s="461">
        <f t="shared" ref="T23:V23" si="17">T21-T22</f>
        <v>26.91</v>
      </c>
      <c r="U23" s="117">
        <f t="shared" si="17"/>
        <v>21.08</v>
      </c>
      <c r="V23" s="117">
        <f t="shared" si="17"/>
        <v>21.27</v>
      </c>
      <c r="W23" s="226">
        <f t="shared" si="16"/>
        <v>23.08666667</v>
      </c>
      <c r="Y23" s="352" t="s">
        <v>470</v>
      </c>
      <c r="Z23" s="354"/>
      <c r="AA23" s="354"/>
      <c r="AB23" s="354">
        <v>78.0</v>
      </c>
      <c r="AC23" s="355">
        <v>80.0</v>
      </c>
      <c r="AD23" s="352" t="s">
        <v>470</v>
      </c>
      <c r="AE23" s="354">
        <v>81.0</v>
      </c>
      <c r="AF23" s="354">
        <v>84.0</v>
      </c>
      <c r="AG23" s="354">
        <v>88.0</v>
      </c>
      <c r="AH23" s="355">
        <v>91.0</v>
      </c>
    </row>
    <row r="24">
      <c r="E24" s="118"/>
      <c r="F24" s="118"/>
      <c r="G24" s="118"/>
      <c r="H24" s="118"/>
      <c r="I24" s="118"/>
      <c r="J24" s="118"/>
      <c r="K24" s="425">
        <v>57.4</v>
      </c>
      <c r="L24" s="426">
        <v>56.1</v>
      </c>
      <c r="R24" s="309"/>
      <c r="Y24" s="357" t="s">
        <v>906</v>
      </c>
      <c r="Z24" s="354"/>
      <c r="AA24" s="354"/>
      <c r="AB24" s="354">
        <v>79.0</v>
      </c>
      <c r="AC24" s="356">
        <v>81.0</v>
      </c>
      <c r="AD24" s="357" t="s">
        <v>906</v>
      </c>
      <c r="AE24" s="354">
        <v>82.0</v>
      </c>
      <c r="AF24" s="354">
        <v>84.0</v>
      </c>
      <c r="AG24" s="354">
        <v>88.0</v>
      </c>
      <c r="AH24" s="355">
        <v>90.0</v>
      </c>
    </row>
    <row r="25">
      <c r="E25" s="118"/>
      <c r="F25" s="118"/>
      <c r="G25" s="118"/>
      <c r="H25" s="118"/>
      <c r="I25" s="118"/>
      <c r="J25" s="118"/>
      <c r="R25" s="308"/>
      <c r="Y25" s="358" t="s">
        <v>908</v>
      </c>
      <c r="Z25" s="354"/>
      <c r="AA25" s="354"/>
      <c r="AB25" s="354"/>
      <c r="AC25" s="356"/>
      <c r="AD25" s="358" t="s">
        <v>908</v>
      </c>
      <c r="AE25" s="354"/>
      <c r="AF25" s="354"/>
      <c r="AG25" s="354"/>
      <c r="AH25" s="355"/>
    </row>
    <row r="26">
      <c r="A26" s="3"/>
      <c r="B26" s="12"/>
      <c r="C26" s="12"/>
      <c r="D26" s="13"/>
      <c r="E26" s="13"/>
      <c r="F26" s="13"/>
      <c r="G26" s="13"/>
      <c r="H26" s="13"/>
      <c r="I26" s="13"/>
      <c r="J26" s="13"/>
      <c r="R26" s="308"/>
      <c r="S26" s="309"/>
      <c r="V26" s="19" t="s">
        <v>1292</v>
      </c>
      <c r="Y26" s="358"/>
      <c r="Z26" s="444"/>
      <c r="AA26" s="444"/>
      <c r="AB26" s="444"/>
      <c r="AC26" s="447"/>
      <c r="AD26" s="358"/>
      <c r="AE26" s="444"/>
      <c r="AF26" s="444"/>
      <c r="AG26" s="444"/>
      <c r="AH26" s="447"/>
    </row>
    <row r="27">
      <c r="S27" s="19"/>
      <c r="T27" s="4" t="s">
        <v>345</v>
      </c>
      <c r="U27" s="4" t="s">
        <v>347</v>
      </c>
      <c r="V27" s="4" t="s">
        <v>348</v>
      </c>
      <c r="W27" s="4" t="s">
        <v>581</v>
      </c>
      <c r="Y27" s="361" t="s">
        <v>912</v>
      </c>
      <c r="Z27" s="359" t="str">
        <f t="shared" ref="Z27:AC27" si="18">AVERAGE(Z21:Z25)</f>
        <v>#DIV/0!</v>
      </c>
      <c r="AA27" s="359" t="str">
        <f t="shared" si="18"/>
        <v>#DIV/0!</v>
      </c>
      <c r="AB27" s="359">
        <f t="shared" si="18"/>
        <v>78.25</v>
      </c>
      <c r="AC27" s="360">
        <f t="shared" si="18"/>
        <v>80.25</v>
      </c>
      <c r="AD27" s="361" t="s">
        <v>912</v>
      </c>
      <c r="AE27" s="359">
        <f t="shared" ref="AE27:AH27" si="19">AVERAGE(AE21:AE25)</f>
        <v>80.5</v>
      </c>
      <c r="AF27" s="359">
        <f t="shared" si="19"/>
        <v>83.5</v>
      </c>
      <c r="AG27" s="359">
        <f t="shared" si="19"/>
        <v>87.25</v>
      </c>
      <c r="AH27" s="360">
        <f t="shared" si="19"/>
        <v>90</v>
      </c>
    </row>
    <row r="28">
      <c r="S28" s="4" t="s">
        <v>62</v>
      </c>
      <c r="T28" s="437">
        <v>77.01</v>
      </c>
      <c r="U28" s="437"/>
      <c r="V28" s="437"/>
      <c r="W28" s="226">
        <f t="shared" ref="W28:W31" si="20">AVERAGE(T28:V28)</f>
        <v>77.01</v>
      </c>
      <c r="X28" s="366" t="s">
        <v>81</v>
      </c>
      <c r="Y28" s="371" t="s">
        <v>786</v>
      </c>
      <c r="Z28" s="372"/>
      <c r="AA28" s="372"/>
      <c r="AB28" s="372"/>
      <c r="AC28" s="373">
        <v>5.8</v>
      </c>
      <c r="AD28" s="371" t="s">
        <v>786</v>
      </c>
      <c r="AE28" s="372"/>
      <c r="AF28" s="372"/>
      <c r="AG28" s="372"/>
      <c r="AH28" s="373">
        <v>6.5</v>
      </c>
      <c r="AI28" s="366" t="s">
        <v>81</v>
      </c>
    </row>
    <row r="29">
      <c r="Q29" s="4"/>
      <c r="R29" s="55"/>
      <c r="S29" s="4" t="s">
        <v>28</v>
      </c>
      <c r="T29" s="437">
        <v>73.23</v>
      </c>
      <c r="U29" s="437">
        <v>85.0</v>
      </c>
      <c r="V29" s="437">
        <v>80.0</v>
      </c>
      <c r="W29" s="226">
        <f t="shared" si="20"/>
        <v>79.41</v>
      </c>
      <c r="X29" s="99" t="s">
        <v>1293</v>
      </c>
      <c r="Y29" s="374" t="s">
        <v>468</v>
      </c>
      <c r="Z29" s="53"/>
      <c r="AA29" s="53"/>
      <c r="AB29" s="303"/>
      <c r="AC29" s="376">
        <v>7.5</v>
      </c>
      <c r="AD29" s="374" t="s">
        <v>468</v>
      </c>
      <c r="AE29" s="53"/>
      <c r="AF29" s="53"/>
      <c r="AG29" s="303"/>
      <c r="AH29" s="376">
        <v>6.5</v>
      </c>
      <c r="AI29" s="3" t="s">
        <v>1274</v>
      </c>
    </row>
    <row r="30">
      <c r="M30" s="308"/>
      <c r="Q30" s="4"/>
      <c r="R30" s="55"/>
      <c r="S30" s="4" t="s">
        <v>1270</v>
      </c>
      <c r="T30" s="437">
        <v>51.7</v>
      </c>
      <c r="U30" s="437">
        <v>65.0</v>
      </c>
      <c r="V30" s="437">
        <v>60.0</v>
      </c>
      <c r="W30" s="226">
        <f t="shared" si="20"/>
        <v>58.9</v>
      </c>
      <c r="X30" s="99" t="s">
        <v>1193</v>
      </c>
      <c r="Y30" s="352" t="s">
        <v>469</v>
      </c>
      <c r="Z30" s="52"/>
      <c r="AA30" s="53"/>
      <c r="AB30" s="303"/>
      <c r="AC30" s="376">
        <v>6.5</v>
      </c>
      <c r="AD30" s="352" t="s">
        <v>469</v>
      </c>
      <c r="AE30" s="52"/>
      <c r="AF30" s="53"/>
      <c r="AG30" s="303"/>
      <c r="AH30" s="376">
        <v>6.5</v>
      </c>
    </row>
    <row r="31">
      <c r="M31" s="309"/>
      <c r="Q31" s="4"/>
      <c r="R31" s="55"/>
      <c r="S31" s="4" t="s">
        <v>1214</v>
      </c>
      <c r="T31" s="117">
        <f t="shared" ref="T31:V31" si="21">T29-T30</f>
        <v>21.53</v>
      </c>
      <c r="U31" s="117">
        <f t="shared" si="21"/>
        <v>20</v>
      </c>
      <c r="V31" s="117">
        <f t="shared" si="21"/>
        <v>20</v>
      </c>
      <c r="W31" s="226">
        <f t="shared" si="20"/>
        <v>20.51</v>
      </c>
      <c r="X31" s="99" t="s">
        <v>1195</v>
      </c>
      <c r="Y31" s="374" t="s">
        <v>470</v>
      </c>
      <c r="Z31" s="52"/>
      <c r="AA31" s="53"/>
      <c r="AB31" s="303"/>
      <c r="AC31" s="376">
        <v>6.0</v>
      </c>
      <c r="AD31" s="374" t="s">
        <v>470</v>
      </c>
      <c r="AE31" s="53"/>
      <c r="AF31" s="53"/>
      <c r="AG31" s="303"/>
      <c r="AH31" s="376">
        <v>6.0</v>
      </c>
    </row>
    <row r="32">
      <c r="M32" s="309"/>
      <c r="Q32" s="4"/>
      <c r="R32" s="55"/>
      <c r="S32" s="377"/>
      <c r="Y32" s="358" t="s">
        <v>906</v>
      </c>
      <c r="Z32" s="52"/>
      <c r="AA32" s="55"/>
      <c r="AB32" s="303"/>
      <c r="AC32" s="376">
        <v>6.7</v>
      </c>
      <c r="AD32" s="358" t="s">
        <v>906</v>
      </c>
      <c r="AE32" s="55"/>
      <c r="AF32" s="55"/>
      <c r="AG32" s="303"/>
      <c r="AH32" s="376">
        <v>6.0</v>
      </c>
    </row>
    <row r="33">
      <c r="M33" s="309"/>
      <c r="Q33" s="4"/>
      <c r="R33" s="55"/>
      <c r="S33" s="377"/>
      <c r="Y33" s="358" t="s">
        <v>908</v>
      </c>
      <c r="Z33" s="55"/>
      <c r="AA33" s="55"/>
      <c r="AB33" s="303"/>
      <c r="AC33" s="376"/>
      <c r="AD33" s="358" t="s">
        <v>908</v>
      </c>
      <c r="AE33" s="55"/>
      <c r="AF33" s="55"/>
      <c r="AG33" s="303"/>
      <c r="AH33" s="376"/>
    </row>
    <row r="34">
      <c r="M34" s="309"/>
      <c r="Q34" s="4"/>
      <c r="R34" s="55"/>
      <c r="S34" s="377"/>
      <c r="Y34" s="358"/>
      <c r="Z34" s="394"/>
      <c r="AA34" s="394"/>
      <c r="AB34" s="394"/>
      <c r="AC34" s="449"/>
      <c r="AD34" s="358"/>
      <c r="AE34" s="394"/>
      <c r="AF34" s="394"/>
      <c r="AG34" s="394"/>
      <c r="AH34" s="449"/>
    </row>
    <row r="35">
      <c r="M35" s="308"/>
      <c r="Q35" s="4"/>
      <c r="R35" s="55"/>
      <c r="S35" s="53"/>
      <c r="Y35" s="380" t="s">
        <v>912</v>
      </c>
      <c r="Z35" s="450"/>
      <c r="AA35" s="450"/>
      <c r="AB35" s="451"/>
      <c r="AC35" s="379">
        <f>AVERAGE(AC29:AC33)</f>
        <v>6.675</v>
      </c>
      <c r="AD35" s="380" t="s">
        <v>912</v>
      </c>
      <c r="AE35" s="450"/>
      <c r="AF35" s="450"/>
      <c r="AG35" s="451"/>
      <c r="AH35" s="379">
        <f>AVERAGE(AH29:AH33)</f>
        <v>6.25</v>
      </c>
    </row>
    <row r="36">
      <c r="M36" s="308"/>
      <c r="Q36" s="4"/>
      <c r="R36" s="55"/>
      <c r="S36" s="384" t="s">
        <v>286</v>
      </c>
      <c r="X36" s="350" t="s">
        <v>1275</v>
      </c>
      <c r="Y36" s="385"/>
      <c r="Z36" s="61" t="s">
        <v>1120</v>
      </c>
      <c r="AA36" s="61" t="s">
        <v>1121</v>
      </c>
      <c r="AB36" s="61" t="s">
        <v>1122</v>
      </c>
      <c r="AC36" s="61" t="s">
        <v>1123</v>
      </c>
      <c r="AE36" s="4" t="s">
        <v>1259</v>
      </c>
      <c r="AF36" s="4" t="s">
        <v>1260</v>
      </c>
      <c r="AG36" s="4" t="s">
        <v>1261</v>
      </c>
      <c r="AH36" s="4" t="s">
        <v>1262</v>
      </c>
      <c r="AI36" s="350" t="s">
        <v>1275</v>
      </c>
    </row>
    <row r="37">
      <c r="S37" s="55"/>
      <c r="X37" s="3" t="s">
        <v>1216</v>
      </c>
      <c r="Y37" s="386" t="s">
        <v>468</v>
      </c>
      <c r="Z37" s="431"/>
      <c r="AA37" s="462">
        <v>14.25</v>
      </c>
      <c r="AB37" s="462">
        <v>14.25</v>
      </c>
      <c r="AC37" s="462">
        <v>14.25</v>
      </c>
      <c r="AD37" s="386" t="s">
        <v>468</v>
      </c>
      <c r="AE37" s="463">
        <v>14.25</v>
      </c>
      <c r="AF37" s="463">
        <v>14.25</v>
      </c>
      <c r="AG37" s="463">
        <v>14.25</v>
      </c>
      <c r="AH37" s="463">
        <v>14.25</v>
      </c>
    </row>
    <row r="38">
      <c r="N38" s="31" t="s">
        <v>586</v>
      </c>
      <c r="S38" s="55"/>
      <c r="Y38" s="386" t="s">
        <v>469</v>
      </c>
      <c r="Z38" s="433"/>
      <c r="AA38" s="464">
        <v>14.25</v>
      </c>
      <c r="AB38" s="464">
        <v>14.25</v>
      </c>
      <c r="AC38" s="464">
        <v>14.25</v>
      </c>
      <c r="AD38" s="386" t="s">
        <v>469</v>
      </c>
      <c r="AE38" s="464">
        <v>14.0</v>
      </c>
      <c r="AF38" s="433">
        <v>14.0</v>
      </c>
      <c r="AG38" s="433">
        <v>13.0</v>
      </c>
      <c r="AH38" s="434">
        <v>12.0</v>
      </c>
    </row>
    <row r="39">
      <c r="N39" s="3" t="s">
        <v>587</v>
      </c>
      <c r="Q39" s="3" t="s">
        <v>588</v>
      </c>
      <c r="S39" s="55"/>
      <c r="Y39" s="386" t="s">
        <v>470</v>
      </c>
      <c r="Z39" s="431"/>
      <c r="AA39" s="462">
        <v>14.25</v>
      </c>
      <c r="AB39" s="462">
        <v>14.25</v>
      </c>
      <c r="AC39" s="462">
        <v>13.75</v>
      </c>
      <c r="AD39" s="386" t="s">
        <v>470</v>
      </c>
      <c r="AE39" s="463">
        <v>13.25</v>
      </c>
      <c r="AF39" s="432">
        <v>12.5</v>
      </c>
      <c r="AG39" s="432">
        <v>12.0</v>
      </c>
      <c r="AH39" s="432">
        <v>11.5</v>
      </c>
    </row>
    <row r="40">
      <c r="N40" s="3" t="s">
        <v>589</v>
      </c>
      <c r="Q40" s="3" t="s">
        <v>590</v>
      </c>
      <c r="S40" s="394"/>
      <c r="Y40" s="395" t="s">
        <v>906</v>
      </c>
      <c r="Z40" s="433"/>
      <c r="AA40" s="464">
        <v>14.25</v>
      </c>
      <c r="AB40" s="464">
        <v>14.0</v>
      </c>
      <c r="AC40" s="465">
        <v>13.75</v>
      </c>
      <c r="AD40" s="395" t="s">
        <v>906</v>
      </c>
      <c r="AE40" s="464">
        <v>13.5</v>
      </c>
      <c r="AF40" s="464">
        <v>13.0</v>
      </c>
      <c r="AG40" s="464">
        <v>12.5</v>
      </c>
      <c r="AH40" s="465">
        <v>12.25</v>
      </c>
    </row>
    <row r="41">
      <c r="N41" s="3" t="s">
        <v>591</v>
      </c>
      <c r="Q41" s="3" t="s">
        <v>592</v>
      </c>
      <c r="S41" s="394"/>
      <c r="Y41" s="395" t="s">
        <v>908</v>
      </c>
      <c r="Z41" s="431"/>
      <c r="AA41" s="462"/>
      <c r="AB41" s="431"/>
      <c r="AC41" s="431"/>
      <c r="AD41" s="395" t="s">
        <v>908</v>
      </c>
      <c r="AE41" s="431"/>
      <c r="AF41" s="431"/>
      <c r="AG41" s="463"/>
      <c r="AH41" s="431"/>
    </row>
    <row r="42">
      <c r="N42" s="3" t="s">
        <v>593</v>
      </c>
      <c r="Q42" s="3" t="s">
        <v>594</v>
      </c>
      <c r="S42" s="394"/>
      <c r="Y42" s="452"/>
      <c r="Z42" s="453"/>
      <c r="AA42" s="453"/>
      <c r="AB42" s="453"/>
      <c r="AC42" s="454"/>
      <c r="AD42" s="452"/>
      <c r="AE42" s="453"/>
      <c r="AF42" s="453"/>
      <c r="AG42" s="453"/>
      <c r="AH42" s="454"/>
    </row>
    <row r="43">
      <c r="N43" s="3" t="s">
        <v>595</v>
      </c>
      <c r="Q43" s="3" t="s">
        <v>596</v>
      </c>
      <c r="S43" s="55"/>
      <c r="Y43" s="401" t="s">
        <v>912</v>
      </c>
      <c r="Z43" s="293" t="str">
        <f t="shared" ref="Z43:AC43" si="22">AVERAGE(Z37:Z41)</f>
        <v>#DIV/0!</v>
      </c>
      <c r="AA43" s="466">
        <f t="shared" si="22"/>
        <v>14.25</v>
      </c>
      <c r="AB43" s="466">
        <f t="shared" si="22"/>
        <v>14.1875</v>
      </c>
      <c r="AC43" s="467">
        <f t="shared" si="22"/>
        <v>14</v>
      </c>
      <c r="AD43" s="401" t="s">
        <v>912</v>
      </c>
      <c r="AE43" s="466">
        <f t="shared" ref="AE43:AH43" si="23">AVERAGE(AE37:AE41)</f>
        <v>13.75</v>
      </c>
      <c r="AF43" s="466">
        <f t="shared" si="23"/>
        <v>13.4375</v>
      </c>
      <c r="AG43" s="466">
        <f t="shared" si="23"/>
        <v>12.9375</v>
      </c>
      <c r="AH43" s="467">
        <f t="shared" si="23"/>
        <v>12.5</v>
      </c>
    </row>
    <row r="44">
      <c r="N44" s="3" t="s">
        <v>597</v>
      </c>
      <c r="Q44" s="3" t="s">
        <v>598</v>
      </c>
      <c r="S44" s="384" t="s">
        <v>78</v>
      </c>
      <c r="X44" s="350" t="s">
        <v>78</v>
      </c>
      <c r="Y44" s="402" t="s">
        <v>786</v>
      </c>
      <c r="Z44" s="403"/>
      <c r="AA44" s="403"/>
      <c r="AB44" s="403"/>
      <c r="AC44" s="412">
        <v>-0.5</v>
      </c>
      <c r="AD44" s="402" t="s">
        <v>786</v>
      </c>
      <c r="AE44" s="403"/>
      <c r="AF44" s="403"/>
      <c r="AG44" s="403"/>
      <c r="AH44" s="412">
        <v>1.5</v>
      </c>
      <c r="AI44" s="350" t="s">
        <v>78</v>
      </c>
    </row>
    <row r="45">
      <c r="N45" s="3" t="s">
        <v>599</v>
      </c>
      <c r="Q45" s="3" t="s">
        <v>600</v>
      </c>
      <c r="S45" s="55"/>
      <c r="Y45" s="405" t="s">
        <v>468</v>
      </c>
      <c r="Z45" s="55"/>
      <c r="AA45" s="55"/>
      <c r="AB45" s="55"/>
      <c r="AC45" s="376">
        <v>0.5</v>
      </c>
      <c r="AD45" s="405" t="s">
        <v>468</v>
      </c>
      <c r="AE45" s="55"/>
      <c r="AF45" s="55"/>
      <c r="AG45" s="55"/>
      <c r="AH45" s="376">
        <v>1.8</v>
      </c>
    </row>
    <row r="46">
      <c r="S46" s="55"/>
      <c r="Y46" s="405" t="s">
        <v>469</v>
      </c>
      <c r="Z46" s="55"/>
      <c r="AA46" s="55"/>
      <c r="AB46" s="55"/>
      <c r="AC46" s="376">
        <v>-1.0</v>
      </c>
      <c r="AD46" s="405" t="s">
        <v>469</v>
      </c>
      <c r="AE46" s="55"/>
      <c r="AF46" s="55"/>
      <c r="AG46" s="55"/>
      <c r="AH46" s="376">
        <v>-1.0</v>
      </c>
    </row>
    <row r="47">
      <c r="N47" s="3" t="s">
        <v>601</v>
      </c>
      <c r="Q47" s="3" t="s">
        <v>602</v>
      </c>
      <c r="S47" s="55"/>
      <c r="Y47" s="405" t="s">
        <v>470</v>
      </c>
      <c r="Z47" s="55"/>
      <c r="AA47" s="55"/>
      <c r="AB47" s="55"/>
      <c r="AC47" s="376">
        <v>-0.5</v>
      </c>
      <c r="AD47" s="405" t="s">
        <v>470</v>
      </c>
      <c r="AE47" s="55"/>
      <c r="AF47" s="55"/>
      <c r="AG47" s="55"/>
      <c r="AH47" s="376">
        <v>1.0</v>
      </c>
    </row>
    <row r="48">
      <c r="Q48" s="3" t="s">
        <v>603</v>
      </c>
      <c r="S48" s="394"/>
      <c r="Y48" s="407" t="s">
        <v>906</v>
      </c>
      <c r="Z48" s="55"/>
      <c r="AA48" s="55"/>
      <c r="AB48" s="55"/>
      <c r="AC48" s="376">
        <v>0.3</v>
      </c>
      <c r="AD48" s="407" t="s">
        <v>906</v>
      </c>
      <c r="AE48" s="55"/>
      <c r="AF48" s="55"/>
      <c r="AG48" s="55"/>
      <c r="AH48" s="376">
        <v>1.0</v>
      </c>
    </row>
    <row r="49">
      <c r="N49" s="3" t="s">
        <v>604</v>
      </c>
      <c r="S49" s="394"/>
      <c r="Y49" s="407" t="s">
        <v>908</v>
      </c>
      <c r="Z49" s="55"/>
      <c r="AA49" s="408"/>
      <c r="AB49" s="408"/>
      <c r="AC49" s="376"/>
      <c r="AD49" s="407" t="s">
        <v>908</v>
      </c>
      <c r="AE49" s="55"/>
      <c r="AF49" s="408"/>
      <c r="AG49" s="408"/>
      <c r="AH49" s="376"/>
    </row>
    <row r="50">
      <c r="R50" s="3" t="s">
        <v>605</v>
      </c>
      <c r="S50" s="394"/>
      <c r="Y50" s="455"/>
      <c r="Z50" s="456"/>
      <c r="AA50" s="457"/>
      <c r="AB50" s="456"/>
      <c r="AC50" s="458"/>
      <c r="AD50" s="455"/>
      <c r="AE50" s="456"/>
      <c r="AF50" s="457"/>
      <c r="AG50" s="456"/>
      <c r="AH50" s="458"/>
    </row>
    <row r="51">
      <c r="N51" s="3" t="s">
        <v>606</v>
      </c>
      <c r="R51" s="3" t="s">
        <v>607</v>
      </c>
      <c r="S51" s="55"/>
      <c r="Y51" s="361" t="s">
        <v>912</v>
      </c>
      <c r="Z51" s="451"/>
      <c r="AA51" s="459"/>
      <c r="AB51" s="459"/>
      <c r="AC51" s="379">
        <f>AVERAGE(AC45:AC49)</f>
        <v>-0.175</v>
      </c>
      <c r="AD51" s="361" t="s">
        <v>912</v>
      </c>
      <c r="AE51" s="451"/>
      <c r="AF51" s="459"/>
      <c r="AG51" s="459"/>
      <c r="AH51" s="379">
        <f>AVERAGE(AH45:AH49)</f>
        <v>0.7</v>
      </c>
    </row>
    <row r="52">
      <c r="N52" s="65">
        <f>60%*47.5</f>
        <v>28.5</v>
      </c>
      <c r="O52" s="3" t="s">
        <v>608</v>
      </c>
      <c r="R52" s="65">
        <f>60%*55</f>
        <v>33</v>
      </c>
      <c r="Y52" s="343">
        <v>2026.0</v>
      </c>
      <c r="AB52" s="218"/>
      <c r="AC52" s="468"/>
      <c r="AD52" s="343">
        <v>2027.0</v>
      </c>
    </row>
    <row r="53">
      <c r="N53" s="65">
        <f>N52*72%</f>
        <v>20.52</v>
      </c>
      <c r="O53" s="3" t="s">
        <v>609</v>
      </c>
      <c r="R53" s="65">
        <f>R52*83%</f>
        <v>27.39</v>
      </c>
    </row>
    <row r="54">
      <c r="N54" s="65">
        <f>N52-N53</f>
        <v>7.98</v>
      </c>
      <c r="O54" s="3" t="s">
        <v>610</v>
      </c>
      <c r="R54" s="65">
        <f>R52-R53</f>
        <v>5.61</v>
      </c>
    </row>
    <row r="55">
      <c r="N55" s="3" t="s">
        <v>1294</v>
      </c>
      <c r="Q55" s="3" t="s">
        <v>1295</v>
      </c>
    </row>
    <row r="56">
      <c r="N56" s="3" t="s">
        <v>613</v>
      </c>
      <c r="Q56" s="3" t="s">
        <v>614</v>
      </c>
    </row>
    <row r="57">
      <c r="N57" s="3" t="s">
        <v>615</v>
      </c>
      <c r="Q57" s="3" t="s">
        <v>616</v>
      </c>
    </row>
    <row r="58">
      <c r="N58" s="3" t="s">
        <v>617</v>
      </c>
      <c r="Q58" s="3" t="s">
        <v>618</v>
      </c>
    </row>
    <row r="60">
      <c r="M60" s="3" t="s">
        <v>619</v>
      </c>
      <c r="N60" s="31" t="s">
        <v>620</v>
      </c>
      <c r="P60" s="218" t="s">
        <v>619</v>
      </c>
      <c r="Q60" s="31" t="s">
        <v>621</v>
      </c>
    </row>
    <row r="63">
      <c r="Q63" s="3" t="s">
        <v>1296</v>
      </c>
    </row>
    <row r="64">
      <c r="Q64" s="3" t="s">
        <v>623</v>
      </c>
    </row>
    <row r="65">
      <c r="Q65" s="3" t="s">
        <v>616</v>
      </c>
    </row>
    <row r="66">
      <c r="Q66" s="3" t="s">
        <v>618</v>
      </c>
    </row>
    <row r="68">
      <c r="P68" s="218" t="s">
        <v>619</v>
      </c>
      <c r="Q68" s="31" t="s">
        <v>624</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4.5"/>
    <col hidden="1" min="3" max="7" width="12.63"/>
    <col customWidth="1" hidden="1" min="8" max="9" width="12.5"/>
    <col customWidth="1" hidden="1" min="10" max="10" width="11.75"/>
    <col customWidth="1" hidden="1" min="11" max="15" width="14.5"/>
    <col customWidth="1" min="20" max="20" width="3.0"/>
  </cols>
  <sheetData>
    <row r="1">
      <c r="A1" s="60">
        <v>46260.0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61" t="s">
        <v>1259</v>
      </c>
      <c r="AF1" s="61" t="s">
        <v>1260</v>
      </c>
      <c r="AG1" s="61" t="s">
        <v>1261</v>
      </c>
      <c r="AH1" s="61" t="s">
        <v>1262</v>
      </c>
      <c r="AI1" s="61">
        <v>2027.0</v>
      </c>
      <c r="AJ1" s="3"/>
      <c r="AK1" s="3"/>
      <c r="AL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525</v>
      </c>
      <c r="AA2" s="224" t="s">
        <v>525</v>
      </c>
      <c r="AB2" s="224" t="s">
        <v>526</v>
      </c>
      <c r="AC2" s="224" t="s">
        <v>526</v>
      </c>
      <c r="AD2" s="3" t="s">
        <v>527</v>
      </c>
      <c r="AE2" s="224" t="s">
        <v>526</v>
      </c>
      <c r="AF2" s="224" t="s">
        <v>526</v>
      </c>
      <c r="AG2" s="224" t="s">
        <v>526</v>
      </c>
      <c r="AH2" s="224" t="s">
        <v>526</v>
      </c>
      <c r="AI2" s="3" t="s">
        <v>527</v>
      </c>
      <c r="AJ2" s="213" t="s">
        <v>1263</v>
      </c>
      <c r="AK2" s="213" t="s">
        <v>1297</v>
      </c>
      <c r="AL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304">
        <v>78.0</v>
      </c>
      <c r="AA3" s="304">
        <v>74.0</v>
      </c>
      <c r="AB3" s="266">
        <v>82.0</v>
      </c>
      <c r="AC3" s="266">
        <v>87.0</v>
      </c>
      <c r="AD3" s="258">
        <f t="shared" ref="AD3:AD7" si="4">AVERAGE(Z3:AC3)</f>
        <v>80.25</v>
      </c>
      <c r="AE3" s="266">
        <v>87.0</v>
      </c>
      <c r="AF3" s="266">
        <v>89.0</v>
      </c>
      <c r="AG3" s="266">
        <v>92.0</v>
      </c>
      <c r="AH3" s="266">
        <v>94.0</v>
      </c>
      <c r="AI3" s="258">
        <f t="shared" ref="AI3:AI7" si="5">AVERAGE(AE3:AH3)</f>
        <v>90.5</v>
      </c>
      <c r="AJ3" s="215">
        <f t="shared" ref="AJ3:AJ8" si="6">AD3/Y3-1</f>
        <v>-0.04121863799</v>
      </c>
      <c r="AK3" s="215">
        <f t="shared" ref="AK3:AK4" si="7">AH3/AC3-1</f>
        <v>0.08045977011</v>
      </c>
      <c r="AL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304">
        <v>80.0</v>
      </c>
      <c r="AA4" s="304">
        <v>105.0</v>
      </c>
      <c r="AB4" s="264">
        <v>84.0</v>
      </c>
      <c r="AC4" s="264">
        <v>79.0</v>
      </c>
      <c r="AD4" s="258">
        <f t="shared" si="4"/>
        <v>87</v>
      </c>
      <c r="AE4" s="264">
        <v>77.0</v>
      </c>
      <c r="AF4" s="264">
        <v>75.0</v>
      </c>
      <c r="AG4" s="264">
        <v>74.0</v>
      </c>
      <c r="AH4" s="264">
        <v>72.0</v>
      </c>
      <c r="AI4" s="258">
        <f t="shared" si="5"/>
        <v>74.5</v>
      </c>
      <c r="AJ4" s="215">
        <f t="shared" si="6"/>
        <v>0.2572254335</v>
      </c>
      <c r="AK4" s="215">
        <f t="shared" si="7"/>
        <v>-0.08860759494</v>
      </c>
      <c r="AL4" s="3" t="s">
        <v>1244</v>
      </c>
    </row>
    <row r="5" ht="27.75" customHeight="1">
      <c r="A5" s="252" t="s">
        <v>1298</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8">V4-V6</f>
        <v>56</v>
      </c>
      <c r="W5" s="254">
        <f t="shared" si="8"/>
        <v>56</v>
      </c>
      <c r="X5" s="254">
        <v>45.0</v>
      </c>
      <c r="Y5" s="248">
        <f t="shared" si="3"/>
        <v>55.15</v>
      </c>
      <c r="Z5" s="347">
        <v>54.24</v>
      </c>
      <c r="AA5" s="347">
        <v>82.0</v>
      </c>
      <c r="AB5" s="264">
        <f t="shared" ref="AB5:AC5" si="9">AB4-AB6</f>
        <v>61</v>
      </c>
      <c r="AC5" s="264">
        <f t="shared" si="9"/>
        <v>56</v>
      </c>
      <c r="AD5" s="258">
        <f t="shared" si="4"/>
        <v>63.31</v>
      </c>
      <c r="AE5" s="264">
        <f t="shared" ref="AE5:AH5" si="10">AE4-AE6</f>
        <v>57</v>
      </c>
      <c r="AF5" s="264">
        <f t="shared" si="10"/>
        <v>55</v>
      </c>
      <c r="AG5" s="264">
        <f t="shared" si="10"/>
        <v>54</v>
      </c>
      <c r="AH5" s="264">
        <f t="shared" si="10"/>
        <v>52</v>
      </c>
      <c r="AI5" s="258">
        <f t="shared" si="5"/>
        <v>54.5</v>
      </c>
      <c r="AJ5" s="215">
        <f t="shared" si="6"/>
        <v>0.1479601088</v>
      </c>
      <c r="AK5" s="3"/>
      <c r="AL5" s="3" t="s">
        <v>1245</v>
      </c>
    </row>
    <row r="6" ht="26.25" customHeight="1">
      <c r="A6" s="245" t="s">
        <v>643</v>
      </c>
      <c r="B6" s="4"/>
      <c r="C6" s="4"/>
      <c r="D6" s="54"/>
      <c r="E6" s="54"/>
      <c r="F6" s="54"/>
      <c r="G6" s="54"/>
      <c r="H6" s="54"/>
      <c r="I6" s="112"/>
      <c r="J6" s="112"/>
      <c r="K6" s="263">
        <f t="shared" ref="K6:O6" si="11">K4-K5</f>
        <v>29</v>
      </c>
      <c r="L6" s="263">
        <f t="shared" si="11"/>
        <v>24</v>
      </c>
      <c r="M6" s="246">
        <f t="shared" si="11"/>
        <v>21.3</v>
      </c>
      <c r="N6" s="246">
        <f t="shared" si="11"/>
        <v>14.9</v>
      </c>
      <c r="O6" s="248">
        <f t="shared" si="11"/>
        <v>22.3</v>
      </c>
      <c r="P6" s="255">
        <v>15.0</v>
      </c>
      <c r="Q6" s="254">
        <f t="shared" ref="Q6:R6" si="12">Q4-Q5</f>
        <v>13.6</v>
      </c>
      <c r="R6" s="255">
        <f t="shared" si="12"/>
        <v>16</v>
      </c>
      <c r="S6" s="255">
        <v>10.0</v>
      </c>
      <c r="T6" s="248">
        <f t="shared" si="2"/>
        <v>13.65</v>
      </c>
      <c r="U6" s="347">
        <f>U4-U5</f>
        <v>12.2</v>
      </c>
      <c r="V6" s="255">
        <v>12.0</v>
      </c>
      <c r="W6" s="255">
        <v>13.0</v>
      </c>
      <c r="X6" s="254">
        <v>18.4</v>
      </c>
      <c r="Y6" s="258">
        <f t="shared" si="3"/>
        <v>13.9</v>
      </c>
      <c r="Z6" s="347">
        <f>Z4-Z5</f>
        <v>25.76</v>
      </c>
      <c r="AA6" s="347">
        <v>23.0</v>
      </c>
      <c r="AB6" s="264">
        <v>23.0</v>
      </c>
      <c r="AC6" s="264">
        <v>23.0</v>
      </c>
      <c r="AD6" s="258">
        <f t="shared" si="4"/>
        <v>23.69</v>
      </c>
      <c r="AE6" s="264">
        <v>20.0</v>
      </c>
      <c r="AF6" s="264">
        <v>20.0</v>
      </c>
      <c r="AG6" s="264">
        <v>20.0</v>
      </c>
      <c r="AH6" s="264">
        <v>20.0</v>
      </c>
      <c r="AI6" s="258">
        <f t="shared" si="5"/>
        <v>20</v>
      </c>
      <c r="AJ6" s="215">
        <f t="shared" si="6"/>
        <v>0.7043165468</v>
      </c>
      <c r="AK6" s="3"/>
      <c r="AL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82">
        <v>5.9</v>
      </c>
      <c r="AA7" s="282">
        <v>6.0</v>
      </c>
      <c r="AB7" s="267">
        <v>6.1</v>
      </c>
      <c r="AC7" s="267">
        <v>6.7</v>
      </c>
      <c r="AD7" s="258">
        <f t="shared" si="4"/>
        <v>6.175</v>
      </c>
      <c r="AE7" s="267">
        <v>5.9</v>
      </c>
      <c r="AF7" s="267">
        <v>6.3</v>
      </c>
      <c r="AG7" s="267">
        <v>6.8</v>
      </c>
      <c r="AH7" s="267">
        <v>6.9</v>
      </c>
      <c r="AI7" s="258">
        <f t="shared" si="5"/>
        <v>6.475</v>
      </c>
      <c r="AJ7" s="215">
        <f t="shared" si="6"/>
        <v>-0.2582582583</v>
      </c>
      <c r="AK7" s="99"/>
      <c r="AL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71">
        <v>15.0</v>
      </c>
      <c r="AA8" s="271">
        <v>14.25</v>
      </c>
      <c r="AB8" s="269">
        <v>14.0</v>
      </c>
      <c r="AC8" s="269">
        <v>13.5</v>
      </c>
      <c r="AD8" s="258">
        <v>14.5</v>
      </c>
      <c r="AE8" s="269">
        <v>13.5</v>
      </c>
      <c r="AF8" s="269">
        <v>13.25</v>
      </c>
      <c r="AG8" s="269">
        <v>13.0</v>
      </c>
      <c r="AH8" s="269">
        <v>12.75</v>
      </c>
      <c r="AI8" s="258">
        <v>13.2</v>
      </c>
      <c r="AJ8" s="215">
        <f t="shared" si="6"/>
        <v>-0.2447916667</v>
      </c>
    </row>
    <row r="9" hidden="1">
      <c r="A9" s="252" t="s">
        <v>766</v>
      </c>
      <c r="E9" s="114"/>
      <c r="F9" s="115"/>
      <c r="G9" s="115"/>
      <c r="H9" s="115"/>
      <c r="I9" s="112"/>
      <c r="J9" s="112"/>
      <c r="T9" s="103"/>
      <c r="U9" s="54"/>
      <c r="V9" s="287" t="s">
        <v>767</v>
      </c>
      <c r="W9" s="54"/>
      <c r="X9" s="54"/>
      <c r="Y9" s="103"/>
    </row>
    <row r="10">
      <c r="E10" s="114"/>
      <c r="F10" s="115"/>
      <c r="G10" s="115"/>
      <c r="H10" s="115"/>
      <c r="I10" s="112"/>
      <c r="J10" s="112"/>
      <c r="X10" s="414">
        <f>Y4/T4-1</f>
        <v>-0.1419714817</v>
      </c>
      <c r="Y10" s="343">
        <v>2026.0</v>
      </c>
      <c r="Z10" s="348" t="s">
        <v>1120</v>
      </c>
      <c r="AA10" s="348" t="s">
        <v>1121</v>
      </c>
      <c r="AB10" s="348" t="s">
        <v>1122</v>
      </c>
      <c r="AC10" s="349" t="s">
        <v>1123</v>
      </c>
      <c r="AD10" s="343">
        <v>2027.0</v>
      </c>
      <c r="AE10" s="348" t="s">
        <v>1259</v>
      </c>
      <c r="AF10" s="348" t="s">
        <v>1260</v>
      </c>
      <c r="AG10" s="348" t="s">
        <v>1261</v>
      </c>
      <c r="AH10" s="349" t="s">
        <v>1262</v>
      </c>
    </row>
    <row r="11">
      <c r="E11" s="114"/>
      <c r="F11" s="115"/>
      <c r="G11" s="115"/>
      <c r="H11" s="115"/>
      <c r="I11" s="112" t="s">
        <v>406</v>
      </c>
      <c r="J11" s="112" t="s">
        <v>406</v>
      </c>
      <c r="X11" s="350" t="s">
        <v>1006</v>
      </c>
      <c r="Y11" s="351" t="s">
        <v>54</v>
      </c>
      <c r="Z11" s="411"/>
      <c r="AA11" s="411"/>
      <c r="AB11" s="411"/>
      <c r="AC11" s="411">
        <v>85.0</v>
      </c>
      <c r="AD11" s="351" t="s">
        <v>54</v>
      </c>
      <c r="AE11" s="411">
        <v>80.0</v>
      </c>
      <c r="AF11" s="411">
        <v>78.0</v>
      </c>
      <c r="AG11" s="411">
        <v>77.0</v>
      </c>
      <c r="AH11" s="411">
        <v>76.0</v>
      </c>
      <c r="AI11" s="350" t="s">
        <v>1006</v>
      </c>
    </row>
    <row r="12">
      <c r="E12" s="114" t="s">
        <v>241</v>
      </c>
      <c r="F12" s="115" t="s">
        <v>242</v>
      </c>
      <c r="G12" s="115" t="s">
        <v>242</v>
      </c>
      <c r="H12" s="115" t="s">
        <v>194</v>
      </c>
      <c r="I12" s="115" t="s">
        <v>148</v>
      </c>
      <c r="Y12" s="352" t="s">
        <v>468</v>
      </c>
      <c r="Z12" s="354"/>
      <c r="AA12" s="354"/>
      <c r="AB12" s="354">
        <v>85.0</v>
      </c>
      <c r="AC12" s="354">
        <v>80.0</v>
      </c>
      <c r="AD12" s="352" t="s">
        <v>468</v>
      </c>
      <c r="AE12" s="354">
        <v>77.0</v>
      </c>
      <c r="AF12" s="354">
        <v>75.0</v>
      </c>
      <c r="AG12" s="354">
        <v>72.0</v>
      </c>
      <c r="AH12" s="354">
        <v>71.0</v>
      </c>
    </row>
    <row r="13">
      <c r="C13" s="4">
        <v>5.7</v>
      </c>
      <c r="D13" s="4">
        <v>6.5</v>
      </c>
      <c r="E13" s="62">
        <v>7.4</v>
      </c>
      <c r="F13" s="54">
        <v>8.1</v>
      </c>
      <c r="G13" s="54"/>
      <c r="H13" s="62"/>
      <c r="I13" s="62"/>
      <c r="J13" s="62"/>
      <c r="Y13" s="352" t="s">
        <v>469</v>
      </c>
      <c r="Z13" s="354"/>
      <c r="AA13" s="354"/>
      <c r="AB13" s="354">
        <v>85.0</v>
      </c>
      <c r="AC13" s="354">
        <v>80.0</v>
      </c>
      <c r="AD13" s="352" t="s">
        <v>469</v>
      </c>
      <c r="AE13" s="354">
        <v>78.0</v>
      </c>
      <c r="AF13" s="354">
        <v>77.0</v>
      </c>
      <c r="AG13" s="354">
        <v>76.0</v>
      </c>
      <c r="AH13" s="354">
        <v>75.0</v>
      </c>
    </row>
    <row r="14">
      <c r="D14" s="111"/>
      <c r="E14" s="117"/>
      <c r="F14" s="112"/>
      <c r="G14" s="112"/>
      <c r="H14" s="112"/>
      <c r="I14" s="117"/>
      <c r="J14" s="112"/>
      <c r="Y14" s="352" t="s">
        <v>470</v>
      </c>
      <c r="Z14" s="354"/>
      <c r="AA14" s="354"/>
      <c r="AB14" s="354">
        <v>85.0</v>
      </c>
      <c r="AC14" s="354">
        <v>80.0</v>
      </c>
      <c r="AD14" s="352" t="s">
        <v>470</v>
      </c>
      <c r="AE14" s="354">
        <v>80.0</v>
      </c>
      <c r="AF14" s="354">
        <v>78.0</v>
      </c>
      <c r="AG14" s="354">
        <v>77.0</v>
      </c>
      <c r="AH14" s="354">
        <v>76.0</v>
      </c>
      <c r="AI14" s="4"/>
      <c r="AJ14" s="4"/>
      <c r="AK14" s="4"/>
    </row>
    <row r="15">
      <c r="D15" s="111"/>
      <c r="E15" s="117"/>
      <c r="F15" s="112"/>
      <c r="G15" s="112"/>
      <c r="H15" s="112"/>
      <c r="I15" s="117"/>
      <c r="J15" s="112"/>
      <c r="Y15" s="436" t="s">
        <v>1225</v>
      </c>
      <c r="Z15" s="354"/>
      <c r="AA15" s="354"/>
      <c r="AB15" s="354">
        <v>82.0</v>
      </c>
      <c r="AC15" s="354">
        <v>78.0</v>
      </c>
      <c r="AD15" s="436" t="s">
        <v>1225</v>
      </c>
      <c r="AE15" s="354">
        <v>74.0</v>
      </c>
      <c r="AF15" s="354">
        <v>73.0</v>
      </c>
      <c r="AG15" s="354">
        <v>71.0</v>
      </c>
      <c r="AH15" s="354">
        <v>70.0</v>
      </c>
      <c r="AI15" s="41"/>
      <c r="AJ15" s="41"/>
      <c r="AK15" s="41"/>
    </row>
    <row r="16">
      <c r="D16" s="111" t="s">
        <v>241</v>
      </c>
      <c r="E16" s="117">
        <v>7.0</v>
      </c>
      <c r="F16" s="112">
        <v>7.3</v>
      </c>
      <c r="G16" s="112"/>
      <c r="H16" s="112"/>
      <c r="I16" s="117"/>
      <c r="J16" s="112"/>
      <c r="Y16" s="440" t="s">
        <v>468</v>
      </c>
      <c r="Z16" s="354"/>
      <c r="AA16" s="354"/>
      <c r="AB16" s="354">
        <v>82.0</v>
      </c>
      <c r="AC16" s="354">
        <v>78.0</v>
      </c>
      <c r="AD16" s="440" t="s">
        <v>468</v>
      </c>
      <c r="AE16" s="354">
        <v>74.0</v>
      </c>
      <c r="AF16" s="354">
        <v>73.0</v>
      </c>
      <c r="AG16" s="354">
        <v>71.0</v>
      </c>
      <c r="AH16" s="354">
        <v>70.0</v>
      </c>
      <c r="AI16" s="4"/>
      <c r="AJ16" s="4"/>
      <c r="AK16" s="4"/>
    </row>
    <row r="17">
      <c r="C17" s="10"/>
      <c r="D17" s="10"/>
      <c r="E17" s="10"/>
      <c r="F17" s="10"/>
      <c r="G17" s="10"/>
      <c r="H17" s="10"/>
      <c r="I17" s="10"/>
      <c r="J17" s="10"/>
      <c r="Y17" s="440" t="s">
        <v>906</v>
      </c>
      <c r="Z17" s="444"/>
      <c r="AA17" s="445"/>
      <c r="AB17" s="445">
        <v>85.0</v>
      </c>
      <c r="AC17" s="446">
        <v>80.0</v>
      </c>
      <c r="AD17" s="440" t="s">
        <v>906</v>
      </c>
      <c r="AE17" s="445">
        <v>78.0</v>
      </c>
      <c r="AF17" s="445">
        <v>76.0</v>
      </c>
      <c r="AG17" s="445">
        <v>74.0</v>
      </c>
      <c r="AH17" s="446">
        <v>72.0</v>
      </c>
    </row>
    <row r="18">
      <c r="E18" s="118"/>
      <c r="F18" s="118"/>
      <c r="G18" s="118"/>
      <c r="H18" s="118"/>
      <c r="I18" s="118"/>
      <c r="J18" s="118"/>
      <c r="K18" s="425">
        <v>78.9</v>
      </c>
      <c r="L18" s="426">
        <v>80.1</v>
      </c>
      <c r="V18" s="19" t="s">
        <v>1299</v>
      </c>
      <c r="Y18" s="361" t="s">
        <v>912</v>
      </c>
      <c r="Z18" s="359"/>
      <c r="AA18" s="359" t="str">
        <f t="shared" ref="AA18:AC18" si="13">AVERAGE(AA12:AA17)</f>
        <v>#DIV/0!</v>
      </c>
      <c r="AB18" s="359">
        <f t="shared" si="13"/>
        <v>84</v>
      </c>
      <c r="AC18" s="359">
        <f t="shared" si="13"/>
        <v>79.33333333</v>
      </c>
      <c r="AD18" s="361" t="s">
        <v>912</v>
      </c>
      <c r="AE18" s="359">
        <f t="shared" ref="AE18:AH18" si="14">AVERAGE(AE12:AE17)</f>
        <v>76.83333333</v>
      </c>
      <c r="AF18" s="359">
        <f t="shared" si="14"/>
        <v>75.33333333</v>
      </c>
      <c r="AG18" s="359">
        <f t="shared" si="14"/>
        <v>73.5</v>
      </c>
      <c r="AH18" s="359">
        <f t="shared" si="14"/>
        <v>72.33333333</v>
      </c>
      <c r="AI18" s="4"/>
      <c r="AJ18" s="4"/>
      <c r="AK18" s="4"/>
    </row>
    <row r="19">
      <c r="E19" s="118"/>
      <c r="F19" s="118"/>
      <c r="G19" s="118"/>
      <c r="H19" s="118"/>
      <c r="I19" s="118"/>
      <c r="J19" s="118"/>
      <c r="K19" s="425">
        <v>10.98</v>
      </c>
      <c r="L19" s="426">
        <v>11.12</v>
      </c>
      <c r="T19" s="4" t="s">
        <v>340</v>
      </c>
      <c r="U19" s="4" t="s">
        <v>171</v>
      </c>
      <c r="V19" s="4" t="s">
        <v>343</v>
      </c>
      <c r="W19" s="4" t="s">
        <v>581</v>
      </c>
      <c r="Y19" s="364"/>
      <c r="Z19" s="427">
        <v>46112.0</v>
      </c>
      <c r="AA19" s="365">
        <f t="shared" ref="AA19:AC19" si="15">EOMONTH(Z19,3)</f>
        <v>46203</v>
      </c>
      <c r="AB19" s="365">
        <f t="shared" si="15"/>
        <v>46295</v>
      </c>
      <c r="AC19" s="365">
        <f t="shared" si="15"/>
        <v>46387</v>
      </c>
      <c r="AD19" s="366" t="s">
        <v>1011</v>
      </c>
      <c r="AE19" s="427">
        <v>46477.0</v>
      </c>
      <c r="AF19" s="365">
        <f t="shared" ref="AF19:AH19" si="16">EOMONTH(AE19,3)</f>
        <v>46568</v>
      </c>
      <c r="AG19" s="365">
        <f t="shared" si="16"/>
        <v>46660</v>
      </c>
      <c r="AH19" s="365">
        <f t="shared" si="16"/>
        <v>46752</v>
      </c>
    </row>
    <row r="20">
      <c r="E20" s="118"/>
      <c r="F20" s="118"/>
      <c r="G20" s="118"/>
      <c r="H20" s="118"/>
      <c r="I20" s="118"/>
      <c r="J20" s="118"/>
      <c r="K20" s="425">
        <v>7.14</v>
      </c>
      <c r="L20" s="426">
        <v>7.18</v>
      </c>
      <c r="R20" s="308"/>
      <c r="S20" s="4" t="s">
        <v>62</v>
      </c>
      <c r="T20" s="461">
        <v>76.6</v>
      </c>
      <c r="U20" s="461">
        <v>72.71</v>
      </c>
      <c r="V20" s="461">
        <v>73.8</v>
      </c>
      <c r="W20" s="226">
        <f t="shared" ref="W20:W23" si="17">AVERAGE(T20:V20)</f>
        <v>74.37</v>
      </c>
      <c r="X20" s="366" t="s">
        <v>1011</v>
      </c>
      <c r="Y20" s="367" t="s">
        <v>786</v>
      </c>
      <c r="Z20" s="348"/>
      <c r="AA20" s="348"/>
      <c r="AB20" s="348">
        <v>82.0</v>
      </c>
      <c r="AC20" s="349">
        <v>87.0</v>
      </c>
      <c r="AD20" s="367" t="s">
        <v>786</v>
      </c>
      <c r="AE20" s="348">
        <v>88.0</v>
      </c>
      <c r="AF20" s="348">
        <v>91.0</v>
      </c>
      <c r="AG20" s="348">
        <v>94.0</v>
      </c>
      <c r="AH20" s="349">
        <v>96.0</v>
      </c>
      <c r="AI20" s="366" t="s">
        <v>1011</v>
      </c>
    </row>
    <row r="21">
      <c r="E21" s="118"/>
      <c r="F21" s="118"/>
      <c r="G21" s="118"/>
      <c r="H21" s="118"/>
      <c r="I21" s="118"/>
      <c r="J21" s="118"/>
      <c r="K21" s="425">
        <v>93.4</v>
      </c>
      <c r="L21" s="426">
        <v>93.2</v>
      </c>
      <c r="R21" s="309"/>
      <c r="S21" s="4" t="s">
        <v>28</v>
      </c>
      <c r="T21" s="461">
        <v>122.21</v>
      </c>
      <c r="U21" s="461">
        <v>107.6</v>
      </c>
      <c r="V21" s="461">
        <v>85.17</v>
      </c>
      <c r="W21" s="226">
        <f t="shared" si="17"/>
        <v>104.9933333</v>
      </c>
      <c r="Y21" s="352" t="s">
        <v>468</v>
      </c>
      <c r="Z21" s="354"/>
      <c r="AA21" s="354"/>
      <c r="AB21" s="354"/>
      <c r="AC21" s="355">
        <v>87.0</v>
      </c>
      <c r="AD21" s="352" t="s">
        <v>468</v>
      </c>
      <c r="AE21" s="354">
        <v>86.0</v>
      </c>
      <c r="AF21" s="354">
        <v>87.0</v>
      </c>
      <c r="AG21" s="354">
        <v>90.0</v>
      </c>
      <c r="AH21" s="355">
        <v>92.0</v>
      </c>
    </row>
    <row r="22">
      <c r="E22" s="118"/>
      <c r="F22" s="118"/>
      <c r="G22" s="118"/>
      <c r="H22" s="118"/>
      <c r="I22" s="118"/>
      <c r="J22" s="118"/>
      <c r="K22" s="425">
        <v>1.17</v>
      </c>
      <c r="L22" s="426">
        <v>1.16</v>
      </c>
      <c r="R22" s="309"/>
      <c r="S22" s="4" t="s">
        <v>1270</v>
      </c>
      <c r="T22" s="461">
        <v>95.3</v>
      </c>
      <c r="U22" s="461">
        <v>86.52</v>
      </c>
      <c r="V22" s="461">
        <v>63.9</v>
      </c>
      <c r="W22" s="226">
        <f t="shared" si="17"/>
        <v>81.90666667</v>
      </c>
      <c r="Y22" s="352" t="s">
        <v>469</v>
      </c>
      <c r="Z22" s="354"/>
      <c r="AA22" s="354"/>
      <c r="AB22" s="354"/>
      <c r="AC22" s="355">
        <v>87.0</v>
      </c>
      <c r="AD22" s="352" t="s">
        <v>469</v>
      </c>
      <c r="AE22" s="354">
        <v>86.0</v>
      </c>
      <c r="AF22" s="354">
        <v>90.0</v>
      </c>
      <c r="AG22" s="354">
        <v>93.0</v>
      </c>
      <c r="AH22" s="355">
        <v>95.0</v>
      </c>
    </row>
    <row r="23">
      <c r="E23" s="118"/>
      <c r="F23" s="118"/>
      <c r="G23" s="118"/>
      <c r="H23" s="118"/>
      <c r="I23" s="118"/>
      <c r="J23" s="118"/>
      <c r="K23" s="425">
        <v>71.0</v>
      </c>
      <c r="L23" s="426">
        <v>68.0</v>
      </c>
      <c r="R23" s="309"/>
      <c r="S23" s="4" t="s">
        <v>1214</v>
      </c>
      <c r="T23" s="461">
        <f t="shared" ref="T23:V23" si="18">T21-T22</f>
        <v>26.91</v>
      </c>
      <c r="U23" s="117">
        <f t="shared" si="18"/>
        <v>21.08</v>
      </c>
      <c r="V23" s="117">
        <f t="shared" si="18"/>
        <v>21.27</v>
      </c>
      <c r="W23" s="226">
        <f t="shared" si="17"/>
        <v>23.08666667</v>
      </c>
      <c r="Y23" s="352" t="s">
        <v>470</v>
      </c>
      <c r="Z23" s="354"/>
      <c r="AA23" s="354"/>
      <c r="AB23" s="354"/>
      <c r="AC23" s="355">
        <v>85.0</v>
      </c>
      <c r="AD23" s="352" t="s">
        <v>470</v>
      </c>
      <c r="AE23" s="354">
        <v>86.0</v>
      </c>
      <c r="AF23" s="354">
        <v>89.0</v>
      </c>
      <c r="AG23" s="354">
        <v>91.0</v>
      </c>
      <c r="AH23" s="355">
        <v>92.0</v>
      </c>
    </row>
    <row r="24">
      <c r="E24" s="118"/>
      <c r="F24" s="118"/>
      <c r="G24" s="118"/>
      <c r="H24" s="118"/>
      <c r="I24" s="118"/>
      <c r="J24" s="118"/>
      <c r="K24" s="425">
        <v>57.4</v>
      </c>
      <c r="L24" s="426">
        <v>56.1</v>
      </c>
      <c r="R24" s="309"/>
      <c r="Y24" s="357" t="s">
        <v>906</v>
      </c>
      <c r="Z24" s="354"/>
      <c r="AA24" s="354"/>
      <c r="AB24" s="354"/>
      <c r="AC24" s="356">
        <v>87.0</v>
      </c>
      <c r="AD24" s="357" t="s">
        <v>906</v>
      </c>
      <c r="AE24" s="354">
        <v>88.0</v>
      </c>
      <c r="AF24" s="354">
        <v>89.0</v>
      </c>
      <c r="AG24" s="354">
        <v>92.0</v>
      </c>
      <c r="AH24" s="355">
        <v>95.0</v>
      </c>
    </row>
    <row r="25">
      <c r="E25" s="118"/>
      <c r="F25" s="118"/>
      <c r="G25" s="118"/>
      <c r="H25" s="118"/>
      <c r="I25" s="118"/>
      <c r="J25" s="118"/>
      <c r="R25" s="308"/>
      <c r="Y25" s="358" t="s">
        <v>908</v>
      </c>
      <c r="Z25" s="354"/>
      <c r="AA25" s="354"/>
      <c r="AB25" s="354"/>
      <c r="AC25" s="356">
        <v>87.0</v>
      </c>
      <c r="AD25" s="358" t="s">
        <v>908</v>
      </c>
      <c r="AE25" s="354">
        <v>88.0</v>
      </c>
      <c r="AF25" s="354">
        <v>91.0</v>
      </c>
      <c r="AG25" s="354">
        <v>94.0</v>
      </c>
      <c r="AH25" s="355">
        <v>96.0</v>
      </c>
    </row>
    <row r="26">
      <c r="A26" s="3"/>
      <c r="B26" s="12"/>
      <c r="C26" s="12"/>
      <c r="D26" s="13"/>
      <c r="E26" s="13"/>
      <c r="F26" s="13"/>
      <c r="G26" s="13"/>
      <c r="H26" s="13"/>
      <c r="I26" s="13"/>
      <c r="J26" s="13"/>
      <c r="R26" s="308"/>
      <c r="S26" s="309"/>
      <c r="U26" s="19" t="s">
        <v>1299</v>
      </c>
      <c r="Y26" s="358"/>
      <c r="Z26" s="444"/>
      <c r="AA26" s="444"/>
      <c r="AB26" s="444"/>
      <c r="AC26" s="447"/>
      <c r="AD26" s="358"/>
      <c r="AE26" s="444"/>
      <c r="AF26" s="444"/>
      <c r="AG26" s="444"/>
      <c r="AH26" s="447"/>
    </row>
    <row r="27">
      <c r="S27" s="19"/>
      <c r="T27" s="4" t="s">
        <v>345</v>
      </c>
      <c r="U27" s="4" t="s">
        <v>347</v>
      </c>
      <c r="V27" s="4" t="s">
        <v>348</v>
      </c>
      <c r="W27" s="4" t="s">
        <v>581</v>
      </c>
      <c r="Y27" s="361" t="s">
        <v>912</v>
      </c>
      <c r="Z27" s="359" t="str">
        <f t="shared" ref="Z27:AC27" si="19">AVERAGE(Z21:Z25)</f>
        <v>#DIV/0!</v>
      </c>
      <c r="AA27" s="359" t="str">
        <f t="shared" si="19"/>
        <v>#DIV/0!</v>
      </c>
      <c r="AB27" s="359" t="str">
        <f t="shared" si="19"/>
        <v>#DIV/0!</v>
      </c>
      <c r="AC27" s="360">
        <f t="shared" si="19"/>
        <v>86.6</v>
      </c>
      <c r="AD27" s="361" t="s">
        <v>912</v>
      </c>
      <c r="AE27" s="359">
        <f t="shared" ref="AE27:AH27" si="20">AVERAGE(AE21:AE25)</f>
        <v>86.8</v>
      </c>
      <c r="AF27" s="359">
        <f t="shared" si="20"/>
        <v>89.2</v>
      </c>
      <c r="AG27" s="359">
        <f t="shared" si="20"/>
        <v>92</v>
      </c>
      <c r="AH27" s="360">
        <f t="shared" si="20"/>
        <v>94</v>
      </c>
    </row>
    <row r="28">
      <c r="S28" s="4" t="s">
        <v>62</v>
      </c>
      <c r="T28" s="29">
        <v>77.93</v>
      </c>
      <c r="U28" s="437">
        <v>83.02</v>
      </c>
      <c r="V28" s="437">
        <v>85.0</v>
      </c>
      <c r="W28" s="226">
        <f t="shared" ref="W28:W31" si="21">AVERAGE(T28:V28)</f>
        <v>81.98333333</v>
      </c>
      <c r="X28" s="366" t="s">
        <v>81</v>
      </c>
      <c r="Y28" s="371" t="s">
        <v>786</v>
      </c>
      <c r="Z28" s="372"/>
      <c r="AA28" s="372"/>
      <c r="AB28" s="372"/>
      <c r="AC28" s="373">
        <v>5.8</v>
      </c>
      <c r="AD28" s="371" t="s">
        <v>786</v>
      </c>
      <c r="AE28" s="372"/>
      <c r="AF28" s="372"/>
      <c r="AG28" s="372"/>
      <c r="AH28" s="373">
        <v>7.5</v>
      </c>
      <c r="AI28" s="366" t="s">
        <v>81</v>
      </c>
    </row>
    <row r="29">
      <c r="Q29" s="4"/>
      <c r="R29" s="55"/>
      <c r="S29" s="4" t="s">
        <v>28</v>
      </c>
      <c r="T29" s="29">
        <v>83.42</v>
      </c>
      <c r="U29" s="437">
        <v>90.0</v>
      </c>
      <c r="V29" s="437">
        <v>81.0</v>
      </c>
      <c r="W29" s="226">
        <f t="shared" si="21"/>
        <v>84.80666667</v>
      </c>
      <c r="X29" s="99" t="s">
        <v>1300</v>
      </c>
      <c r="Y29" s="374" t="s">
        <v>468</v>
      </c>
      <c r="Z29" s="53"/>
      <c r="AA29" s="53"/>
      <c r="AB29" s="303"/>
      <c r="AC29" s="376">
        <v>7.3</v>
      </c>
      <c r="AD29" s="374" t="s">
        <v>468</v>
      </c>
      <c r="AE29" s="53"/>
      <c r="AF29" s="53"/>
      <c r="AG29" s="303"/>
      <c r="AH29" s="376">
        <v>7.0</v>
      </c>
      <c r="AI29" s="3" t="s">
        <v>1274</v>
      </c>
    </row>
    <row r="30">
      <c r="M30" s="308"/>
      <c r="Q30" s="4"/>
      <c r="R30" s="55"/>
      <c r="S30" s="4" t="s">
        <v>1270</v>
      </c>
      <c r="T30" s="29">
        <v>59.02</v>
      </c>
      <c r="U30" s="437">
        <v>67.38</v>
      </c>
      <c r="V30" s="437">
        <v>57.5</v>
      </c>
      <c r="W30" s="226">
        <f t="shared" si="21"/>
        <v>61.3</v>
      </c>
      <c r="X30" s="99" t="s">
        <v>1193</v>
      </c>
      <c r="Y30" s="352" t="s">
        <v>469</v>
      </c>
      <c r="Z30" s="52"/>
      <c r="AA30" s="53"/>
      <c r="AB30" s="303"/>
      <c r="AC30" s="376">
        <v>6.5</v>
      </c>
      <c r="AD30" s="352" t="s">
        <v>469</v>
      </c>
      <c r="AE30" s="52"/>
      <c r="AF30" s="53"/>
      <c r="AG30" s="303"/>
      <c r="AH30" s="376">
        <v>7.0</v>
      </c>
    </row>
    <row r="31">
      <c r="M31" s="309"/>
      <c r="Q31" s="4"/>
      <c r="R31" s="55"/>
      <c r="S31" s="4" t="s">
        <v>1214</v>
      </c>
      <c r="T31" s="117">
        <f t="shared" ref="T31:V31" si="22">T29-T30</f>
        <v>24.4</v>
      </c>
      <c r="U31" s="117">
        <f t="shared" si="22"/>
        <v>22.62</v>
      </c>
      <c r="V31" s="117">
        <f t="shared" si="22"/>
        <v>23.5</v>
      </c>
      <c r="W31" s="226">
        <f t="shared" si="21"/>
        <v>23.50666667</v>
      </c>
      <c r="X31" s="99" t="s">
        <v>1195</v>
      </c>
      <c r="Y31" s="374" t="s">
        <v>470</v>
      </c>
      <c r="Z31" s="52"/>
      <c r="AA31" s="53"/>
      <c r="AB31" s="303"/>
      <c r="AC31" s="376">
        <v>6.3</v>
      </c>
      <c r="AD31" s="374" t="s">
        <v>470</v>
      </c>
      <c r="AE31" s="53"/>
      <c r="AF31" s="53"/>
      <c r="AG31" s="303"/>
      <c r="AH31" s="376">
        <v>7.0</v>
      </c>
    </row>
    <row r="32">
      <c r="M32" s="309"/>
      <c r="Q32" s="4"/>
      <c r="R32" s="55"/>
      <c r="S32" s="377"/>
      <c r="Y32" s="358" t="s">
        <v>906</v>
      </c>
      <c r="Z32" s="52"/>
      <c r="AA32" s="55"/>
      <c r="AB32" s="303"/>
      <c r="AC32" s="376">
        <v>7.0</v>
      </c>
      <c r="AD32" s="358" t="s">
        <v>906</v>
      </c>
      <c r="AE32" s="55"/>
      <c r="AF32" s="55"/>
      <c r="AG32" s="303"/>
      <c r="AH32" s="376">
        <v>6.5</v>
      </c>
    </row>
    <row r="33">
      <c r="M33" s="309"/>
      <c r="Q33" s="4"/>
      <c r="R33" s="55"/>
      <c r="S33" s="377"/>
      <c r="Y33" s="358" t="s">
        <v>908</v>
      </c>
      <c r="Z33" s="55"/>
      <c r="AA33" s="55"/>
      <c r="AB33" s="303"/>
      <c r="AC33" s="376">
        <v>6.2</v>
      </c>
      <c r="AD33" s="358" t="s">
        <v>908</v>
      </c>
      <c r="AE33" s="55"/>
      <c r="AF33" s="55"/>
      <c r="AG33" s="303"/>
      <c r="AH33" s="376">
        <v>6.9</v>
      </c>
    </row>
    <row r="34">
      <c r="M34" s="309"/>
      <c r="Q34" s="4"/>
      <c r="R34" s="55"/>
      <c r="S34" s="377"/>
      <c r="Y34" s="358"/>
      <c r="Z34" s="394"/>
      <c r="AA34" s="394"/>
      <c r="AB34" s="394"/>
      <c r="AC34" s="449"/>
      <c r="AD34" s="358"/>
      <c r="AE34" s="394"/>
      <c r="AF34" s="394"/>
      <c r="AG34" s="394"/>
      <c r="AH34" s="449"/>
    </row>
    <row r="35">
      <c r="M35" s="308"/>
      <c r="P35" s="3" t="s">
        <v>1301</v>
      </c>
      <c r="Q35" s="4"/>
      <c r="R35" s="55"/>
      <c r="S35" s="53"/>
      <c r="Y35" s="380" t="s">
        <v>912</v>
      </c>
      <c r="Z35" s="450"/>
      <c r="AA35" s="450"/>
      <c r="AB35" s="451"/>
      <c r="AC35" s="379">
        <f>AVERAGE(AC29:AC33)</f>
        <v>6.66</v>
      </c>
      <c r="AD35" s="380" t="s">
        <v>912</v>
      </c>
      <c r="AE35" s="450"/>
      <c r="AF35" s="450"/>
      <c r="AG35" s="451"/>
      <c r="AH35" s="379">
        <f>AVERAGE(AH29:AH33)</f>
        <v>6.88</v>
      </c>
    </row>
    <row r="36">
      <c r="M36" s="308"/>
      <c r="P36" s="3" t="s">
        <v>1302</v>
      </c>
      <c r="Q36" s="4"/>
      <c r="R36" s="55"/>
      <c r="S36" s="53"/>
      <c r="X36" s="350" t="s">
        <v>1275</v>
      </c>
      <c r="Y36" s="385"/>
      <c r="Z36" s="61" t="s">
        <v>1120</v>
      </c>
      <c r="AA36" s="61" t="s">
        <v>1121</v>
      </c>
      <c r="AB36" s="61" t="s">
        <v>1122</v>
      </c>
      <c r="AC36" s="61" t="s">
        <v>1123</v>
      </c>
      <c r="AE36" s="4" t="s">
        <v>1259</v>
      </c>
      <c r="AF36" s="4" t="s">
        <v>1260</v>
      </c>
      <c r="AG36" s="4" t="s">
        <v>1261</v>
      </c>
      <c r="AH36" s="4" t="s">
        <v>1262</v>
      </c>
      <c r="AI36" s="350" t="s">
        <v>1275</v>
      </c>
    </row>
    <row r="37">
      <c r="S37" s="53"/>
      <c r="Y37" s="386" t="s">
        <v>468</v>
      </c>
      <c r="Z37" s="431"/>
      <c r="AA37" s="462"/>
      <c r="AB37" s="462">
        <v>14.0</v>
      </c>
      <c r="AC37" s="462">
        <v>13.75</v>
      </c>
      <c r="AD37" s="386" t="s">
        <v>468</v>
      </c>
      <c r="AE37" s="463">
        <v>13.5</v>
      </c>
      <c r="AF37" s="463">
        <v>13.5</v>
      </c>
      <c r="AG37" s="463">
        <v>13.5</v>
      </c>
      <c r="AH37" s="463">
        <v>13.5</v>
      </c>
    </row>
    <row r="38">
      <c r="N38" s="31" t="s">
        <v>586</v>
      </c>
      <c r="Y38" s="386" t="s">
        <v>469</v>
      </c>
      <c r="Z38" s="433"/>
      <c r="AA38" s="464"/>
      <c r="AB38" s="464">
        <v>14.0</v>
      </c>
      <c r="AC38" s="464">
        <v>13.5</v>
      </c>
      <c r="AD38" s="386" t="s">
        <v>469</v>
      </c>
      <c r="AE38" s="464">
        <v>13.5</v>
      </c>
      <c r="AF38" s="464">
        <v>13.5</v>
      </c>
      <c r="AG38" s="464">
        <v>13.0</v>
      </c>
      <c r="AH38" s="465">
        <v>13.0</v>
      </c>
    </row>
    <row r="39">
      <c r="N39" s="3" t="s">
        <v>587</v>
      </c>
      <c r="S39" s="53"/>
      <c r="Y39" s="386" t="s">
        <v>470</v>
      </c>
      <c r="Z39" s="431"/>
      <c r="AA39" s="462"/>
      <c r="AB39" s="462">
        <v>14.0</v>
      </c>
      <c r="AC39" s="462">
        <v>13.5</v>
      </c>
      <c r="AD39" s="386" t="s">
        <v>470</v>
      </c>
      <c r="AE39" s="463">
        <v>13.5</v>
      </c>
      <c r="AF39" s="463">
        <v>13.5</v>
      </c>
      <c r="AG39" s="462">
        <v>13.0</v>
      </c>
      <c r="AH39" s="462">
        <v>12.5</v>
      </c>
    </row>
    <row r="40">
      <c r="N40" s="3" t="s">
        <v>589</v>
      </c>
      <c r="S40" s="394"/>
      <c r="Y40" s="395" t="s">
        <v>906</v>
      </c>
      <c r="Z40" s="433"/>
      <c r="AA40" s="464"/>
      <c r="AB40" s="464">
        <v>14.0</v>
      </c>
      <c r="AC40" s="465">
        <v>13.5</v>
      </c>
      <c r="AD40" s="395" t="s">
        <v>906</v>
      </c>
      <c r="AE40" s="464">
        <v>13.25</v>
      </c>
      <c r="AF40" s="464">
        <v>13.0</v>
      </c>
      <c r="AG40" s="464">
        <v>12.75</v>
      </c>
      <c r="AH40" s="465">
        <v>12.5</v>
      </c>
    </row>
    <row r="41">
      <c r="N41" s="3" t="s">
        <v>591</v>
      </c>
      <c r="S41" s="394"/>
      <c r="Y41" s="395" t="s">
        <v>908</v>
      </c>
      <c r="Z41" s="431"/>
      <c r="AA41" s="462"/>
      <c r="AB41" s="463">
        <v>14.0</v>
      </c>
      <c r="AC41" s="463">
        <v>13.5</v>
      </c>
      <c r="AD41" s="395" t="s">
        <v>908</v>
      </c>
      <c r="AE41" s="463">
        <v>13.5</v>
      </c>
      <c r="AF41" s="463">
        <v>13.0</v>
      </c>
      <c r="AG41" s="463">
        <v>12.5</v>
      </c>
      <c r="AH41" s="463">
        <v>12.0</v>
      </c>
    </row>
    <row r="42">
      <c r="N42" s="3" t="s">
        <v>593</v>
      </c>
      <c r="S42" s="394"/>
      <c r="Y42" s="452"/>
      <c r="Z42" s="453"/>
      <c r="AA42" s="453"/>
      <c r="AB42" s="453"/>
      <c r="AC42" s="454"/>
      <c r="AD42" s="452"/>
      <c r="AE42" s="453"/>
      <c r="AF42" s="453"/>
      <c r="AG42" s="453"/>
      <c r="AH42" s="454"/>
    </row>
    <row r="43">
      <c r="N43" s="3" t="s">
        <v>595</v>
      </c>
      <c r="S43" s="55"/>
      <c r="Y43" s="401" t="s">
        <v>912</v>
      </c>
      <c r="Z43" s="293" t="str">
        <f t="shared" ref="Z43:AC43" si="23">AVERAGE(Z37:Z41)</f>
        <v>#DIV/0!</v>
      </c>
      <c r="AA43" s="466" t="str">
        <f t="shared" si="23"/>
        <v>#DIV/0!</v>
      </c>
      <c r="AB43" s="466">
        <f t="shared" si="23"/>
        <v>14</v>
      </c>
      <c r="AC43" s="467">
        <f t="shared" si="23"/>
        <v>13.55</v>
      </c>
      <c r="AD43" s="401" t="s">
        <v>912</v>
      </c>
      <c r="AE43" s="466">
        <f t="shared" ref="AE43:AH43" si="24">AVERAGE(AE37:AE41)</f>
        <v>13.45</v>
      </c>
      <c r="AF43" s="466">
        <f t="shared" si="24"/>
        <v>13.3</v>
      </c>
      <c r="AG43" s="466">
        <f t="shared" si="24"/>
        <v>12.95</v>
      </c>
      <c r="AH43" s="467">
        <f t="shared" si="24"/>
        <v>12.7</v>
      </c>
    </row>
    <row r="44">
      <c r="N44" s="3" t="s">
        <v>597</v>
      </c>
      <c r="S44" s="53"/>
      <c r="X44" s="350" t="s">
        <v>78</v>
      </c>
      <c r="Y44" s="402" t="s">
        <v>786</v>
      </c>
      <c r="Z44" s="403"/>
      <c r="AA44" s="403"/>
      <c r="AB44" s="403"/>
      <c r="AC44" s="412">
        <v>-0.7</v>
      </c>
      <c r="AD44" s="402" t="s">
        <v>786</v>
      </c>
      <c r="AE44" s="403"/>
      <c r="AF44" s="403"/>
      <c r="AG44" s="403"/>
      <c r="AH44" s="412">
        <v>1.4</v>
      </c>
      <c r="AI44" s="350" t="s">
        <v>78</v>
      </c>
    </row>
    <row r="45">
      <c r="N45" s="3" t="s">
        <v>599</v>
      </c>
      <c r="S45" s="55"/>
      <c r="Y45" s="405" t="s">
        <v>468</v>
      </c>
      <c r="Z45" s="55"/>
      <c r="AA45" s="55"/>
      <c r="AB45" s="55"/>
      <c r="AC45" s="376">
        <v>0.7</v>
      </c>
      <c r="AD45" s="405" t="s">
        <v>468</v>
      </c>
      <c r="AE45" s="55"/>
      <c r="AF45" s="55"/>
      <c r="AG45" s="55"/>
      <c r="AH45" s="376">
        <v>1.5</v>
      </c>
    </row>
    <row r="46">
      <c r="S46" s="55"/>
      <c r="Y46" s="405" t="s">
        <v>469</v>
      </c>
      <c r="Z46" s="55"/>
      <c r="AA46" s="55"/>
      <c r="AB46" s="55"/>
      <c r="AC46" s="376">
        <v>-1.0</v>
      </c>
      <c r="AD46" s="405" t="s">
        <v>469</v>
      </c>
      <c r="AE46" s="55"/>
      <c r="AF46" s="55"/>
      <c r="AG46" s="55"/>
      <c r="AH46" s="376">
        <v>-1.0</v>
      </c>
    </row>
    <row r="47">
      <c r="N47" s="3" t="s">
        <v>601</v>
      </c>
      <c r="S47" s="55"/>
      <c r="Y47" s="405" t="s">
        <v>470</v>
      </c>
      <c r="Z47" s="55"/>
      <c r="AA47" s="55"/>
      <c r="AB47" s="55"/>
      <c r="AC47" s="376">
        <v>-0.7</v>
      </c>
      <c r="AD47" s="405" t="s">
        <v>470</v>
      </c>
      <c r="AE47" s="55"/>
      <c r="AF47" s="55"/>
      <c r="AG47" s="55"/>
      <c r="AH47" s="376">
        <v>1.0</v>
      </c>
    </row>
    <row r="48">
      <c r="S48" s="394"/>
      <c r="Y48" s="407" t="s">
        <v>906</v>
      </c>
      <c r="Z48" s="55"/>
      <c r="AA48" s="55"/>
      <c r="AB48" s="55"/>
      <c r="AC48" s="376">
        <v>0.3</v>
      </c>
      <c r="AD48" s="407" t="s">
        <v>906</v>
      </c>
      <c r="AE48" s="55"/>
      <c r="AF48" s="55"/>
      <c r="AG48" s="55"/>
      <c r="AH48" s="376">
        <v>0.7</v>
      </c>
    </row>
    <row r="49">
      <c r="N49" s="3" t="s">
        <v>604</v>
      </c>
      <c r="S49" s="394"/>
      <c r="Y49" s="407" t="s">
        <v>908</v>
      </c>
      <c r="Z49" s="55"/>
      <c r="AA49" s="408"/>
      <c r="AB49" s="408"/>
      <c r="AC49" s="376">
        <v>0.2</v>
      </c>
      <c r="AD49" s="407" t="s">
        <v>908</v>
      </c>
      <c r="AE49" s="55"/>
      <c r="AF49" s="408"/>
      <c r="AG49" s="408"/>
      <c r="AH49" s="376">
        <v>0.9</v>
      </c>
    </row>
    <row r="50">
      <c r="S50" s="394"/>
      <c r="Y50" s="455"/>
      <c r="Z50" s="456"/>
      <c r="AA50" s="457"/>
      <c r="AB50" s="456"/>
      <c r="AC50" s="458"/>
      <c r="AD50" s="455"/>
      <c r="AE50" s="456"/>
      <c r="AF50" s="457"/>
      <c r="AG50" s="456"/>
      <c r="AH50" s="458"/>
    </row>
    <row r="51">
      <c r="N51" s="3" t="s">
        <v>606</v>
      </c>
      <c r="S51" s="55"/>
      <c r="Y51" s="361" t="s">
        <v>912</v>
      </c>
      <c r="Z51" s="451"/>
      <c r="AA51" s="459"/>
      <c r="AB51" s="459"/>
      <c r="AC51" s="379">
        <f>AVERAGE(AC45:AC49)</f>
        <v>-0.1</v>
      </c>
      <c r="AD51" s="361" t="s">
        <v>912</v>
      </c>
      <c r="AE51" s="451"/>
      <c r="AF51" s="459"/>
      <c r="AG51" s="459"/>
      <c r="AH51" s="379">
        <f>AVERAGE(AH45:AH49)</f>
        <v>0.62</v>
      </c>
    </row>
    <row r="52">
      <c r="N52" s="65">
        <f>60%*47.5</f>
        <v>28.5</v>
      </c>
      <c r="O52" s="3" t="s">
        <v>608</v>
      </c>
      <c r="R52" s="65"/>
      <c r="Y52" s="343">
        <v>2026.0</v>
      </c>
      <c r="AB52" s="218"/>
      <c r="AC52" s="468"/>
      <c r="AD52" s="343">
        <v>2027.0</v>
      </c>
    </row>
    <row r="53">
      <c r="N53" s="65">
        <f>N52*72%</f>
        <v>20.52</v>
      </c>
      <c r="O53" s="3" t="s">
        <v>609</v>
      </c>
      <c r="R53" s="65"/>
    </row>
    <row r="54">
      <c r="N54" s="65">
        <f>N52-N53</f>
        <v>7.98</v>
      </c>
      <c r="O54" s="3" t="s">
        <v>610</v>
      </c>
    </row>
    <row r="55">
      <c r="N55" s="3" t="s">
        <v>1303</v>
      </c>
    </row>
    <row r="56">
      <c r="N56" s="3" t="s">
        <v>613</v>
      </c>
    </row>
    <row r="57">
      <c r="N57" s="3" t="s">
        <v>615</v>
      </c>
    </row>
    <row r="58">
      <c r="N58" s="3" t="s">
        <v>617</v>
      </c>
    </row>
    <row r="60">
      <c r="M60" s="3" t="s">
        <v>619</v>
      </c>
      <c r="N60" s="31" t="s">
        <v>620</v>
      </c>
      <c r="P60" s="218"/>
      <c r="Q60" s="31"/>
    </row>
    <row r="68">
      <c r="P68" s="218"/>
      <c r="Q68" s="31"/>
    </row>
  </sheetData>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4.5"/>
    <col hidden="1" min="3" max="7" width="12.63"/>
    <col customWidth="1" hidden="1" min="8" max="9" width="12.5"/>
    <col customWidth="1" hidden="1" min="10" max="10" width="11.75"/>
    <col customWidth="1" hidden="1" min="11" max="15" width="14.5"/>
    <col customWidth="1" min="20" max="20" width="9.13"/>
  </cols>
  <sheetData>
    <row r="1">
      <c r="A1" s="60">
        <v>46288.0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61" t="s">
        <v>1259</v>
      </c>
      <c r="AF1" s="61" t="s">
        <v>1260</v>
      </c>
      <c r="AG1" s="61" t="s">
        <v>1261</v>
      </c>
      <c r="AH1" s="61" t="s">
        <v>1262</v>
      </c>
      <c r="AI1" s="61">
        <v>2027.0</v>
      </c>
      <c r="AJ1" s="3"/>
      <c r="AK1" s="3"/>
      <c r="AL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525</v>
      </c>
      <c r="AA2" s="224" t="s">
        <v>525</v>
      </c>
      <c r="AB2" s="224" t="s">
        <v>526</v>
      </c>
      <c r="AC2" s="224" t="s">
        <v>526</v>
      </c>
      <c r="AD2" s="3" t="s">
        <v>527</v>
      </c>
      <c r="AE2" s="224" t="s">
        <v>526</v>
      </c>
      <c r="AF2" s="224" t="s">
        <v>526</v>
      </c>
      <c r="AG2" s="224" t="s">
        <v>526</v>
      </c>
      <c r="AH2" s="224" t="s">
        <v>526</v>
      </c>
      <c r="AI2" s="3" t="s">
        <v>527</v>
      </c>
      <c r="AJ2" s="213" t="s">
        <v>1263</v>
      </c>
      <c r="AK2" s="213" t="s">
        <v>1297</v>
      </c>
      <c r="AL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304">
        <v>78.0</v>
      </c>
      <c r="AA3" s="304">
        <v>74.0</v>
      </c>
      <c r="AB3" s="266">
        <v>82.0</v>
      </c>
      <c r="AC3" s="266">
        <v>86.0</v>
      </c>
      <c r="AD3" s="258">
        <f t="shared" ref="AD3:AD7" si="4">AVERAGE(Z3:AC3)</f>
        <v>80</v>
      </c>
      <c r="AE3" s="266">
        <v>86.0</v>
      </c>
      <c r="AF3" s="266">
        <v>88.0</v>
      </c>
      <c r="AG3" s="266">
        <v>91.0</v>
      </c>
      <c r="AH3" s="266">
        <v>94.0</v>
      </c>
      <c r="AI3" s="258">
        <f t="shared" ref="AI3:AI7" si="5">AVERAGE(AE3:AH3)</f>
        <v>89.75</v>
      </c>
      <c r="AJ3" s="215">
        <f t="shared" ref="AJ3:AJ8" si="6">AD3/Y3-1</f>
        <v>-0.04420549582</v>
      </c>
      <c r="AK3" s="215">
        <f t="shared" ref="AK3:AK4" si="7">AH3/AC3-1</f>
        <v>0.09302325581</v>
      </c>
      <c r="AL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304">
        <v>80.0</v>
      </c>
      <c r="AA4" s="304">
        <v>105.0</v>
      </c>
      <c r="AB4" s="264">
        <v>96.0</v>
      </c>
      <c r="AC4" s="264">
        <v>93.0</v>
      </c>
      <c r="AD4" s="258">
        <f t="shared" si="4"/>
        <v>93.5</v>
      </c>
      <c r="AE4" s="264">
        <v>89.0</v>
      </c>
      <c r="AF4" s="264">
        <v>85.0</v>
      </c>
      <c r="AG4" s="264">
        <v>81.0</v>
      </c>
      <c r="AH4" s="264">
        <v>79.0</v>
      </c>
      <c r="AI4" s="258">
        <f t="shared" si="5"/>
        <v>83.5</v>
      </c>
      <c r="AJ4" s="215">
        <f t="shared" si="6"/>
        <v>0.3511560694</v>
      </c>
      <c r="AK4" s="215">
        <f t="shared" si="7"/>
        <v>-0.1505376344</v>
      </c>
      <c r="AL4" s="3" t="s">
        <v>1244</v>
      </c>
    </row>
    <row r="5" ht="27.75" customHeight="1">
      <c r="A5" s="252" t="s">
        <v>1298</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8">V4-V6</f>
        <v>56</v>
      </c>
      <c r="W5" s="254">
        <f t="shared" si="8"/>
        <v>56</v>
      </c>
      <c r="X5" s="254">
        <v>45.0</v>
      </c>
      <c r="Y5" s="248">
        <f t="shared" si="3"/>
        <v>55.15</v>
      </c>
      <c r="Z5" s="347">
        <v>54.24</v>
      </c>
      <c r="AA5" s="347">
        <v>81.0</v>
      </c>
      <c r="AB5" s="264">
        <v>72.0</v>
      </c>
      <c r="AC5" s="264">
        <f>AC4-AC6</f>
        <v>68</v>
      </c>
      <c r="AD5" s="258">
        <f t="shared" si="4"/>
        <v>68.81</v>
      </c>
      <c r="AE5" s="264">
        <f t="shared" ref="AE5:AH5" si="9">AE4-AE6</f>
        <v>64</v>
      </c>
      <c r="AF5" s="264">
        <f t="shared" si="9"/>
        <v>61</v>
      </c>
      <c r="AG5" s="264">
        <f t="shared" si="9"/>
        <v>57</v>
      </c>
      <c r="AH5" s="264">
        <f t="shared" si="9"/>
        <v>56</v>
      </c>
      <c r="AI5" s="258">
        <f t="shared" si="5"/>
        <v>59.5</v>
      </c>
      <c r="AJ5" s="215">
        <f t="shared" si="6"/>
        <v>0.2476881233</v>
      </c>
      <c r="AK5" s="3"/>
      <c r="AL5" s="3" t="s">
        <v>1245</v>
      </c>
    </row>
    <row r="6" ht="26.25" customHeight="1">
      <c r="A6" s="245" t="s">
        <v>643</v>
      </c>
      <c r="B6" s="4"/>
      <c r="C6" s="4"/>
      <c r="D6" s="54"/>
      <c r="E6" s="54"/>
      <c r="F6" s="54"/>
      <c r="G6" s="54"/>
      <c r="H6" s="54"/>
      <c r="I6" s="112"/>
      <c r="J6" s="112"/>
      <c r="K6" s="263">
        <f t="shared" ref="K6:O6" si="10">K4-K5</f>
        <v>29</v>
      </c>
      <c r="L6" s="263">
        <f t="shared" si="10"/>
        <v>24</v>
      </c>
      <c r="M6" s="246">
        <f t="shared" si="10"/>
        <v>21.3</v>
      </c>
      <c r="N6" s="246">
        <f t="shared" si="10"/>
        <v>14.9</v>
      </c>
      <c r="O6" s="248">
        <f t="shared" si="10"/>
        <v>22.3</v>
      </c>
      <c r="P6" s="255">
        <v>15.0</v>
      </c>
      <c r="Q6" s="254">
        <f t="shared" ref="Q6:R6" si="11">Q4-Q5</f>
        <v>13.6</v>
      </c>
      <c r="R6" s="255">
        <f t="shared" si="11"/>
        <v>16</v>
      </c>
      <c r="S6" s="255">
        <v>10.0</v>
      </c>
      <c r="T6" s="248">
        <f t="shared" si="2"/>
        <v>13.65</v>
      </c>
      <c r="U6" s="347">
        <f>U4-U5</f>
        <v>12.2</v>
      </c>
      <c r="V6" s="255">
        <v>12.0</v>
      </c>
      <c r="W6" s="255">
        <v>13.0</v>
      </c>
      <c r="X6" s="254">
        <v>18.4</v>
      </c>
      <c r="Y6" s="258">
        <f t="shared" si="3"/>
        <v>13.9</v>
      </c>
      <c r="Z6" s="347">
        <f>Z4-Z5</f>
        <v>25.76</v>
      </c>
      <c r="AA6" s="347">
        <v>23.0</v>
      </c>
      <c r="AB6" s="264">
        <v>25.0</v>
      </c>
      <c r="AC6" s="264">
        <v>25.0</v>
      </c>
      <c r="AD6" s="258">
        <f t="shared" si="4"/>
        <v>24.69</v>
      </c>
      <c r="AE6" s="264">
        <v>25.0</v>
      </c>
      <c r="AF6" s="264">
        <v>24.0</v>
      </c>
      <c r="AG6" s="264">
        <v>24.0</v>
      </c>
      <c r="AH6" s="264">
        <v>23.0</v>
      </c>
      <c r="AI6" s="258">
        <f t="shared" si="5"/>
        <v>24</v>
      </c>
      <c r="AJ6" s="215">
        <f t="shared" si="6"/>
        <v>0.7762589928</v>
      </c>
      <c r="AK6" s="3"/>
      <c r="AL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82">
        <v>5.9</v>
      </c>
      <c r="AA7" s="282">
        <v>6.0</v>
      </c>
      <c r="AB7" s="267">
        <v>6.2</v>
      </c>
      <c r="AC7" s="267">
        <v>6.7</v>
      </c>
      <c r="AD7" s="258">
        <f t="shared" si="4"/>
        <v>6.2</v>
      </c>
      <c r="AE7" s="267">
        <v>5.9</v>
      </c>
      <c r="AF7" s="267">
        <v>6.2</v>
      </c>
      <c r="AG7" s="267">
        <v>6.7</v>
      </c>
      <c r="AH7" s="267">
        <v>6.7</v>
      </c>
      <c r="AI7" s="258">
        <f t="shared" si="5"/>
        <v>6.375</v>
      </c>
      <c r="AJ7" s="215">
        <f t="shared" si="6"/>
        <v>-0.2552552553</v>
      </c>
      <c r="AK7" s="99"/>
      <c r="AL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71">
        <v>15.0</v>
      </c>
      <c r="AA8" s="271">
        <v>14.25</v>
      </c>
      <c r="AB8" s="269">
        <v>14.0</v>
      </c>
      <c r="AC8" s="269">
        <v>13.75</v>
      </c>
      <c r="AD8" s="258">
        <v>14.6</v>
      </c>
      <c r="AE8" s="269">
        <v>13.75</v>
      </c>
      <c r="AF8" s="269">
        <v>13.5</v>
      </c>
      <c r="AG8" s="269">
        <v>13.0</v>
      </c>
      <c r="AH8" s="269">
        <v>12.75</v>
      </c>
      <c r="AI8" s="258">
        <v>13.4</v>
      </c>
      <c r="AJ8" s="215">
        <f t="shared" si="6"/>
        <v>-0.2395833333</v>
      </c>
    </row>
    <row r="9" hidden="1">
      <c r="A9" s="252" t="s">
        <v>766</v>
      </c>
      <c r="E9" s="114"/>
      <c r="F9" s="115"/>
      <c r="G9" s="115"/>
      <c r="H9" s="115"/>
      <c r="I9" s="112"/>
      <c r="J9" s="112"/>
      <c r="T9" s="103"/>
      <c r="U9" s="54"/>
      <c r="V9" s="287" t="s">
        <v>767</v>
      </c>
      <c r="W9" s="54"/>
      <c r="X9" s="54"/>
      <c r="Y9" s="103"/>
    </row>
    <row r="10">
      <c r="E10" s="114"/>
      <c r="F10" s="115"/>
      <c r="G10" s="115"/>
      <c r="H10" s="115"/>
      <c r="I10" s="112"/>
      <c r="J10" s="112"/>
      <c r="X10" s="414">
        <f>Y4/T4-1</f>
        <v>-0.1419714817</v>
      </c>
      <c r="Y10" s="343">
        <v>2026.0</v>
      </c>
      <c r="Z10" s="348" t="s">
        <v>1120</v>
      </c>
      <c r="AA10" s="348" t="s">
        <v>1121</v>
      </c>
      <c r="AB10" s="348" t="s">
        <v>1122</v>
      </c>
      <c r="AC10" s="349" t="s">
        <v>1123</v>
      </c>
      <c r="AD10" s="343">
        <v>2027.0</v>
      </c>
      <c r="AE10" s="348" t="s">
        <v>1259</v>
      </c>
      <c r="AF10" s="348" t="s">
        <v>1260</v>
      </c>
      <c r="AG10" s="348" t="s">
        <v>1261</v>
      </c>
      <c r="AH10" s="349" t="s">
        <v>1262</v>
      </c>
    </row>
    <row r="11">
      <c r="E11" s="114"/>
      <c r="F11" s="115"/>
      <c r="G11" s="115"/>
      <c r="H11" s="115"/>
      <c r="I11" s="112" t="s">
        <v>406</v>
      </c>
      <c r="J11" s="112" t="s">
        <v>406</v>
      </c>
      <c r="X11" s="350" t="s">
        <v>1006</v>
      </c>
      <c r="Y11" s="351" t="s">
        <v>54</v>
      </c>
      <c r="Z11" s="411"/>
      <c r="AA11" s="411"/>
      <c r="AB11" s="411"/>
      <c r="AC11" s="411">
        <v>100.0</v>
      </c>
      <c r="AD11" s="351" t="s">
        <v>54</v>
      </c>
      <c r="AE11" s="411">
        <v>90.0</v>
      </c>
      <c r="AF11" s="411">
        <v>86.0</v>
      </c>
      <c r="AG11" s="411">
        <v>82.0</v>
      </c>
      <c r="AH11" s="411">
        <v>80.0</v>
      </c>
      <c r="AI11" s="350" t="s">
        <v>1006</v>
      </c>
      <c r="AK11" s="3" t="s">
        <v>1304</v>
      </c>
    </row>
    <row r="12">
      <c r="E12" s="114" t="s">
        <v>241</v>
      </c>
      <c r="F12" s="115" t="s">
        <v>242</v>
      </c>
      <c r="G12" s="115" t="s">
        <v>242</v>
      </c>
      <c r="H12" s="115" t="s">
        <v>194</v>
      </c>
      <c r="I12" s="115" t="s">
        <v>148</v>
      </c>
      <c r="Y12" s="352" t="s">
        <v>468</v>
      </c>
      <c r="Z12" s="354"/>
      <c r="AA12" s="354"/>
      <c r="AB12" s="354"/>
      <c r="AC12" s="354">
        <v>100.0</v>
      </c>
      <c r="AD12" s="352" t="s">
        <v>468</v>
      </c>
      <c r="AE12" s="354">
        <v>90.0</v>
      </c>
      <c r="AF12" s="354">
        <v>86.0</v>
      </c>
      <c r="AG12" s="354">
        <v>82.0</v>
      </c>
      <c r="AH12" s="354">
        <v>80.0</v>
      </c>
      <c r="AJ12" s="352" t="s">
        <v>468</v>
      </c>
      <c r="AK12" s="354">
        <v>25.0</v>
      </c>
      <c r="AL12" s="354">
        <v>25.0</v>
      </c>
      <c r="AM12" s="354">
        <v>25.0</v>
      </c>
      <c r="AN12" s="354">
        <v>25.0</v>
      </c>
    </row>
    <row r="13">
      <c r="C13" s="4">
        <v>5.7</v>
      </c>
      <c r="D13" s="4">
        <v>6.5</v>
      </c>
      <c r="E13" s="62">
        <v>7.4</v>
      </c>
      <c r="F13" s="54">
        <v>8.1</v>
      </c>
      <c r="G13" s="54"/>
      <c r="H13" s="62"/>
      <c r="I13" s="62"/>
      <c r="J13" s="62"/>
      <c r="Y13" s="352" t="s">
        <v>469</v>
      </c>
      <c r="Z13" s="354"/>
      <c r="AA13" s="354"/>
      <c r="AB13" s="354"/>
      <c r="AC13" s="354">
        <v>90.0</v>
      </c>
      <c r="AD13" s="352" t="s">
        <v>469</v>
      </c>
      <c r="AE13" s="354">
        <v>90.0</v>
      </c>
      <c r="AF13" s="354">
        <v>86.0</v>
      </c>
      <c r="AG13" s="354">
        <v>82.0</v>
      </c>
      <c r="AH13" s="354">
        <v>80.0</v>
      </c>
      <c r="AJ13" s="352" t="s">
        <v>469</v>
      </c>
      <c r="AK13" s="354">
        <v>25.0</v>
      </c>
      <c r="AL13" s="354">
        <v>25.0</v>
      </c>
      <c r="AM13" s="354">
        <v>25.0</v>
      </c>
      <c r="AN13" s="354">
        <v>25.0</v>
      </c>
    </row>
    <row r="14">
      <c r="D14" s="111"/>
      <c r="E14" s="117"/>
      <c r="F14" s="112"/>
      <c r="G14" s="112"/>
      <c r="H14" s="112"/>
      <c r="I14" s="117"/>
      <c r="J14" s="112"/>
      <c r="Y14" s="352" t="s">
        <v>470</v>
      </c>
      <c r="Z14" s="354"/>
      <c r="AA14" s="354"/>
      <c r="AB14" s="354"/>
      <c r="AC14" s="354">
        <v>95.0</v>
      </c>
      <c r="AD14" s="352" t="s">
        <v>470</v>
      </c>
      <c r="AE14" s="354">
        <v>90.0</v>
      </c>
      <c r="AF14" s="354">
        <v>86.0</v>
      </c>
      <c r="AG14" s="354">
        <v>82.0</v>
      </c>
      <c r="AH14" s="354">
        <v>80.0</v>
      </c>
      <c r="AI14" s="4"/>
      <c r="AJ14" s="352" t="s">
        <v>470</v>
      </c>
      <c r="AK14" s="354">
        <v>25.0</v>
      </c>
      <c r="AL14" s="354">
        <v>23.0</v>
      </c>
      <c r="AM14" s="354">
        <v>22.0</v>
      </c>
      <c r="AN14" s="354">
        <v>21.0</v>
      </c>
    </row>
    <row r="15">
      <c r="D15" s="111"/>
      <c r="E15" s="117"/>
      <c r="F15" s="112"/>
      <c r="G15" s="112"/>
      <c r="H15" s="112"/>
      <c r="I15" s="117"/>
      <c r="J15" s="112"/>
      <c r="Y15" s="436" t="s">
        <v>1225</v>
      </c>
      <c r="Z15" s="354"/>
      <c r="AA15" s="354"/>
      <c r="AB15" s="354"/>
      <c r="AC15" s="354">
        <v>93.0</v>
      </c>
      <c r="AD15" s="436" t="s">
        <v>1225</v>
      </c>
      <c r="AE15" s="354">
        <v>87.0</v>
      </c>
      <c r="AF15" s="354">
        <v>83.0</v>
      </c>
      <c r="AG15" s="354">
        <v>80.0</v>
      </c>
      <c r="AH15" s="354">
        <v>78.0</v>
      </c>
      <c r="AI15" s="41"/>
      <c r="AJ15" s="436" t="s">
        <v>1225</v>
      </c>
      <c r="AK15" s="354">
        <v>26.0</v>
      </c>
      <c r="AL15" s="354">
        <v>23.0</v>
      </c>
      <c r="AM15" s="354">
        <v>22.0</v>
      </c>
      <c r="AN15" s="354">
        <v>21.0</v>
      </c>
    </row>
    <row r="16">
      <c r="D16" s="111" t="s">
        <v>241</v>
      </c>
      <c r="E16" s="117">
        <v>7.0</v>
      </c>
      <c r="F16" s="112">
        <v>7.3</v>
      </c>
      <c r="G16" s="112"/>
      <c r="H16" s="112"/>
      <c r="I16" s="117"/>
      <c r="J16" s="112"/>
      <c r="Y16" s="440" t="s">
        <v>468</v>
      </c>
      <c r="Z16" s="354"/>
      <c r="AA16" s="354"/>
      <c r="AB16" s="354"/>
      <c r="AC16" s="354">
        <v>90.0</v>
      </c>
      <c r="AD16" s="440" t="s">
        <v>468</v>
      </c>
      <c r="AE16" s="354">
        <v>87.0</v>
      </c>
      <c r="AF16" s="354">
        <v>83.0</v>
      </c>
      <c r="AG16" s="354">
        <v>80.0</v>
      </c>
      <c r="AH16" s="354">
        <v>78.0</v>
      </c>
      <c r="AI16" s="4"/>
      <c r="AJ16" s="440" t="s">
        <v>468</v>
      </c>
      <c r="AK16" s="354">
        <v>25.0</v>
      </c>
      <c r="AL16" s="354">
        <v>24.0</v>
      </c>
      <c r="AM16" s="354">
        <v>24.0</v>
      </c>
      <c r="AN16" s="354">
        <v>23.0</v>
      </c>
    </row>
    <row r="17">
      <c r="C17" s="10"/>
      <c r="D17" s="10"/>
      <c r="E17" s="10"/>
      <c r="F17" s="10"/>
      <c r="G17" s="10"/>
      <c r="H17" s="10"/>
      <c r="I17" s="10"/>
      <c r="J17" s="10"/>
      <c r="Y17" s="440" t="s">
        <v>906</v>
      </c>
      <c r="Z17" s="444"/>
      <c r="AA17" s="445"/>
      <c r="AB17" s="445"/>
      <c r="AC17" s="446">
        <v>90.0</v>
      </c>
      <c r="AD17" s="440" t="s">
        <v>906</v>
      </c>
      <c r="AE17" s="445">
        <v>90.0</v>
      </c>
      <c r="AF17" s="445">
        <v>86.0</v>
      </c>
      <c r="AG17" s="445">
        <v>82.0</v>
      </c>
      <c r="AH17" s="446">
        <v>80.0</v>
      </c>
      <c r="AJ17" s="440" t="s">
        <v>906</v>
      </c>
      <c r="AK17" s="445">
        <v>25.0</v>
      </c>
      <c r="AL17" s="445">
        <v>24.0</v>
      </c>
      <c r="AM17" s="445">
        <v>24.0</v>
      </c>
      <c r="AN17" s="446">
        <v>23.0</v>
      </c>
    </row>
    <row r="18">
      <c r="E18" s="118"/>
      <c r="F18" s="118"/>
      <c r="G18" s="118"/>
      <c r="H18" s="118"/>
      <c r="I18" s="118"/>
      <c r="J18" s="118"/>
      <c r="K18" s="425">
        <v>78.9</v>
      </c>
      <c r="L18" s="426">
        <v>80.1</v>
      </c>
      <c r="V18" s="19" t="s">
        <v>1305</v>
      </c>
      <c r="Y18" s="361" t="s">
        <v>912</v>
      </c>
      <c r="Z18" s="359"/>
      <c r="AA18" s="359" t="str">
        <f t="shared" ref="AA18:AC18" si="12">AVERAGE(AA12:AA17)</f>
        <v>#DIV/0!</v>
      </c>
      <c r="AB18" s="359" t="str">
        <f t="shared" si="12"/>
        <v>#DIV/0!</v>
      </c>
      <c r="AC18" s="359">
        <f t="shared" si="12"/>
        <v>93</v>
      </c>
      <c r="AD18" s="361" t="s">
        <v>912</v>
      </c>
      <c r="AE18" s="359">
        <f t="shared" ref="AE18:AH18" si="13">AVERAGE(AE12:AE17)</f>
        <v>89</v>
      </c>
      <c r="AF18" s="359">
        <f t="shared" si="13"/>
        <v>85</v>
      </c>
      <c r="AG18" s="359">
        <f t="shared" si="13"/>
        <v>81.33333333</v>
      </c>
      <c r="AH18" s="359">
        <f t="shared" si="13"/>
        <v>79.33333333</v>
      </c>
      <c r="AI18" s="4"/>
      <c r="AJ18" s="361" t="s">
        <v>912</v>
      </c>
      <c r="AK18" s="359">
        <f t="shared" ref="AK18:AN18" si="14">AVERAGE(AK12:AK17)</f>
        <v>25.16666667</v>
      </c>
      <c r="AL18" s="359">
        <f t="shared" si="14"/>
        <v>24</v>
      </c>
      <c r="AM18" s="359">
        <f t="shared" si="14"/>
        <v>23.66666667</v>
      </c>
      <c r="AN18" s="359">
        <f t="shared" si="14"/>
        <v>23</v>
      </c>
    </row>
    <row r="19">
      <c r="E19" s="118"/>
      <c r="F19" s="118"/>
      <c r="G19" s="118"/>
      <c r="H19" s="118"/>
      <c r="I19" s="118"/>
      <c r="J19" s="118"/>
      <c r="K19" s="425">
        <v>10.98</v>
      </c>
      <c r="L19" s="426">
        <v>11.12</v>
      </c>
      <c r="T19" s="4" t="s">
        <v>345</v>
      </c>
      <c r="U19" s="4" t="s">
        <v>347</v>
      </c>
      <c r="V19" s="4" t="s">
        <v>348</v>
      </c>
      <c r="W19" s="4" t="s">
        <v>581</v>
      </c>
      <c r="Y19" s="364"/>
      <c r="Z19" s="427">
        <v>46112.0</v>
      </c>
      <c r="AA19" s="365">
        <f t="shared" ref="AA19:AC19" si="15">EOMONTH(Z19,3)</f>
        <v>46203</v>
      </c>
      <c r="AB19" s="365">
        <f t="shared" si="15"/>
        <v>46295</v>
      </c>
      <c r="AC19" s="365">
        <f t="shared" si="15"/>
        <v>46387</v>
      </c>
      <c r="AD19" s="366" t="s">
        <v>1011</v>
      </c>
      <c r="AE19" s="427">
        <v>46477.0</v>
      </c>
      <c r="AF19" s="365">
        <f t="shared" ref="AF19:AH19" si="16">EOMONTH(AE19,3)</f>
        <v>46568</v>
      </c>
      <c r="AG19" s="365">
        <f t="shared" si="16"/>
        <v>46660</v>
      </c>
      <c r="AH19" s="365">
        <f t="shared" si="16"/>
        <v>46752</v>
      </c>
    </row>
    <row r="20">
      <c r="E20" s="118"/>
      <c r="F20" s="118"/>
      <c r="G20" s="118"/>
      <c r="H20" s="118"/>
      <c r="I20" s="118"/>
      <c r="J20" s="118"/>
      <c r="K20" s="425">
        <v>7.14</v>
      </c>
      <c r="L20" s="426">
        <v>7.18</v>
      </c>
      <c r="R20" s="308"/>
      <c r="S20" s="4" t="s">
        <v>62</v>
      </c>
      <c r="T20" s="29">
        <v>77.93</v>
      </c>
      <c r="U20" s="29">
        <v>83.5</v>
      </c>
      <c r="V20" s="437">
        <v>85.22</v>
      </c>
      <c r="W20" s="226">
        <f t="shared" ref="W20:W23" si="17">AVERAGE(T20:V20)</f>
        <v>82.21666667</v>
      </c>
      <c r="X20" s="366" t="s">
        <v>1011</v>
      </c>
      <c r="Y20" s="367" t="s">
        <v>786</v>
      </c>
      <c r="Z20" s="348"/>
      <c r="AA20" s="348"/>
      <c r="AB20" s="348"/>
      <c r="AC20" s="349">
        <v>87.0</v>
      </c>
      <c r="AD20" s="367" t="s">
        <v>786</v>
      </c>
      <c r="AE20" s="348">
        <v>88.0</v>
      </c>
      <c r="AF20" s="348">
        <v>91.0</v>
      </c>
      <c r="AG20" s="348">
        <v>95.0</v>
      </c>
      <c r="AH20" s="349">
        <v>97.0</v>
      </c>
      <c r="AI20" s="366" t="s">
        <v>1011</v>
      </c>
    </row>
    <row r="21">
      <c r="E21" s="118"/>
      <c r="F21" s="118"/>
      <c r="G21" s="118"/>
      <c r="H21" s="118"/>
      <c r="I21" s="118"/>
      <c r="J21" s="118"/>
      <c r="K21" s="425">
        <v>93.4</v>
      </c>
      <c r="L21" s="426">
        <v>93.2</v>
      </c>
      <c r="R21" s="309"/>
      <c r="S21" s="4" t="s">
        <v>28</v>
      </c>
      <c r="T21" s="29">
        <v>83.42</v>
      </c>
      <c r="U21" s="29">
        <v>90.97</v>
      </c>
      <c r="V21" s="437">
        <v>114.72</v>
      </c>
      <c r="W21" s="226">
        <f t="shared" si="17"/>
        <v>96.37</v>
      </c>
      <c r="Y21" s="352" t="s">
        <v>468</v>
      </c>
      <c r="Z21" s="354"/>
      <c r="AA21" s="354"/>
      <c r="AB21" s="354"/>
      <c r="AC21" s="355">
        <v>87.0</v>
      </c>
      <c r="AD21" s="352" t="s">
        <v>468</v>
      </c>
      <c r="AE21" s="354">
        <v>86.0</v>
      </c>
      <c r="AF21" s="354">
        <v>87.0</v>
      </c>
      <c r="AG21" s="354">
        <v>90.0</v>
      </c>
      <c r="AH21" s="355">
        <v>92.0</v>
      </c>
    </row>
    <row r="22">
      <c r="E22" s="118"/>
      <c r="F22" s="118"/>
      <c r="G22" s="118"/>
      <c r="H22" s="118"/>
      <c r="I22" s="118"/>
      <c r="J22" s="118"/>
      <c r="K22" s="425">
        <v>1.17</v>
      </c>
      <c r="L22" s="426">
        <v>1.16</v>
      </c>
      <c r="R22" s="309"/>
      <c r="S22" s="4" t="s">
        <v>1270</v>
      </c>
      <c r="T22" s="29">
        <v>59.02</v>
      </c>
      <c r="U22" s="29">
        <v>67.11</v>
      </c>
      <c r="V22" s="437">
        <v>89.56</v>
      </c>
      <c r="W22" s="226">
        <f t="shared" si="17"/>
        <v>71.89666667</v>
      </c>
      <c r="Y22" s="352" t="s">
        <v>469</v>
      </c>
      <c r="Z22" s="354"/>
      <c r="AA22" s="354"/>
      <c r="AB22" s="354"/>
      <c r="AC22" s="355">
        <v>84.0</v>
      </c>
      <c r="AD22" s="352" t="s">
        <v>469</v>
      </c>
      <c r="AE22" s="354">
        <v>84.0</v>
      </c>
      <c r="AF22" s="354">
        <v>87.0</v>
      </c>
      <c r="AG22" s="354">
        <v>90.0</v>
      </c>
      <c r="AH22" s="355">
        <v>93.0</v>
      </c>
    </row>
    <row r="23">
      <c r="E23" s="118"/>
      <c r="F23" s="118"/>
      <c r="G23" s="118"/>
      <c r="H23" s="118"/>
      <c r="I23" s="118"/>
      <c r="J23" s="118"/>
      <c r="K23" s="425">
        <v>71.0</v>
      </c>
      <c r="L23" s="426">
        <v>68.0</v>
      </c>
      <c r="R23" s="309"/>
      <c r="S23" s="4" t="s">
        <v>1214</v>
      </c>
      <c r="T23" s="117">
        <f t="shared" ref="T23:V23" si="18">T21-T22</f>
        <v>24.4</v>
      </c>
      <c r="U23" s="117">
        <f t="shared" si="18"/>
        <v>23.86</v>
      </c>
      <c r="V23" s="117">
        <f t="shared" si="18"/>
        <v>25.16</v>
      </c>
      <c r="W23" s="226">
        <f t="shared" si="17"/>
        <v>24.47333333</v>
      </c>
      <c r="Y23" s="352" t="s">
        <v>470</v>
      </c>
      <c r="Z23" s="354"/>
      <c r="AA23" s="354"/>
      <c r="AB23" s="354"/>
      <c r="AC23" s="355">
        <v>85.0</v>
      </c>
      <c r="AD23" s="352" t="s">
        <v>470</v>
      </c>
      <c r="AE23" s="354">
        <v>85.0</v>
      </c>
      <c r="AF23" s="354">
        <v>88.0</v>
      </c>
      <c r="AG23" s="354">
        <v>90.0</v>
      </c>
      <c r="AH23" s="355">
        <v>91.0</v>
      </c>
    </row>
    <row r="24">
      <c r="E24" s="118"/>
      <c r="F24" s="118"/>
      <c r="G24" s="118"/>
      <c r="H24" s="118"/>
      <c r="I24" s="118"/>
      <c r="J24" s="118"/>
      <c r="K24" s="425">
        <v>57.4</v>
      </c>
      <c r="L24" s="426">
        <v>56.1</v>
      </c>
      <c r="R24" s="309"/>
      <c r="Y24" s="357" t="s">
        <v>906</v>
      </c>
      <c r="Z24" s="354"/>
      <c r="AA24" s="354"/>
      <c r="AB24" s="354"/>
      <c r="AC24" s="356">
        <v>86.0</v>
      </c>
      <c r="AD24" s="357" t="s">
        <v>906</v>
      </c>
      <c r="AE24" s="354">
        <v>88.0</v>
      </c>
      <c r="AF24" s="354">
        <v>89.0</v>
      </c>
      <c r="AG24" s="354">
        <v>93.0</v>
      </c>
      <c r="AH24" s="355">
        <v>96.0</v>
      </c>
    </row>
    <row r="25">
      <c r="E25" s="118"/>
      <c r="F25" s="118"/>
      <c r="G25" s="118"/>
      <c r="H25" s="118"/>
      <c r="I25" s="118"/>
      <c r="J25" s="118"/>
      <c r="R25" s="308"/>
      <c r="Y25" s="358" t="s">
        <v>908</v>
      </c>
      <c r="Z25" s="354"/>
      <c r="AA25" s="354"/>
      <c r="AB25" s="354"/>
      <c r="AC25" s="356">
        <v>87.0</v>
      </c>
      <c r="AD25" s="358" t="s">
        <v>908</v>
      </c>
      <c r="AE25" s="354">
        <v>88.0</v>
      </c>
      <c r="AF25" s="354">
        <v>91.0</v>
      </c>
      <c r="AG25" s="354">
        <v>94.0</v>
      </c>
      <c r="AH25" s="355">
        <v>96.0</v>
      </c>
    </row>
    <row r="26">
      <c r="A26" s="3"/>
      <c r="B26" s="12"/>
      <c r="C26" s="12"/>
      <c r="D26" s="13"/>
      <c r="E26" s="13"/>
      <c r="F26" s="13"/>
      <c r="G26" s="13"/>
      <c r="H26" s="13"/>
      <c r="I26" s="13"/>
      <c r="J26" s="13"/>
      <c r="R26" s="308"/>
      <c r="S26" s="309"/>
      <c r="T26" s="309"/>
      <c r="U26" s="309"/>
      <c r="V26" s="309"/>
      <c r="W26" s="309"/>
      <c r="X26" s="309"/>
      <c r="Y26" s="358"/>
      <c r="Z26" s="444"/>
      <c r="AA26" s="444"/>
      <c r="AB26" s="444"/>
      <c r="AC26" s="447"/>
      <c r="AD26" s="358"/>
      <c r="AE26" s="444"/>
      <c r="AF26" s="444"/>
      <c r="AG26" s="444"/>
      <c r="AH26" s="447"/>
    </row>
    <row r="27">
      <c r="Y27" s="361" t="s">
        <v>912</v>
      </c>
      <c r="Z27" s="359" t="str">
        <f t="shared" ref="Z27:AC27" si="19">AVERAGE(Z21:Z25)</f>
        <v>#DIV/0!</v>
      </c>
      <c r="AA27" s="359" t="str">
        <f t="shared" si="19"/>
        <v>#DIV/0!</v>
      </c>
      <c r="AB27" s="359" t="str">
        <f t="shared" si="19"/>
        <v>#DIV/0!</v>
      </c>
      <c r="AC27" s="360">
        <f t="shared" si="19"/>
        <v>85.8</v>
      </c>
      <c r="AD27" s="361" t="s">
        <v>912</v>
      </c>
      <c r="AE27" s="359">
        <f t="shared" ref="AE27:AH27" si="20">AVERAGE(AE21:AE25)</f>
        <v>86.2</v>
      </c>
      <c r="AF27" s="359">
        <f t="shared" si="20"/>
        <v>88.4</v>
      </c>
      <c r="AG27" s="359">
        <f t="shared" si="20"/>
        <v>91.4</v>
      </c>
      <c r="AH27" s="360">
        <f t="shared" si="20"/>
        <v>93.6</v>
      </c>
    </row>
    <row r="28">
      <c r="X28" s="366" t="s">
        <v>81</v>
      </c>
      <c r="Y28" s="371" t="s">
        <v>786</v>
      </c>
      <c r="Z28" s="372"/>
      <c r="AA28" s="372"/>
      <c r="AB28" s="372"/>
      <c r="AC28" s="373">
        <v>6.2</v>
      </c>
      <c r="AD28" s="371" t="s">
        <v>786</v>
      </c>
      <c r="AE28" s="372"/>
      <c r="AF28" s="372"/>
      <c r="AG28" s="372"/>
      <c r="AH28" s="373" t="s">
        <v>194</v>
      </c>
      <c r="AI28" s="366" t="s">
        <v>81</v>
      </c>
    </row>
    <row r="29">
      <c r="Q29" s="4"/>
      <c r="R29" s="55"/>
      <c r="X29" s="99" t="s">
        <v>1306</v>
      </c>
      <c r="Y29" s="374" t="s">
        <v>468</v>
      </c>
      <c r="Z29" s="53"/>
      <c r="AA29" s="53"/>
      <c r="AB29" s="303"/>
      <c r="AC29" s="376">
        <v>7.0</v>
      </c>
      <c r="AD29" s="374" t="s">
        <v>468</v>
      </c>
      <c r="AE29" s="53"/>
      <c r="AF29" s="53"/>
      <c r="AG29" s="303"/>
      <c r="AH29" s="376">
        <v>6.7</v>
      </c>
      <c r="AI29" s="3" t="s">
        <v>1307</v>
      </c>
    </row>
    <row r="30">
      <c r="M30" s="308"/>
      <c r="Q30" s="4"/>
      <c r="R30" s="55"/>
      <c r="X30" s="99" t="s">
        <v>1193</v>
      </c>
      <c r="Y30" s="352" t="s">
        <v>469</v>
      </c>
      <c r="Z30" s="52"/>
      <c r="AA30" s="53"/>
      <c r="AB30" s="303"/>
      <c r="AC30" s="376">
        <v>6.7</v>
      </c>
      <c r="AD30" s="352" t="s">
        <v>469</v>
      </c>
      <c r="AE30" s="52"/>
      <c r="AF30" s="53"/>
      <c r="AG30" s="303"/>
      <c r="AH30" s="376">
        <v>7.0</v>
      </c>
    </row>
    <row r="31">
      <c r="M31" s="309"/>
      <c r="Q31" s="4"/>
      <c r="R31" s="55"/>
      <c r="X31" s="99" t="s">
        <v>1195</v>
      </c>
      <c r="Y31" s="374" t="s">
        <v>470</v>
      </c>
      <c r="Z31" s="52"/>
      <c r="AA31" s="53"/>
      <c r="AB31" s="303"/>
      <c r="AC31" s="376">
        <v>6.5</v>
      </c>
      <c r="AD31" s="374" t="s">
        <v>470</v>
      </c>
      <c r="AE31" s="53"/>
      <c r="AF31" s="53"/>
      <c r="AG31" s="303"/>
      <c r="AH31" s="376">
        <v>6.7</v>
      </c>
    </row>
    <row r="32">
      <c r="M32" s="309"/>
      <c r="Q32" s="4"/>
      <c r="R32" s="55"/>
      <c r="S32" s="377"/>
      <c r="Y32" s="358" t="s">
        <v>906</v>
      </c>
      <c r="Z32" s="52"/>
      <c r="AA32" s="55"/>
      <c r="AB32" s="303"/>
      <c r="AC32" s="376">
        <v>7.0</v>
      </c>
      <c r="AD32" s="358" t="s">
        <v>906</v>
      </c>
      <c r="AE32" s="55"/>
      <c r="AF32" s="55"/>
      <c r="AG32" s="303"/>
      <c r="AH32" s="376">
        <v>6.2</v>
      </c>
    </row>
    <row r="33">
      <c r="M33" s="309"/>
      <c r="Q33" s="4"/>
      <c r="R33" s="55"/>
      <c r="S33" s="377"/>
      <c r="Y33" s="358" t="s">
        <v>908</v>
      </c>
      <c r="Z33" s="55"/>
      <c r="AA33" s="55"/>
      <c r="AB33" s="303"/>
      <c r="AC33" s="376">
        <v>6.4</v>
      </c>
      <c r="AD33" s="358" t="s">
        <v>908</v>
      </c>
      <c r="AE33" s="55"/>
      <c r="AF33" s="55"/>
      <c r="AG33" s="303"/>
      <c r="AH33" s="376">
        <v>6.9</v>
      </c>
    </row>
    <row r="34">
      <c r="M34" s="309"/>
      <c r="Q34" s="4"/>
      <c r="R34" s="55"/>
      <c r="S34" s="377"/>
      <c r="Y34" s="358"/>
      <c r="Z34" s="394"/>
      <c r="AA34" s="394"/>
      <c r="AB34" s="394"/>
      <c r="AC34" s="449"/>
      <c r="AD34" s="358"/>
      <c r="AE34" s="394"/>
      <c r="AF34" s="394"/>
      <c r="AG34" s="394"/>
      <c r="AH34" s="449"/>
    </row>
    <row r="35">
      <c r="M35" s="308"/>
      <c r="Q35" s="4"/>
      <c r="R35" s="55"/>
      <c r="S35" s="53"/>
      <c r="Y35" s="380" t="s">
        <v>912</v>
      </c>
      <c r="Z35" s="450"/>
      <c r="AA35" s="450"/>
      <c r="AB35" s="451"/>
      <c r="AC35" s="379">
        <f>AVERAGE(AC29:AC33)</f>
        <v>6.72</v>
      </c>
      <c r="AD35" s="380" t="s">
        <v>912</v>
      </c>
      <c r="AE35" s="450"/>
      <c r="AF35" s="450"/>
      <c r="AG35" s="451"/>
      <c r="AH35" s="379">
        <f>AVERAGE(AH29:AH33)</f>
        <v>6.7</v>
      </c>
    </row>
    <row r="36">
      <c r="M36" s="308"/>
      <c r="Q36" s="4"/>
      <c r="R36" s="55"/>
      <c r="S36" s="53"/>
      <c r="X36" s="350" t="s">
        <v>1275</v>
      </c>
      <c r="Y36" s="385"/>
      <c r="Z36" s="61" t="s">
        <v>1120</v>
      </c>
      <c r="AA36" s="61" t="s">
        <v>1121</v>
      </c>
      <c r="AB36" s="61" t="s">
        <v>1122</v>
      </c>
      <c r="AC36" s="61" t="s">
        <v>1123</v>
      </c>
      <c r="AE36" s="4" t="s">
        <v>1259</v>
      </c>
      <c r="AF36" s="4" t="s">
        <v>1260</v>
      </c>
      <c r="AG36" s="4" t="s">
        <v>1261</v>
      </c>
      <c r="AH36" s="4" t="s">
        <v>1262</v>
      </c>
      <c r="AI36" s="350" t="s">
        <v>1275</v>
      </c>
    </row>
    <row r="37">
      <c r="S37" s="53"/>
      <c r="Y37" s="386" t="s">
        <v>468</v>
      </c>
      <c r="Z37" s="431"/>
      <c r="AA37" s="462"/>
      <c r="AB37" s="462"/>
      <c r="AC37" s="462">
        <v>14.0</v>
      </c>
      <c r="AD37" s="386" t="s">
        <v>468</v>
      </c>
      <c r="AE37" s="463">
        <v>13.75</v>
      </c>
      <c r="AF37" s="463">
        <v>13.75</v>
      </c>
      <c r="AG37" s="463">
        <v>13.75</v>
      </c>
      <c r="AH37" s="463">
        <v>13.75</v>
      </c>
    </row>
    <row r="38">
      <c r="N38" s="31" t="s">
        <v>586</v>
      </c>
      <c r="Y38" s="386" t="s">
        <v>469</v>
      </c>
      <c r="Z38" s="433"/>
      <c r="AA38" s="464"/>
      <c r="AB38" s="464"/>
      <c r="AC38" s="464">
        <v>14.0</v>
      </c>
      <c r="AD38" s="386" t="s">
        <v>469</v>
      </c>
      <c r="AE38" s="464">
        <v>13.75</v>
      </c>
      <c r="AF38" s="464">
        <v>13.5</v>
      </c>
      <c r="AG38" s="464">
        <v>13.25</v>
      </c>
      <c r="AH38" s="465">
        <v>13.0</v>
      </c>
    </row>
    <row r="39">
      <c r="N39" s="3" t="s">
        <v>587</v>
      </c>
      <c r="S39" s="53"/>
      <c r="Y39" s="386" t="s">
        <v>470</v>
      </c>
      <c r="Z39" s="431"/>
      <c r="AA39" s="462"/>
      <c r="AB39" s="462"/>
      <c r="AC39" s="462">
        <v>13.75</v>
      </c>
      <c r="AD39" s="386" t="s">
        <v>470</v>
      </c>
      <c r="AE39" s="463">
        <v>13.5</v>
      </c>
      <c r="AF39" s="463">
        <v>13.25</v>
      </c>
      <c r="AG39" s="462">
        <v>12.75</v>
      </c>
      <c r="AH39" s="462">
        <v>12.25</v>
      </c>
    </row>
    <row r="40">
      <c r="N40" s="3" t="s">
        <v>589</v>
      </c>
      <c r="S40" s="394"/>
      <c r="Y40" s="395" t="s">
        <v>906</v>
      </c>
      <c r="Z40" s="433"/>
      <c r="AA40" s="464"/>
      <c r="AB40" s="464"/>
      <c r="AC40" s="465">
        <v>13.75</v>
      </c>
      <c r="AD40" s="395" t="s">
        <v>906</v>
      </c>
      <c r="AE40" s="464">
        <v>13.5</v>
      </c>
      <c r="AF40" s="464">
        <v>13.25</v>
      </c>
      <c r="AG40" s="464">
        <v>13.0</v>
      </c>
      <c r="AH40" s="465">
        <v>12.75</v>
      </c>
    </row>
    <row r="41">
      <c r="N41" s="3" t="s">
        <v>591</v>
      </c>
      <c r="S41" s="394"/>
      <c r="Y41" s="395" t="s">
        <v>908</v>
      </c>
      <c r="Z41" s="431"/>
      <c r="AA41" s="462"/>
      <c r="AB41" s="463"/>
      <c r="AC41" s="463">
        <v>13.75</v>
      </c>
      <c r="AD41" s="395" t="s">
        <v>908</v>
      </c>
      <c r="AE41" s="463">
        <v>13.75</v>
      </c>
      <c r="AF41" s="463">
        <v>13.5</v>
      </c>
      <c r="AG41" s="463">
        <v>13.0</v>
      </c>
      <c r="AH41" s="463">
        <v>12.5</v>
      </c>
    </row>
    <row r="42">
      <c r="N42" s="3" t="s">
        <v>593</v>
      </c>
      <c r="S42" s="394"/>
      <c r="Y42" s="452"/>
      <c r="Z42" s="453"/>
      <c r="AA42" s="453"/>
      <c r="AB42" s="453"/>
      <c r="AC42" s="454"/>
      <c r="AD42" s="452"/>
      <c r="AE42" s="453"/>
      <c r="AF42" s="453"/>
      <c r="AG42" s="453"/>
      <c r="AH42" s="454"/>
    </row>
    <row r="43">
      <c r="N43" s="3" t="s">
        <v>595</v>
      </c>
      <c r="S43" s="55"/>
      <c r="Y43" s="401" t="s">
        <v>912</v>
      </c>
      <c r="Z43" s="293" t="str">
        <f t="shared" ref="Z43:AC43" si="21">AVERAGE(Z37:Z41)</f>
        <v>#DIV/0!</v>
      </c>
      <c r="AA43" s="466" t="str">
        <f t="shared" si="21"/>
        <v>#DIV/0!</v>
      </c>
      <c r="AB43" s="466" t="str">
        <f t="shared" si="21"/>
        <v>#DIV/0!</v>
      </c>
      <c r="AC43" s="467">
        <f t="shared" si="21"/>
        <v>13.85</v>
      </c>
      <c r="AD43" s="401" t="s">
        <v>912</v>
      </c>
      <c r="AE43" s="466">
        <f t="shared" ref="AE43:AH43" si="22">AVERAGE(AE37:AE41)</f>
        <v>13.65</v>
      </c>
      <c r="AF43" s="466">
        <f t="shared" si="22"/>
        <v>13.45</v>
      </c>
      <c r="AG43" s="466">
        <f t="shared" si="22"/>
        <v>13.15</v>
      </c>
      <c r="AH43" s="467">
        <f t="shared" si="22"/>
        <v>12.85</v>
      </c>
    </row>
    <row r="44">
      <c r="N44" s="3" t="s">
        <v>597</v>
      </c>
      <c r="S44" s="53"/>
      <c r="X44" s="350" t="s">
        <v>78</v>
      </c>
      <c r="Y44" s="402" t="s">
        <v>786</v>
      </c>
      <c r="Z44" s="403"/>
      <c r="AA44" s="403"/>
      <c r="AB44" s="403"/>
      <c r="AC44" s="412">
        <v>-0.6</v>
      </c>
      <c r="AD44" s="402" t="s">
        <v>786</v>
      </c>
      <c r="AE44" s="403"/>
      <c r="AF44" s="403"/>
      <c r="AG44" s="403"/>
      <c r="AH44" s="412">
        <v>2.0</v>
      </c>
      <c r="AI44" s="350" t="s">
        <v>78</v>
      </c>
    </row>
    <row r="45">
      <c r="N45" s="3" t="s">
        <v>599</v>
      </c>
      <c r="S45" s="55"/>
      <c r="Y45" s="405" t="s">
        <v>468</v>
      </c>
      <c r="Z45" s="55"/>
      <c r="AA45" s="55"/>
      <c r="AB45" s="55"/>
      <c r="AC45" s="376">
        <v>0.7</v>
      </c>
      <c r="AD45" s="405" t="s">
        <v>468</v>
      </c>
      <c r="AE45" s="55"/>
      <c r="AF45" s="55"/>
      <c r="AG45" s="55"/>
      <c r="AH45" s="376">
        <v>1.5</v>
      </c>
    </row>
    <row r="46">
      <c r="S46" s="55"/>
      <c r="Y46" s="405" t="s">
        <v>469</v>
      </c>
      <c r="Z46" s="55"/>
      <c r="AA46" s="55"/>
      <c r="AB46" s="55"/>
      <c r="AC46" s="376">
        <v>-1.0</v>
      </c>
      <c r="AD46" s="405" t="s">
        <v>469</v>
      </c>
      <c r="AE46" s="55"/>
      <c r="AF46" s="55"/>
      <c r="AG46" s="55"/>
      <c r="AH46" s="376">
        <v>-1.0</v>
      </c>
    </row>
    <row r="47">
      <c r="N47" s="3" t="s">
        <v>601</v>
      </c>
      <c r="S47" s="55"/>
      <c r="Y47" s="405" t="s">
        <v>470</v>
      </c>
      <c r="Z47" s="55"/>
      <c r="AA47" s="55"/>
      <c r="AB47" s="55"/>
      <c r="AC47" s="376">
        <v>-0.6</v>
      </c>
      <c r="AD47" s="405" t="s">
        <v>470</v>
      </c>
      <c r="AE47" s="55"/>
      <c r="AF47" s="55"/>
      <c r="AG47" s="55"/>
      <c r="AH47" s="376">
        <v>1.0</v>
      </c>
    </row>
    <row r="48">
      <c r="S48" s="394"/>
      <c r="Y48" s="407" t="s">
        <v>906</v>
      </c>
      <c r="Z48" s="55"/>
      <c r="AA48" s="55"/>
      <c r="AB48" s="55"/>
      <c r="AC48" s="376">
        <v>0.7</v>
      </c>
      <c r="AD48" s="407" t="s">
        <v>906</v>
      </c>
      <c r="AE48" s="55"/>
      <c r="AF48" s="55"/>
      <c r="AG48" s="55"/>
      <c r="AH48" s="376">
        <v>0.8</v>
      </c>
    </row>
    <row r="49">
      <c r="N49" s="3" t="s">
        <v>604</v>
      </c>
      <c r="S49" s="394"/>
      <c r="Y49" s="407" t="s">
        <v>908</v>
      </c>
      <c r="Z49" s="55"/>
      <c r="AA49" s="408"/>
      <c r="AB49" s="408"/>
      <c r="AC49" s="376">
        <v>0.4</v>
      </c>
      <c r="AD49" s="407" t="s">
        <v>908</v>
      </c>
      <c r="AE49" s="55"/>
      <c r="AF49" s="408"/>
      <c r="AG49" s="408"/>
      <c r="AH49" s="376">
        <v>0.9</v>
      </c>
    </row>
    <row r="50">
      <c r="S50" s="394"/>
      <c r="Y50" s="455"/>
      <c r="Z50" s="456"/>
      <c r="AA50" s="457"/>
      <c r="AB50" s="456"/>
      <c r="AC50" s="458"/>
      <c r="AD50" s="455"/>
      <c r="AE50" s="456"/>
      <c r="AF50" s="457"/>
      <c r="AG50" s="456"/>
      <c r="AH50" s="458"/>
    </row>
    <row r="51">
      <c r="N51" s="3" t="s">
        <v>606</v>
      </c>
      <c r="S51" s="55"/>
      <c r="Y51" s="361" t="s">
        <v>912</v>
      </c>
      <c r="Z51" s="451"/>
      <c r="AA51" s="459"/>
      <c r="AB51" s="459"/>
      <c r="AC51" s="379">
        <f>AVERAGE(AC45:AC49)</f>
        <v>0.04</v>
      </c>
      <c r="AD51" s="361" t="s">
        <v>912</v>
      </c>
      <c r="AE51" s="451"/>
      <c r="AF51" s="459"/>
      <c r="AG51" s="459"/>
      <c r="AH51" s="379">
        <f>AVERAGE(AH45:AH49)</f>
        <v>0.64</v>
      </c>
    </row>
    <row r="52">
      <c r="N52" s="65">
        <f>60%*47.5</f>
        <v>28.5</v>
      </c>
      <c r="O52" s="3" t="s">
        <v>608</v>
      </c>
      <c r="R52" s="65"/>
      <c r="Y52" s="343">
        <v>2026.0</v>
      </c>
      <c r="AB52" s="218"/>
      <c r="AC52" s="468"/>
      <c r="AD52" s="343">
        <v>2027.0</v>
      </c>
    </row>
    <row r="53">
      <c r="N53" s="65">
        <f>N52*72%</f>
        <v>20.52</v>
      </c>
      <c r="O53" s="3" t="s">
        <v>609</v>
      </c>
      <c r="R53" s="65"/>
    </row>
    <row r="54">
      <c r="N54" s="65">
        <f>N52-N53</f>
        <v>7.98</v>
      </c>
      <c r="O54" s="3" t="s">
        <v>610</v>
      </c>
    </row>
    <row r="55">
      <c r="N55" s="3" t="s">
        <v>1308</v>
      </c>
    </row>
    <row r="56">
      <c r="N56" s="3" t="s">
        <v>613</v>
      </c>
    </row>
    <row r="57">
      <c r="N57" s="3" t="s">
        <v>615</v>
      </c>
    </row>
    <row r="58">
      <c r="N58" s="3" t="s">
        <v>617</v>
      </c>
    </row>
    <row r="60">
      <c r="M60" s="3" t="s">
        <v>619</v>
      </c>
      <c r="N60" s="31" t="s">
        <v>620</v>
      </c>
      <c r="P60" s="218"/>
      <c r="Q60" s="31"/>
    </row>
    <row r="68">
      <c r="P68" s="218"/>
      <c r="Q68" s="31"/>
    </row>
  </sheetData>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5"/>
    <col hidden="1" min="2" max="7" width="12.63"/>
    <col customWidth="1" hidden="1" min="8" max="9" width="12.5"/>
    <col customWidth="1" hidden="1" min="10" max="10" width="11.75"/>
    <col customWidth="1" hidden="1" min="11" max="15" width="14.5"/>
    <col customWidth="1" hidden="1" min="16" max="16" width="19.13"/>
    <col customWidth="1" hidden="1" min="17" max="17" width="12.25"/>
    <col customWidth="1" hidden="1" min="18" max="18" width="12.38"/>
    <col hidden="1" min="19" max="20" width="12.63"/>
    <col customWidth="1" hidden="1" min="21" max="21" width="13.13"/>
    <col customWidth="1" hidden="1" min="22" max="26" width="11.63"/>
    <col customWidth="1" hidden="1" min="27" max="27" width="20.63"/>
  </cols>
  <sheetData>
    <row r="1">
      <c r="A1" s="469">
        <v>46303.0</v>
      </c>
      <c r="B1" s="2"/>
      <c r="C1" s="61" t="s">
        <v>0</v>
      </c>
      <c r="D1" s="61" t="s">
        <v>1</v>
      </c>
      <c r="E1" s="61" t="s">
        <v>2</v>
      </c>
      <c r="F1" s="61" t="s">
        <v>3</v>
      </c>
      <c r="G1" s="61" t="s">
        <v>4</v>
      </c>
      <c r="H1" s="61" t="s">
        <v>5</v>
      </c>
      <c r="I1" s="61" t="s">
        <v>6</v>
      </c>
      <c r="J1" s="61" t="s">
        <v>7</v>
      </c>
      <c r="K1" s="61" t="s">
        <v>625</v>
      </c>
      <c r="L1" s="61" t="s">
        <v>626</v>
      </c>
      <c r="M1" s="61" t="s">
        <v>627</v>
      </c>
      <c r="N1" s="61" t="s">
        <v>628</v>
      </c>
      <c r="O1" s="61">
        <v>2023.0</v>
      </c>
      <c r="P1" s="2" t="s">
        <v>8</v>
      </c>
      <c r="Q1" s="61" t="s">
        <v>629</v>
      </c>
      <c r="R1" s="61" t="s">
        <v>630</v>
      </c>
      <c r="S1" s="61" t="s">
        <v>631</v>
      </c>
      <c r="T1" s="61" t="s">
        <v>632</v>
      </c>
      <c r="U1" s="61">
        <v>2024.0</v>
      </c>
      <c r="V1" s="61" t="s">
        <v>762</v>
      </c>
      <c r="W1" s="61" t="s">
        <v>763</v>
      </c>
      <c r="X1" s="61" t="s">
        <v>764</v>
      </c>
      <c r="Y1" s="61" t="s">
        <v>765</v>
      </c>
      <c r="Z1" s="61">
        <v>2025.0</v>
      </c>
      <c r="AA1" s="2"/>
      <c r="AB1" s="61" t="s">
        <v>1120</v>
      </c>
      <c r="AC1" s="61" t="s">
        <v>1121</v>
      </c>
      <c r="AD1" s="61" t="s">
        <v>1122</v>
      </c>
      <c r="AE1" s="61" t="s">
        <v>1123</v>
      </c>
      <c r="AF1" s="61">
        <v>2026.0</v>
      </c>
      <c r="AG1" s="61" t="s">
        <v>1259</v>
      </c>
      <c r="AH1" s="61" t="s">
        <v>1260</v>
      </c>
      <c r="AI1" s="61" t="s">
        <v>1261</v>
      </c>
      <c r="AJ1" s="61" t="s">
        <v>1262</v>
      </c>
      <c r="AK1" s="61">
        <v>2027.0</v>
      </c>
    </row>
    <row r="2">
      <c r="A2" s="191"/>
      <c r="B2" s="54"/>
      <c r="C2" s="4"/>
      <c r="D2" s="4"/>
      <c r="E2" s="54"/>
      <c r="F2" s="54"/>
      <c r="G2" s="54"/>
      <c r="H2" s="54"/>
      <c r="J2" s="5"/>
      <c r="K2" s="4" t="s">
        <v>525</v>
      </c>
      <c r="L2" s="4" t="s">
        <v>525</v>
      </c>
      <c r="M2" s="4" t="s">
        <v>525</v>
      </c>
      <c r="N2" s="4" t="s">
        <v>525</v>
      </c>
      <c r="O2" s="3" t="s">
        <v>527</v>
      </c>
      <c r="Q2" s="4" t="s">
        <v>525</v>
      </c>
      <c r="R2" s="4" t="s">
        <v>525</v>
      </c>
      <c r="S2" s="4" t="s">
        <v>525</v>
      </c>
      <c r="T2" s="4" t="s">
        <v>525</v>
      </c>
      <c r="U2" s="3" t="s">
        <v>935</v>
      </c>
      <c r="V2" s="4" t="s">
        <v>525</v>
      </c>
      <c r="W2" s="4" t="s">
        <v>525</v>
      </c>
      <c r="X2" s="4" t="s">
        <v>525</v>
      </c>
      <c r="Y2" s="4" t="s">
        <v>525</v>
      </c>
      <c r="Z2" s="3" t="s">
        <v>935</v>
      </c>
      <c r="AA2" s="52"/>
      <c r="AB2" s="4" t="s">
        <v>525</v>
      </c>
      <c r="AC2" s="4" t="s">
        <v>525</v>
      </c>
      <c r="AD2" s="4" t="s">
        <v>525</v>
      </c>
      <c r="AE2" s="4" t="s">
        <v>526</v>
      </c>
      <c r="AF2" s="3" t="s">
        <v>935</v>
      </c>
      <c r="AG2" s="4" t="s">
        <v>526</v>
      </c>
      <c r="AH2" s="4" t="s">
        <v>526</v>
      </c>
      <c r="AI2" s="4" t="s">
        <v>526</v>
      </c>
      <c r="AJ2" s="4" t="s">
        <v>526</v>
      </c>
      <c r="AK2" s="3" t="s">
        <v>935</v>
      </c>
    </row>
    <row r="3">
      <c r="A3" s="245" t="s">
        <v>528</v>
      </c>
      <c r="B3" s="4"/>
      <c r="C3" s="4" t="s">
        <v>16</v>
      </c>
      <c r="D3" s="4" t="s">
        <v>16</v>
      </c>
      <c r="E3" s="54" t="s">
        <v>152</v>
      </c>
      <c r="F3" s="54" t="s">
        <v>293</v>
      </c>
      <c r="G3" s="54" t="s">
        <v>18</v>
      </c>
      <c r="H3" s="54" t="s">
        <v>18</v>
      </c>
      <c r="I3" s="112" t="s">
        <v>416</v>
      </c>
      <c r="J3" s="112" t="s">
        <v>397</v>
      </c>
      <c r="K3" s="263">
        <v>73.0</v>
      </c>
      <c r="L3" s="263">
        <v>81.0</v>
      </c>
      <c r="M3" s="263">
        <v>94.0</v>
      </c>
      <c r="N3" s="246">
        <v>92.9</v>
      </c>
      <c r="O3" s="248">
        <f>AVERAGE(K3:N3)</f>
        <v>85.225</v>
      </c>
      <c r="P3" s="249"/>
      <c r="Q3" s="263">
        <v>91.0</v>
      </c>
      <c r="R3" s="246">
        <v>90.7</v>
      </c>
      <c r="S3" s="320">
        <v>89.0</v>
      </c>
      <c r="T3" s="321">
        <v>100.0</v>
      </c>
      <c r="U3" s="248">
        <f t="shared" ref="U3:U11" si="2">AVERAGE(Q3:T3)</f>
        <v>92.675</v>
      </c>
      <c r="V3" s="320">
        <v>93.0</v>
      </c>
      <c r="W3" s="320">
        <v>81.0</v>
      </c>
      <c r="X3" s="320">
        <v>81.0</v>
      </c>
      <c r="Y3" s="470">
        <v>79.9</v>
      </c>
      <c r="Z3" s="248">
        <f t="shared" ref="Z3:Z11" si="3">AVERAGE(V3:Y3)</f>
        <v>83.725</v>
      </c>
      <c r="AA3" s="245" t="s">
        <v>528</v>
      </c>
      <c r="AB3" s="470">
        <v>78.0</v>
      </c>
      <c r="AC3" s="470">
        <v>74.0</v>
      </c>
      <c r="AD3" s="470">
        <v>82.14</v>
      </c>
      <c r="AE3" s="322">
        <v>86.0</v>
      </c>
      <c r="AF3" s="248">
        <f t="shared" ref="AF3:AF11" si="5">AVERAGE(AB3:AE3)</f>
        <v>80.035</v>
      </c>
      <c r="AG3" s="322">
        <v>86.0</v>
      </c>
      <c r="AH3" s="322">
        <v>88.0</v>
      </c>
      <c r="AI3" s="322">
        <v>91.0</v>
      </c>
      <c r="AJ3" s="322">
        <v>94.0</v>
      </c>
      <c r="AK3" s="248">
        <f t="shared" ref="AK3:AK11" si="7">AVERAGE(AG3:AJ3)</f>
        <v>89.75</v>
      </c>
      <c r="AM3" s="471"/>
      <c r="AN3" s="471">
        <f t="shared" ref="AN3:AN4" si="8">AJ3/AE3-1</f>
        <v>0.09302325581</v>
      </c>
    </row>
    <row r="4" ht="27.0" customHeight="1">
      <c r="A4" s="323" t="s">
        <v>1309</v>
      </c>
      <c r="B4" s="4"/>
      <c r="C4" s="4"/>
      <c r="D4" s="4"/>
      <c r="E4" s="54"/>
      <c r="F4" s="54"/>
      <c r="G4" s="54"/>
      <c r="H4" s="54"/>
      <c r="I4" s="112"/>
      <c r="J4" s="112"/>
      <c r="K4" s="256">
        <f t="shared" ref="K4:O4" si="1">K3/K5</f>
        <v>10.68814056</v>
      </c>
      <c r="L4" s="256">
        <f t="shared" si="1"/>
        <v>11.57142857</v>
      </c>
      <c r="M4" s="256">
        <f t="shared" si="1"/>
        <v>13.06160259</v>
      </c>
      <c r="N4" s="256">
        <f t="shared" si="1"/>
        <v>12.99300699</v>
      </c>
      <c r="O4" s="258">
        <f t="shared" si="1"/>
        <v>12.0986632</v>
      </c>
      <c r="P4" s="249"/>
      <c r="Q4" s="256">
        <v>12.5</v>
      </c>
      <c r="R4" s="256">
        <v>12.5</v>
      </c>
      <c r="S4" s="256">
        <v>12.2</v>
      </c>
      <c r="T4" s="256">
        <v>13.8</v>
      </c>
      <c r="U4" s="258">
        <f t="shared" si="2"/>
        <v>12.75</v>
      </c>
      <c r="V4" s="256">
        <v>12.7</v>
      </c>
      <c r="W4" s="256">
        <v>11.1</v>
      </c>
      <c r="X4" s="256">
        <v>11.2</v>
      </c>
      <c r="Y4" s="256">
        <v>11.2</v>
      </c>
      <c r="Z4" s="258">
        <f t="shared" si="3"/>
        <v>11.55</v>
      </c>
      <c r="AA4" s="323" t="s">
        <v>920</v>
      </c>
      <c r="AB4" s="256">
        <f t="shared" ref="AB4:AC4" si="4">AB3/AB5</f>
        <v>11.2716763</v>
      </c>
      <c r="AC4" s="256">
        <f t="shared" si="4"/>
        <v>10.88235294</v>
      </c>
      <c r="AD4" s="256">
        <v>12.2</v>
      </c>
      <c r="AE4" s="325">
        <f>AE3/AE5</f>
        <v>12.8358209</v>
      </c>
      <c r="AF4" s="258">
        <f t="shared" si="5"/>
        <v>11.79746253</v>
      </c>
      <c r="AG4" s="325">
        <f t="shared" ref="AG4:AJ4" si="6">AG3/AG5</f>
        <v>12.8358209</v>
      </c>
      <c r="AH4" s="325">
        <f t="shared" si="6"/>
        <v>13.13432836</v>
      </c>
      <c r="AI4" s="325">
        <f t="shared" si="6"/>
        <v>13.58208955</v>
      </c>
      <c r="AJ4" s="325">
        <f t="shared" si="6"/>
        <v>14.02985075</v>
      </c>
      <c r="AK4" s="258">
        <f t="shared" si="7"/>
        <v>13.39552239</v>
      </c>
      <c r="AM4" s="471"/>
      <c r="AN4" s="471">
        <f t="shared" si="8"/>
        <v>0.09302325581</v>
      </c>
    </row>
    <row r="5" ht="28.5" hidden="1" customHeight="1">
      <c r="A5" s="245" t="s">
        <v>921</v>
      </c>
      <c r="B5" s="4"/>
      <c r="C5" s="4"/>
      <c r="D5" s="4"/>
      <c r="E5" s="54"/>
      <c r="F5" s="54"/>
      <c r="G5" s="54"/>
      <c r="H5" s="54"/>
      <c r="I5" s="112"/>
      <c r="J5" s="112"/>
      <c r="K5" s="263">
        <v>6.83</v>
      </c>
      <c r="L5" s="256">
        <v>7.0</v>
      </c>
      <c r="M5" s="260">
        <f>(7.12+7.18+7.29)/3</f>
        <v>7.196666667</v>
      </c>
      <c r="N5" s="263">
        <v>7.15</v>
      </c>
      <c r="O5" s="258">
        <f>AVERAGE(K5:N5)</f>
        <v>7.044166667</v>
      </c>
      <c r="P5" s="249"/>
      <c r="Q5" s="263">
        <v>7.19</v>
      </c>
      <c r="R5" s="263">
        <v>7.26</v>
      </c>
      <c r="S5" s="263">
        <v>7.17</v>
      </c>
      <c r="T5" s="260">
        <v>7.19</v>
      </c>
      <c r="U5" s="326">
        <f t="shared" si="2"/>
        <v>7.2025</v>
      </c>
      <c r="V5" s="260">
        <v>7.27</v>
      </c>
      <c r="W5" s="263">
        <v>7.22</v>
      </c>
      <c r="X5" s="263">
        <v>7.17</v>
      </c>
      <c r="Y5" s="263">
        <v>7.09</v>
      </c>
      <c r="Z5" s="326">
        <f t="shared" si="3"/>
        <v>7.1875</v>
      </c>
      <c r="AA5" s="245" t="s">
        <v>921</v>
      </c>
      <c r="AB5" s="263">
        <v>6.92</v>
      </c>
      <c r="AC5" s="263">
        <v>6.8</v>
      </c>
      <c r="AD5" s="263">
        <v>6.74</v>
      </c>
      <c r="AE5" s="472">
        <v>6.7</v>
      </c>
      <c r="AF5" s="326">
        <f t="shared" si="5"/>
        <v>6.79</v>
      </c>
      <c r="AG5" s="472">
        <v>6.7</v>
      </c>
      <c r="AH5" s="472">
        <v>6.7</v>
      </c>
      <c r="AI5" s="472">
        <v>6.7</v>
      </c>
      <c r="AJ5" s="472">
        <v>6.7</v>
      </c>
      <c r="AK5" s="326">
        <f t="shared" si="7"/>
        <v>6.7</v>
      </c>
    </row>
    <row r="6" ht="26.25" customHeight="1">
      <c r="A6" s="327" t="s">
        <v>1310</v>
      </c>
      <c r="B6" s="4"/>
      <c r="C6" s="4"/>
      <c r="D6" s="4"/>
      <c r="E6" s="54"/>
      <c r="F6" s="54"/>
      <c r="G6" s="54"/>
      <c r="H6" s="54"/>
      <c r="I6" s="112"/>
      <c r="J6" s="112"/>
      <c r="K6" s="246">
        <f t="shared" ref="K6:O6" si="9">K3*K7</f>
        <v>78.475</v>
      </c>
      <c r="L6" s="246">
        <f t="shared" si="9"/>
        <v>89.1</v>
      </c>
      <c r="M6" s="246">
        <f t="shared" si="9"/>
        <v>102.3033333</v>
      </c>
      <c r="N6" s="246">
        <f t="shared" si="9"/>
        <v>101.1061667</v>
      </c>
      <c r="O6" s="248">
        <f t="shared" si="9"/>
        <v>92.71769792</v>
      </c>
      <c r="P6" s="249"/>
      <c r="Q6" s="246">
        <v>98.8</v>
      </c>
      <c r="R6" s="246">
        <v>97.6</v>
      </c>
      <c r="S6" s="246">
        <v>98.0</v>
      </c>
      <c r="T6" s="246">
        <v>106.6</v>
      </c>
      <c r="U6" s="248">
        <f t="shared" si="2"/>
        <v>100.25</v>
      </c>
      <c r="V6" s="246">
        <v>98.0</v>
      </c>
      <c r="W6" s="246">
        <v>92.0</v>
      </c>
      <c r="X6" s="246">
        <f t="shared" ref="X6:Y6" si="10">X3*X7</f>
        <v>94.77</v>
      </c>
      <c r="Y6" s="246">
        <f t="shared" si="10"/>
        <v>92.95033333</v>
      </c>
      <c r="Z6" s="248">
        <f t="shared" si="3"/>
        <v>94.43008333</v>
      </c>
      <c r="AA6" s="245" t="s">
        <v>24</v>
      </c>
      <c r="AB6" s="246">
        <v>91.6</v>
      </c>
      <c r="AC6" s="246">
        <v>86.66</v>
      </c>
      <c r="AD6" s="246">
        <v>94.55</v>
      </c>
      <c r="AE6" s="328">
        <f>AE3*AE7</f>
        <v>97.18</v>
      </c>
      <c r="AF6" s="248">
        <f t="shared" si="5"/>
        <v>92.4975</v>
      </c>
      <c r="AG6" s="328">
        <f t="shared" ref="AG6:AJ6" si="11">AG3*AG7</f>
        <v>97.18</v>
      </c>
      <c r="AH6" s="328">
        <f t="shared" si="11"/>
        <v>99.44</v>
      </c>
      <c r="AI6" s="328">
        <f t="shared" si="11"/>
        <v>102.83</v>
      </c>
      <c r="AJ6" s="328">
        <f t="shared" si="11"/>
        <v>106.22</v>
      </c>
      <c r="AK6" s="248">
        <f t="shared" si="7"/>
        <v>101.4175</v>
      </c>
      <c r="AM6" s="471"/>
      <c r="AN6" s="471">
        <f>AJ6/AE6-1</f>
        <v>0.09302325581</v>
      </c>
    </row>
    <row r="7" ht="26.25" hidden="1" customHeight="1">
      <c r="A7" s="245" t="s">
        <v>922</v>
      </c>
      <c r="B7" s="4"/>
      <c r="C7" s="4"/>
      <c r="D7" s="4"/>
      <c r="E7" s="54"/>
      <c r="F7" s="54"/>
      <c r="G7" s="54"/>
      <c r="H7" s="54"/>
      <c r="I7" s="112"/>
      <c r="J7" s="112"/>
      <c r="K7" s="263">
        <v>1.075</v>
      </c>
      <c r="L7" s="260">
        <v>1.1</v>
      </c>
      <c r="M7" s="329">
        <f t="shared" ref="M7:N7" si="12">(1.105+1.09+1.07)/3</f>
        <v>1.088333333</v>
      </c>
      <c r="N7" s="329">
        <f t="shared" si="12"/>
        <v>1.088333333</v>
      </c>
      <c r="O7" s="258">
        <f>AVERAGE(K7:N7)</f>
        <v>1.087916667</v>
      </c>
      <c r="P7" s="249"/>
      <c r="Q7" s="263">
        <v>1.09</v>
      </c>
      <c r="R7" s="263">
        <v>1.08</v>
      </c>
      <c r="S7" s="260">
        <v>1.1</v>
      </c>
      <c r="T7" s="260">
        <v>1.065</v>
      </c>
      <c r="U7" s="326">
        <f t="shared" si="2"/>
        <v>1.08375</v>
      </c>
      <c r="V7" s="263">
        <v>1.05</v>
      </c>
      <c r="W7" s="263">
        <v>1.15</v>
      </c>
      <c r="X7" s="263">
        <v>1.17</v>
      </c>
      <c r="Y7" s="260">
        <v>1.1633333333333333</v>
      </c>
      <c r="Z7" s="326">
        <f t="shared" si="3"/>
        <v>1.133333333</v>
      </c>
      <c r="AA7" s="245" t="s">
        <v>922</v>
      </c>
      <c r="AB7" s="260">
        <v>1.17</v>
      </c>
      <c r="AC7" s="260">
        <v>1.162</v>
      </c>
      <c r="AD7" s="260">
        <v>1.15</v>
      </c>
      <c r="AE7" s="253">
        <v>1.13</v>
      </c>
      <c r="AF7" s="326">
        <f t="shared" si="5"/>
        <v>1.153</v>
      </c>
      <c r="AG7" s="253">
        <v>1.13</v>
      </c>
      <c r="AH7" s="253">
        <v>1.13</v>
      </c>
      <c r="AI7" s="253">
        <v>1.13</v>
      </c>
      <c r="AJ7" s="253">
        <v>1.13</v>
      </c>
      <c r="AK7" s="326">
        <f t="shared" si="7"/>
        <v>1.13</v>
      </c>
    </row>
    <row r="8">
      <c r="A8" s="323" t="s">
        <v>1311</v>
      </c>
      <c r="B8" s="4"/>
      <c r="C8" s="4" t="s">
        <v>29</v>
      </c>
      <c r="D8" s="4" t="s">
        <v>139</v>
      </c>
      <c r="E8" s="54" t="s">
        <v>199</v>
      </c>
      <c r="F8" s="54" t="s">
        <v>298</v>
      </c>
      <c r="G8" s="54" t="s">
        <v>391</v>
      </c>
      <c r="H8" s="54" t="s">
        <v>392</v>
      </c>
      <c r="I8" s="112" t="s">
        <v>410</v>
      </c>
      <c r="J8" s="112" t="s">
        <v>411</v>
      </c>
      <c r="K8" s="263">
        <v>82.0</v>
      </c>
      <c r="L8" s="263">
        <v>78.0</v>
      </c>
      <c r="M8" s="263">
        <v>86.0</v>
      </c>
      <c r="N8" s="246">
        <v>83.8</v>
      </c>
      <c r="O8" s="248">
        <v>82.0</v>
      </c>
      <c r="P8" s="249"/>
      <c r="Q8" s="263">
        <v>83.0</v>
      </c>
      <c r="R8" s="246">
        <v>84.6</v>
      </c>
      <c r="S8" s="263">
        <v>80.0</v>
      </c>
      <c r="T8" s="246">
        <v>74.5</v>
      </c>
      <c r="U8" s="248">
        <f t="shared" si="2"/>
        <v>80.525</v>
      </c>
      <c r="V8" s="263">
        <v>76.0</v>
      </c>
      <c r="W8" s="263">
        <v>68.0</v>
      </c>
      <c r="X8" s="263">
        <v>69.0</v>
      </c>
      <c r="Y8" s="246">
        <v>63.660000000000004</v>
      </c>
      <c r="Z8" s="248">
        <f t="shared" si="3"/>
        <v>69.165</v>
      </c>
      <c r="AA8" s="323" t="s">
        <v>529</v>
      </c>
      <c r="AB8" s="246">
        <v>80.0</v>
      </c>
      <c r="AC8" s="246">
        <v>105.0</v>
      </c>
      <c r="AD8" s="246">
        <v>97.11</v>
      </c>
      <c r="AE8" s="330">
        <v>93.0</v>
      </c>
      <c r="AF8" s="248">
        <f t="shared" si="5"/>
        <v>93.7775</v>
      </c>
      <c r="AG8" s="330">
        <v>89.0</v>
      </c>
      <c r="AH8" s="330">
        <v>85.0</v>
      </c>
      <c r="AI8" s="330">
        <v>81.0</v>
      </c>
      <c r="AJ8" s="330">
        <v>79.0</v>
      </c>
      <c r="AK8" s="248">
        <f t="shared" si="7"/>
        <v>83.5</v>
      </c>
      <c r="AM8" s="471"/>
      <c r="AN8" s="471">
        <f t="shared" ref="AN8:AN9" si="14">AJ8/AE8-1</f>
        <v>-0.1505376344</v>
      </c>
    </row>
    <row r="9" ht="42.0" customHeight="1">
      <c r="A9" s="473" t="s">
        <v>1312</v>
      </c>
      <c r="B9" s="4"/>
      <c r="C9" s="4"/>
      <c r="D9" s="54"/>
      <c r="E9" s="54"/>
      <c r="F9" s="54"/>
      <c r="G9" s="54"/>
      <c r="H9" s="54"/>
      <c r="I9" s="112"/>
      <c r="J9" s="112"/>
      <c r="K9" s="263">
        <v>53.0</v>
      </c>
      <c r="L9" s="263">
        <v>54.0</v>
      </c>
      <c r="M9" s="331">
        <v>63.0</v>
      </c>
      <c r="N9" s="331">
        <v>70.0</v>
      </c>
      <c r="O9" s="248">
        <f>AVERAGE(K9:N9)</f>
        <v>60</v>
      </c>
      <c r="P9" s="253"/>
      <c r="Q9" s="246">
        <v>67.5</v>
      </c>
      <c r="R9" s="263">
        <v>71.1</v>
      </c>
      <c r="S9" s="322">
        <v>65.0</v>
      </c>
      <c r="T9" s="474">
        <f>T8-T10</f>
        <v>63.5</v>
      </c>
      <c r="U9" s="248">
        <f t="shared" si="2"/>
        <v>66.775</v>
      </c>
      <c r="V9" s="263">
        <f t="shared" ref="V9:Y9" si="13">V8-V10</f>
        <v>64</v>
      </c>
      <c r="W9" s="263">
        <f t="shared" si="13"/>
        <v>56</v>
      </c>
      <c r="X9" s="263">
        <f t="shared" si="13"/>
        <v>56</v>
      </c>
      <c r="Y9" s="246">
        <f t="shared" si="13"/>
        <v>45.26</v>
      </c>
      <c r="Z9" s="248">
        <f t="shared" si="3"/>
        <v>55.315</v>
      </c>
      <c r="AA9" s="252" t="s">
        <v>530</v>
      </c>
      <c r="AB9" s="246">
        <v>54.24</v>
      </c>
      <c r="AC9" s="246">
        <v>81.0</v>
      </c>
      <c r="AD9" s="246">
        <v>72.74</v>
      </c>
      <c r="AE9" s="253">
        <v>68.0</v>
      </c>
      <c r="AF9" s="248">
        <f t="shared" si="5"/>
        <v>68.995</v>
      </c>
      <c r="AG9" s="253">
        <v>64.0</v>
      </c>
      <c r="AH9" s="253">
        <v>61.0</v>
      </c>
      <c r="AI9" s="253">
        <v>57.0</v>
      </c>
      <c r="AJ9" s="253">
        <v>56.0</v>
      </c>
      <c r="AK9" s="248">
        <f t="shared" si="7"/>
        <v>59.5</v>
      </c>
      <c r="AM9" s="471"/>
      <c r="AN9" s="471">
        <f t="shared" si="14"/>
        <v>-0.1764705882</v>
      </c>
    </row>
    <row r="10" ht="26.25" hidden="1" customHeight="1">
      <c r="A10" s="245" t="s">
        <v>531</v>
      </c>
      <c r="B10" s="4"/>
      <c r="C10" s="4"/>
      <c r="D10" s="54"/>
      <c r="E10" s="54"/>
      <c r="F10" s="54"/>
      <c r="G10" s="54"/>
      <c r="H10" s="54"/>
      <c r="I10" s="112"/>
      <c r="J10" s="112"/>
      <c r="K10" s="263">
        <f t="shared" ref="K10:O10" si="15">K8-K9</f>
        <v>29</v>
      </c>
      <c r="L10" s="263">
        <f t="shared" si="15"/>
        <v>24</v>
      </c>
      <c r="M10" s="331">
        <f t="shared" si="15"/>
        <v>23</v>
      </c>
      <c r="N10" s="333">
        <f t="shared" si="15"/>
        <v>13.8</v>
      </c>
      <c r="O10" s="248">
        <f t="shared" si="15"/>
        <v>22</v>
      </c>
      <c r="P10" s="253"/>
      <c r="Q10" s="246">
        <f t="shared" ref="Q10:R10" si="16">Q8-Q9</f>
        <v>15.5</v>
      </c>
      <c r="R10" s="246">
        <f t="shared" si="16"/>
        <v>13.5</v>
      </c>
      <c r="S10" s="331">
        <v>15.0</v>
      </c>
      <c r="T10" s="331">
        <v>11.0</v>
      </c>
      <c r="U10" s="248">
        <f t="shared" si="2"/>
        <v>13.75</v>
      </c>
      <c r="V10" s="263">
        <v>12.0</v>
      </c>
      <c r="W10" s="263">
        <v>12.0</v>
      </c>
      <c r="X10" s="263">
        <v>13.0</v>
      </c>
      <c r="Y10" s="263">
        <v>18.4</v>
      </c>
      <c r="Z10" s="248">
        <f t="shared" si="3"/>
        <v>13.85</v>
      </c>
      <c r="AA10" s="245" t="s">
        <v>531</v>
      </c>
      <c r="AB10" s="246">
        <f>AB8-AB9</f>
        <v>25.76</v>
      </c>
      <c r="AC10" s="246">
        <v>23.53</v>
      </c>
      <c r="AD10" s="246">
        <f>AD8-AD9</f>
        <v>24.37</v>
      </c>
      <c r="AE10" s="331">
        <v>25.0</v>
      </c>
      <c r="AF10" s="248">
        <f t="shared" si="5"/>
        <v>24.665</v>
      </c>
      <c r="AG10" s="331">
        <v>25.0</v>
      </c>
      <c r="AH10" s="331">
        <v>24.0</v>
      </c>
      <c r="AI10" s="331">
        <v>24.0</v>
      </c>
      <c r="AJ10" s="331">
        <v>23.0</v>
      </c>
      <c r="AK10" s="248">
        <f t="shared" si="7"/>
        <v>24</v>
      </c>
    </row>
    <row r="11" ht="26.25" customHeight="1">
      <c r="A11" s="334" t="s">
        <v>937</v>
      </c>
      <c r="B11" s="4"/>
      <c r="C11" s="4">
        <v>5.7</v>
      </c>
      <c r="D11" s="54" t="s">
        <v>144</v>
      </c>
      <c r="E11" s="54" t="s">
        <v>201</v>
      </c>
      <c r="F11" s="54" t="s">
        <v>299</v>
      </c>
      <c r="G11" s="54" t="s">
        <v>319</v>
      </c>
      <c r="H11" s="54" t="s">
        <v>304</v>
      </c>
      <c r="I11" s="112" t="s">
        <v>400</v>
      </c>
      <c r="J11" s="112" t="s">
        <v>420</v>
      </c>
      <c r="K11" s="263">
        <v>3.5</v>
      </c>
      <c r="L11" s="263">
        <v>3.3</v>
      </c>
      <c r="M11" s="256">
        <v>6.0</v>
      </c>
      <c r="N11" s="256">
        <v>7.4</v>
      </c>
      <c r="O11" s="258">
        <f>AVERAGE(K11:N11)</f>
        <v>5.05</v>
      </c>
      <c r="P11" s="253" t="s">
        <v>533</v>
      </c>
      <c r="Q11" s="256">
        <v>7.7</v>
      </c>
      <c r="R11" s="256">
        <v>8.6</v>
      </c>
      <c r="S11" s="256">
        <v>8.6</v>
      </c>
      <c r="T11" s="256">
        <v>9.5</v>
      </c>
      <c r="U11" s="258">
        <f t="shared" si="2"/>
        <v>8.6</v>
      </c>
      <c r="V11" s="256">
        <v>10.3</v>
      </c>
      <c r="W11" s="256">
        <v>9.4</v>
      </c>
      <c r="X11" s="256">
        <v>8.0</v>
      </c>
      <c r="Y11" s="256">
        <v>5.6</v>
      </c>
      <c r="Z11" s="258">
        <f t="shared" si="3"/>
        <v>8.325</v>
      </c>
      <c r="AA11" s="252" t="s">
        <v>532</v>
      </c>
      <c r="AB11" s="256">
        <v>5.9</v>
      </c>
      <c r="AC11" s="256">
        <v>6.0</v>
      </c>
      <c r="AD11" s="475">
        <v>6.3</v>
      </c>
      <c r="AE11" s="476">
        <v>7.1</v>
      </c>
      <c r="AF11" s="258">
        <f t="shared" si="5"/>
        <v>6.325</v>
      </c>
      <c r="AG11" s="476">
        <v>6.2</v>
      </c>
      <c r="AH11" s="476">
        <v>6.6</v>
      </c>
      <c r="AI11" s="476">
        <v>7.0</v>
      </c>
      <c r="AJ11" s="476">
        <v>6.7</v>
      </c>
      <c r="AK11" s="258">
        <f t="shared" si="7"/>
        <v>6.625</v>
      </c>
      <c r="AM11" s="471"/>
      <c r="AN11" s="471">
        <f t="shared" ref="AN11:AN12" si="17">AJ11/AE11-1</f>
        <v>-0.05633802817</v>
      </c>
    </row>
    <row r="12">
      <c r="A12" s="473" t="s">
        <v>938</v>
      </c>
      <c r="B12" s="4"/>
      <c r="C12" s="4">
        <v>4.5</v>
      </c>
      <c r="D12" s="54">
        <v>5.5</v>
      </c>
      <c r="E12" s="54" t="s">
        <v>194</v>
      </c>
      <c r="F12" s="54">
        <v>8.5</v>
      </c>
      <c r="G12" s="54" t="s">
        <v>387</v>
      </c>
      <c r="H12" s="54" t="s">
        <v>387</v>
      </c>
      <c r="I12" s="207">
        <v>44780.0</v>
      </c>
      <c r="J12" s="112">
        <v>7.5</v>
      </c>
      <c r="K12" s="260">
        <v>7.5</v>
      </c>
      <c r="L12" s="260">
        <v>7.5</v>
      </c>
      <c r="M12" s="260">
        <v>13.0</v>
      </c>
      <c r="N12" s="260">
        <v>16.0</v>
      </c>
      <c r="O12" s="258">
        <v>9.9</v>
      </c>
      <c r="P12" s="249"/>
      <c r="Q12" s="260">
        <v>16.0</v>
      </c>
      <c r="R12" s="260">
        <v>16.0</v>
      </c>
      <c r="S12" s="260">
        <v>19.0</v>
      </c>
      <c r="T12" s="260">
        <v>21.0</v>
      </c>
      <c r="U12" s="258">
        <v>17.5</v>
      </c>
      <c r="V12" s="260">
        <v>21.0</v>
      </c>
      <c r="W12" s="260">
        <v>20.0</v>
      </c>
      <c r="X12" s="260">
        <v>17.0</v>
      </c>
      <c r="Y12" s="260">
        <v>16.0</v>
      </c>
      <c r="Z12" s="258">
        <v>19.2</v>
      </c>
      <c r="AA12" s="334" t="s">
        <v>534</v>
      </c>
      <c r="AB12" s="260">
        <v>15.0</v>
      </c>
      <c r="AC12" s="260">
        <v>14.25</v>
      </c>
      <c r="AD12" s="260">
        <v>14.0</v>
      </c>
      <c r="AE12" s="477">
        <v>14.0</v>
      </c>
      <c r="AF12" s="258">
        <v>14.6</v>
      </c>
      <c r="AG12" s="477">
        <v>13.75</v>
      </c>
      <c r="AH12" s="477">
        <v>13.5</v>
      </c>
      <c r="AI12" s="477">
        <v>13.25</v>
      </c>
      <c r="AJ12" s="477">
        <v>13.0</v>
      </c>
      <c r="AK12" s="258">
        <v>13.5</v>
      </c>
      <c r="AM12" s="471"/>
      <c r="AN12" s="471">
        <f t="shared" si="17"/>
        <v>-0.07142857143</v>
      </c>
    </row>
    <row r="13" ht="25.5" customHeight="1">
      <c r="A13" s="3" t="s">
        <v>939</v>
      </c>
      <c r="E13" s="114"/>
      <c r="F13" s="115"/>
      <c r="G13" s="115"/>
      <c r="H13" s="115"/>
      <c r="I13" s="112"/>
      <c r="J13" s="112"/>
      <c r="L13" s="218"/>
      <c r="M13" s="4">
        <v>1950.0</v>
      </c>
      <c r="N13" s="4">
        <v>1970.0</v>
      </c>
      <c r="Q13" s="4">
        <v>2000.0</v>
      </c>
      <c r="R13" s="4">
        <v>2050.0</v>
      </c>
      <c r="S13" s="4">
        <v>2100.0</v>
      </c>
      <c r="T13" s="225"/>
      <c r="V13" s="3"/>
      <c r="W13" s="3"/>
      <c r="X13" s="3"/>
      <c r="Y13" s="3"/>
      <c r="Z13" s="3"/>
      <c r="AA13" s="3"/>
    </row>
    <row r="14">
      <c r="E14" s="114"/>
      <c r="F14" s="115"/>
      <c r="G14" s="115"/>
      <c r="H14" s="115"/>
      <c r="I14" s="112"/>
      <c r="J14" s="112"/>
      <c r="L14" s="218"/>
      <c r="M14" s="4"/>
      <c r="N14" s="4"/>
      <c r="Q14" s="4"/>
      <c r="T14" s="55"/>
      <c r="AM14" s="19" t="s">
        <v>1305</v>
      </c>
    </row>
    <row r="15">
      <c r="E15" s="114"/>
      <c r="F15" s="115"/>
      <c r="G15" s="115"/>
      <c r="H15" s="115"/>
      <c r="I15" s="112" t="s">
        <v>406</v>
      </c>
      <c r="J15" s="112" t="s">
        <v>406</v>
      </c>
      <c r="L15" s="218"/>
      <c r="M15" s="4"/>
      <c r="N15" s="4"/>
      <c r="Q15" s="4"/>
      <c r="Y15" s="55"/>
      <c r="AD15" s="478"/>
      <c r="AE15" s="18" t="s">
        <v>332</v>
      </c>
      <c r="AF15" s="18" t="s">
        <v>1313</v>
      </c>
      <c r="AG15" s="18" t="s">
        <v>1314</v>
      </c>
      <c r="AH15" s="81" t="s">
        <v>1315</v>
      </c>
      <c r="AI15" s="81" t="s">
        <v>186</v>
      </c>
      <c r="AJ15" s="81" t="s">
        <v>1316</v>
      </c>
      <c r="AK15" s="18" t="s">
        <v>1317</v>
      </c>
      <c r="AL15" s="18" t="s">
        <v>1318</v>
      </c>
      <c r="AM15" s="89" t="s">
        <v>1319</v>
      </c>
      <c r="AN15" s="81" t="s">
        <v>1320</v>
      </c>
      <c r="AO15" s="81" t="s">
        <v>1321</v>
      </c>
    </row>
    <row r="16">
      <c r="E16" s="114" t="s">
        <v>241</v>
      </c>
      <c r="F16" s="115" t="s">
        <v>242</v>
      </c>
      <c r="G16" s="115" t="s">
        <v>242</v>
      </c>
      <c r="H16" s="115" t="s">
        <v>194</v>
      </c>
      <c r="I16" s="115" t="s">
        <v>148</v>
      </c>
      <c r="L16" s="218"/>
      <c r="M16" s="4"/>
      <c r="N16" s="4"/>
      <c r="Y16" s="3" t="s">
        <v>1264</v>
      </c>
      <c r="AD16" s="81" t="s">
        <v>62</v>
      </c>
      <c r="AE16" s="18">
        <v>77.22</v>
      </c>
      <c r="AF16" s="18">
        <v>76.93</v>
      </c>
      <c r="AG16" s="18">
        <v>80.54</v>
      </c>
      <c r="AH16" s="18">
        <v>76.6</v>
      </c>
      <c r="AI16" s="18">
        <v>72.71</v>
      </c>
      <c r="AJ16" s="18">
        <v>72.9</v>
      </c>
      <c r="AK16" s="18">
        <v>77.93</v>
      </c>
      <c r="AL16" s="18">
        <v>83.5</v>
      </c>
      <c r="AM16" s="29">
        <v>85.22</v>
      </c>
      <c r="AN16" s="286">
        <f t="shared" ref="AN16:AN23" si="18">AVERAGE(AK16:AM16)</f>
        <v>82.21666667</v>
      </c>
      <c r="AO16" s="437">
        <f t="shared" ref="AO16:AO23" si="19">AVERAGE(AH16:AJ16)</f>
        <v>74.07</v>
      </c>
      <c r="AP16" s="479" t="s">
        <v>62</v>
      </c>
    </row>
    <row r="17">
      <c r="X17" s="4" t="s">
        <v>652</v>
      </c>
      <c r="Y17" s="4" t="s">
        <v>335</v>
      </c>
      <c r="Z17" s="4" t="s">
        <v>338</v>
      </c>
      <c r="AA17" s="4" t="s">
        <v>581</v>
      </c>
      <c r="AB17" s="4" t="s">
        <v>941</v>
      </c>
      <c r="AD17" s="81" t="s">
        <v>1322</v>
      </c>
      <c r="AE17" s="18">
        <v>11.07</v>
      </c>
      <c r="AF17" s="18">
        <v>11.11</v>
      </c>
      <c r="AG17" s="18">
        <v>11.68</v>
      </c>
      <c r="AH17" s="18">
        <v>11.19</v>
      </c>
      <c r="AI17" s="18">
        <v>10.68</v>
      </c>
      <c r="AJ17" s="18">
        <v>10.76</v>
      </c>
      <c r="AK17" s="18">
        <v>11.49</v>
      </c>
      <c r="AL17" s="18">
        <v>12.38</v>
      </c>
      <c r="AM17" s="29">
        <v>12.69</v>
      </c>
      <c r="AN17" s="286">
        <f t="shared" si="18"/>
        <v>12.18666667</v>
      </c>
      <c r="AO17" s="437">
        <f t="shared" si="19"/>
        <v>10.87666667</v>
      </c>
      <c r="AP17" s="479" t="s">
        <v>1322</v>
      </c>
    </row>
    <row r="18">
      <c r="W18" s="99" t="s">
        <v>15</v>
      </c>
      <c r="X18" s="29">
        <v>77.22</v>
      </c>
      <c r="Y18" s="29">
        <v>76.93</v>
      </c>
      <c r="Z18" s="29">
        <v>80.54</v>
      </c>
      <c r="AA18" s="226">
        <f t="shared" ref="AA18:AA24" si="20">AVERAGE(X18:Z18)</f>
        <v>78.23</v>
      </c>
      <c r="AB18" s="286">
        <f t="shared" ref="AB18:AB24" si="21">AVERAGE(X18:Z18)</f>
        <v>78.23</v>
      </c>
      <c r="AD18" s="81" t="s">
        <v>1323</v>
      </c>
      <c r="AE18" s="18">
        <v>6.97</v>
      </c>
      <c r="AF18" s="18">
        <v>6.91</v>
      </c>
      <c r="AG18" s="18">
        <v>6.89</v>
      </c>
      <c r="AH18" s="18">
        <v>6.84</v>
      </c>
      <c r="AI18" s="18">
        <v>6.8</v>
      </c>
      <c r="AJ18" s="18">
        <v>6.77</v>
      </c>
      <c r="AK18" s="18">
        <v>6.78</v>
      </c>
      <c r="AL18" s="18">
        <v>6.74</v>
      </c>
      <c r="AM18" s="480">
        <v>6.71</v>
      </c>
      <c r="AN18" s="481">
        <f t="shared" si="18"/>
        <v>6.743333333</v>
      </c>
      <c r="AO18" s="482">
        <f t="shared" si="19"/>
        <v>6.803333333</v>
      </c>
      <c r="AP18" s="479" t="s">
        <v>1323</v>
      </c>
    </row>
    <row r="19">
      <c r="W19" s="336" t="s">
        <v>920</v>
      </c>
      <c r="X19" s="480">
        <v>11.07</v>
      </c>
      <c r="Y19" s="480">
        <v>11.11</v>
      </c>
      <c r="Z19" s="29">
        <v>11.68</v>
      </c>
      <c r="AA19" s="226">
        <f t="shared" si="20"/>
        <v>11.28666667</v>
      </c>
      <c r="AB19" s="481">
        <f t="shared" si="21"/>
        <v>11.28666667</v>
      </c>
      <c r="AD19" s="81" t="s">
        <v>1324</v>
      </c>
      <c r="AE19" s="18">
        <v>90.85</v>
      </c>
      <c r="AF19" s="18">
        <v>91.05</v>
      </c>
      <c r="AG19" s="18">
        <v>93.04</v>
      </c>
      <c r="AH19" s="18">
        <v>89.58</v>
      </c>
      <c r="AI19" s="18">
        <v>85.18</v>
      </c>
      <c r="AJ19" s="18">
        <v>84.57</v>
      </c>
      <c r="AK19" s="18">
        <v>88.95</v>
      </c>
      <c r="AL19" s="18">
        <v>96.77</v>
      </c>
      <c r="AM19" s="29">
        <v>98.63</v>
      </c>
      <c r="AN19" s="286">
        <f t="shared" si="18"/>
        <v>94.78333333</v>
      </c>
      <c r="AO19" s="437">
        <f t="shared" si="19"/>
        <v>86.44333333</v>
      </c>
      <c r="AP19" s="479" t="s">
        <v>1324</v>
      </c>
    </row>
    <row r="20">
      <c r="W20" s="338" t="s">
        <v>921</v>
      </c>
      <c r="X20" s="480">
        <v>6.97</v>
      </c>
      <c r="Y20" s="480">
        <v>6.91</v>
      </c>
      <c r="Z20" s="480">
        <v>6.89</v>
      </c>
      <c r="AA20" s="339">
        <f t="shared" si="20"/>
        <v>6.923333333</v>
      </c>
      <c r="AB20" s="481">
        <f t="shared" si="21"/>
        <v>6.923333333</v>
      </c>
      <c r="AD20" s="81" t="s">
        <v>151</v>
      </c>
      <c r="AE20" s="18">
        <v>1.17</v>
      </c>
      <c r="AF20" s="18">
        <v>1.18</v>
      </c>
      <c r="AG20" s="18">
        <v>1.16</v>
      </c>
      <c r="AH20" s="18">
        <v>1.17</v>
      </c>
      <c r="AI20" s="18">
        <v>1.17</v>
      </c>
      <c r="AJ20" s="18">
        <v>1.15</v>
      </c>
      <c r="AK20" s="18">
        <v>1.14</v>
      </c>
      <c r="AL20" s="18">
        <v>1.159</v>
      </c>
      <c r="AM20" s="480">
        <v>1.157</v>
      </c>
      <c r="AN20" s="286">
        <f t="shared" si="18"/>
        <v>1.152</v>
      </c>
      <c r="AO20" s="482">
        <f t="shared" si="19"/>
        <v>1.163333333</v>
      </c>
      <c r="AP20" s="479" t="s">
        <v>151</v>
      </c>
    </row>
    <row r="21">
      <c r="W21" s="338" t="s">
        <v>24</v>
      </c>
      <c r="X21" s="29">
        <v>90.85</v>
      </c>
      <c r="Y21" s="29">
        <v>91.05</v>
      </c>
      <c r="Z21" s="29">
        <v>93.04</v>
      </c>
      <c r="AA21" s="226">
        <f t="shared" si="20"/>
        <v>91.64666667</v>
      </c>
      <c r="AB21" s="286">
        <f t="shared" si="21"/>
        <v>91.64666667</v>
      </c>
      <c r="AD21" s="81" t="s">
        <v>28</v>
      </c>
      <c r="AE21" s="18">
        <v>66.36</v>
      </c>
      <c r="AF21" s="18">
        <v>70.94</v>
      </c>
      <c r="AG21" s="18">
        <v>103.6</v>
      </c>
      <c r="AH21" s="18">
        <v>122.21</v>
      </c>
      <c r="AI21" s="18">
        <v>107.6</v>
      </c>
      <c r="AJ21" s="18">
        <v>89.95</v>
      </c>
      <c r="AK21" s="18">
        <v>83.42</v>
      </c>
      <c r="AL21" s="18">
        <v>90.97</v>
      </c>
      <c r="AM21" s="29">
        <v>114.72</v>
      </c>
      <c r="AN21" s="286">
        <f t="shared" si="18"/>
        <v>96.37</v>
      </c>
      <c r="AO21" s="437">
        <f t="shared" si="19"/>
        <v>106.5866667</v>
      </c>
      <c r="AP21" s="479" t="s">
        <v>28</v>
      </c>
    </row>
    <row r="22">
      <c r="W22" s="338" t="s">
        <v>922</v>
      </c>
      <c r="X22" s="480">
        <v>1.17</v>
      </c>
      <c r="Y22" s="480">
        <v>1.18</v>
      </c>
      <c r="Z22" s="480">
        <v>1.16</v>
      </c>
      <c r="AA22" s="340">
        <f t="shared" si="20"/>
        <v>1.17</v>
      </c>
      <c r="AB22" s="483">
        <f t="shared" si="21"/>
        <v>1.17</v>
      </c>
      <c r="AD22" s="81" t="s">
        <v>1325</v>
      </c>
      <c r="AE22" s="18">
        <v>40.3</v>
      </c>
      <c r="AF22" s="18">
        <v>45.16</v>
      </c>
      <c r="AG22" s="18">
        <v>77.02</v>
      </c>
      <c r="AH22" s="18">
        <v>95.3</v>
      </c>
      <c r="AI22" s="18">
        <v>86.52</v>
      </c>
      <c r="AJ22" s="18">
        <v>69.2</v>
      </c>
      <c r="AK22" s="18">
        <v>59.02</v>
      </c>
      <c r="AL22" s="18">
        <v>67.11</v>
      </c>
      <c r="AM22" s="29">
        <v>89.56</v>
      </c>
      <c r="AN22" s="286">
        <f t="shared" si="18"/>
        <v>71.89666667</v>
      </c>
      <c r="AO22" s="437">
        <f t="shared" si="19"/>
        <v>83.67333333</v>
      </c>
      <c r="AP22" s="479" t="s">
        <v>1325</v>
      </c>
    </row>
    <row r="23">
      <c r="W23" s="99" t="s">
        <v>28</v>
      </c>
      <c r="X23" s="29">
        <v>66.36</v>
      </c>
      <c r="Y23" s="29">
        <v>70.94</v>
      </c>
      <c r="Z23" s="29">
        <v>103.1</v>
      </c>
      <c r="AA23" s="226">
        <f t="shared" si="20"/>
        <v>80.13333333</v>
      </c>
      <c r="AB23" s="286">
        <f t="shared" si="21"/>
        <v>80.13333333</v>
      </c>
      <c r="AD23" s="81" t="s">
        <v>942</v>
      </c>
      <c r="AE23" s="18">
        <v>26.06</v>
      </c>
      <c r="AF23" s="18">
        <v>25.78</v>
      </c>
      <c r="AG23" s="18">
        <v>26.58</v>
      </c>
      <c r="AH23" s="18">
        <f t="shared" ref="AH23:AM23" si="22">AH21-AH22</f>
        <v>26.91</v>
      </c>
      <c r="AI23" s="18">
        <f t="shared" si="22"/>
        <v>21.08</v>
      </c>
      <c r="AJ23" s="18">
        <f t="shared" si="22"/>
        <v>20.75</v>
      </c>
      <c r="AK23" s="18">
        <f t="shared" si="22"/>
        <v>24.4</v>
      </c>
      <c r="AL23" s="480">
        <f t="shared" si="22"/>
        <v>23.86</v>
      </c>
      <c r="AM23" s="480">
        <f t="shared" si="22"/>
        <v>25.16</v>
      </c>
      <c r="AN23" s="286">
        <f t="shared" si="18"/>
        <v>24.47333333</v>
      </c>
      <c r="AO23" s="437">
        <f t="shared" si="19"/>
        <v>22.91333333</v>
      </c>
      <c r="AP23" s="479" t="s">
        <v>942</v>
      </c>
    </row>
    <row r="24">
      <c r="W24" s="99" t="s">
        <v>582</v>
      </c>
      <c r="X24" s="29">
        <v>40.3</v>
      </c>
      <c r="Y24" s="29">
        <v>45.4</v>
      </c>
      <c r="Z24" s="29">
        <v>77.02</v>
      </c>
      <c r="AA24" s="226">
        <f t="shared" si="20"/>
        <v>54.24</v>
      </c>
      <c r="AB24" s="286">
        <f t="shared" si="21"/>
        <v>54.24</v>
      </c>
      <c r="AD24" s="336"/>
      <c r="AE24" s="18"/>
    </row>
    <row r="25">
      <c r="W25" s="3" t="s">
        <v>942</v>
      </c>
      <c r="X25" s="286">
        <f t="shared" ref="X25:AB25" si="23">X23-X24</f>
        <v>26.06</v>
      </c>
      <c r="Y25" s="286">
        <f t="shared" si="23"/>
        <v>25.54</v>
      </c>
      <c r="Z25" s="286">
        <f t="shared" si="23"/>
        <v>26.08</v>
      </c>
      <c r="AA25" s="286">
        <f t="shared" si="23"/>
        <v>25.89333333</v>
      </c>
      <c r="AB25" s="286">
        <f t="shared" si="23"/>
        <v>25.89333333</v>
      </c>
      <c r="AC25" s="308"/>
      <c r="AD25" s="338"/>
      <c r="AE25" s="18"/>
    </row>
    <row r="26">
      <c r="AC26" s="309"/>
      <c r="AD26" s="338"/>
      <c r="AE26" s="18"/>
    </row>
    <row r="27">
      <c r="X27" s="4"/>
      <c r="Y27" s="4"/>
      <c r="AC27" s="309"/>
      <c r="AD27" s="338"/>
      <c r="AE27" s="18"/>
    </row>
    <row r="28">
      <c r="W28" s="99"/>
      <c r="X28" s="233"/>
      <c r="Y28" s="233"/>
      <c r="AC28" s="309"/>
      <c r="AD28" s="99"/>
      <c r="AE28" s="18"/>
    </row>
    <row r="29">
      <c r="W29" s="336"/>
      <c r="X29" s="54"/>
      <c r="Y29" s="341"/>
      <c r="AC29" s="309"/>
      <c r="AD29" s="99"/>
      <c r="AE29" s="18"/>
    </row>
    <row r="30">
      <c r="X30" s="4" t="s">
        <v>340</v>
      </c>
      <c r="Y30" s="4" t="s">
        <v>171</v>
      </c>
      <c r="Z30" s="4" t="s">
        <v>343</v>
      </c>
      <c r="AA30" s="4" t="s">
        <v>581</v>
      </c>
      <c r="AB30" s="4" t="s">
        <v>941</v>
      </c>
      <c r="AC30" s="308"/>
      <c r="AE30" s="5"/>
      <c r="AG30" s="5"/>
    </row>
    <row r="31">
      <c r="W31" s="99" t="s">
        <v>62</v>
      </c>
      <c r="X31" s="284">
        <v>83.5</v>
      </c>
      <c r="Y31" s="296">
        <v>80.0</v>
      </c>
      <c r="Z31" s="284">
        <v>78.7</v>
      </c>
      <c r="AA31" s="226">
        <f t="shared" ref="AA31:AA38" si="24">AVERAGE(X31:Z31)</f>
        <v>80.73333333</v>
      </c>
      <c r="AB31" s="244">
        <f t="shared" ref="AB31:AB37" si="25">AVERAGE(X31:Z31)</f>
        <v>80.73333333</v>
      </c>
      <c r="AC31" s="308"/>
      <c r="AD31" s="307"/>
    </row>
    <row r="32">
      <c r="W32" s="336" t="s">
        <v>920</v>
      </c>
      <c r="X32" s="284">
        <v>11.36</v>
      </c>
      <c r="Y32" s="284">
        <v>11.11</v>
      </c>
      <c r="Z32" s="284">
        <v>10.54</v>
      </c>
      <c r="AA32" s="226">
        <f t="shared" si="24"/>
        <v>11.00333333</v>
      </c>
      <c r="AB32" s="481">
        <f t="shared" si="25"/>
        <v>11.00333333</v>
      </c>
    </row>
    <row r="33">
      <c r="W33" s="338" t="s">
        <v>921</v>
      </c>
      <c r="X33" s="284">
        <v>7.3</v>
      </c>
      <c r="Y33" s="284">
        <v>7.22</v>
      </c>
      <c r="Z33" s="284">
        <v>7.18</v>
      </c>
      <c r="AA33" s="339">
        <f t="shared" si="24"/>
        <v>7.233333333</v>
      </c>
      <c r="AB33" s="481">
        <f t="shared" si="25"/>
        <v>7.233333333</v>
      </c>
    </row>
    <row r="34">
      <c r="W34" s="338" t="s">
        <v>24</v>
      </c>
      <c r="X34" s="284">
        <v>93.7</v>
      </c>
      <c r="Y34" s="284">
        <v>90.6</v>
      </c>
      <c r="Z34" s="284">
        <v>90.78</v>
      </c>
      <c r="AA34" s="226">
        <f t="shared" si="24"/>
        <v>91.69333333</v>
      </c>
      <c r="AB34" s="286">
        <f t="shared" si="25"/>
        <v>91.69333333</v>
      </c>
    </row>
    <row r="35">
      <c r="W35" s="338" t="s">
        <v>922</v>
      </c>
      <c r="X35" s="284">
        <v>1.12</v>
      </c>
      <c r="Y35" s="284">
        <v>1.13</v>
      </c>
      <c r="Z35" s="284">
        <v>1.153</v>
      </c>
      <c r="AA35" s="340">
        <f t="shared" si="24"/>
        <v>1.134333333</v>
      </c>
      <c r="AB35" s="483">
        <f t="shared" si="25"/>
        <v>1.134333333</v>
      </c>
    </row>
    <row r="36">
      <c r="W36" s="99" t="s">
        <v>28</v>
      </c>
      <c r="X36" s="284">
        <v>68.2</v>
      </c>
      <c r="Y36" s="284">
        <v>64.4</v>
      </c>
      <c r="Z36" s="284">
        <v>71.05</v>
      </c>
      <c r="AA36" s="226">
        <f t="shared" si="24"/>
        <v>67.88333333</v>
      </c>
      <c r="AB36" s="244">
        <f t="shared" si="25"/>
        <v>67.88333333</v>
      </c>
    </row>
    <row r="37">
      <c r="W37" s="99" t="s">
        <v>582</v>
      </c>
      <c r="X37" s="284">
        <v>55.9</v>
      </c>
      <c r="Y37" s="284">
        <v>53.3</v>
      </c>
      <c r="Z37" s="284">
        <v>54.4</v>
      </c>
      <c r="AA37" s="226">
        <f t="shared" si="24"/>
        <v>54.53333333</v>
      </c>
      <c r="AB37" s="244">
        <f t="shared" si="25"/>
        <v>54.53333333</v>
      </c>
      <c r="AF37" s="4"/>
      <c r="AG37" s="4"/>
      <c r="AH37" s="4"/>
      <c r="AI37" s="4"/>
    </row>
    <row r="38">
      <c r="W38" s="3" t="s">
        <v>942</v>
      </c>
      <c r="X38" s="5">
        <f t="shared" ref="X38:Z38" si="26">X36-X37</f>
        <v>12.3</v>
      </c>
      <c r="Y38" s="5">
        <f t="shared" si="26"/>
        <v>11.1</v>
      </c>
      <c r="Z38" s="5">
        <f t="shared" si="26"/>
        <v>16.65</v>
      </c>
      <c r="AA38" s="226">
        <f t="shared" si="24"/>
        <v>13.35</v>
      </c>
      <c r="AE38" s="99"/>
      <c r="AF38" s="284"/>
      <c r="AG38" s="284"/>
      <c r="AH38" s="175"/>
      <c r="AI38" s="175"/>
    </row>
    <row r="39">
      <c r="AE39" s="336"/>
      <c r="AF39" s="175"/>
      <c r="AG39" s="337"/>
      <c r="AH39" s="175"/>
      <c r="AI39" s="175"/>
    </row>
    <row r="40">
      <c r="AE40" s="338"/>
      <c r="AF40" s="337"/>
      <c r="AG40" s="337"/>
      <c r="AH40" s="175"/>
      <c r="AI40" s="175"/>
    </row>
    <row r="41">
      <c r="AE41" s="338"/>
      <c r="AF41" s="175"/>
      <c r="AG41" s="337"/>
      <c r="AH41" s="175"/>
      <c r="AI41" s="175"/>
    </row>
    <row r="42">
      <c r="AE42" s="338"/>
      <c r="AF42" s="175"/>
      <c r="AG42" s="337"/>
      <c r="AH42" s="175"/>
      <c r="AI42" s="175"/>
    </row>
    <row r="43">
      <c r="AE43" s="99"/>
      <c r="AF43" s="284"/>
      <c r="AG43" s="284"/>
      <c r="AH43" s="175"/>
      <c r="AI43" s="175"/>
    </row>
    <row r="44">
      <c r="AE44" s="99"/>
      <c r="AF44" s="284"/>
      <c r="AG44" s="284"/>
      <c r="AH44" s="175"/>
      <c r="AI44" s="175"/>
    </row>
    <row r="45">
      <c r="AF45" s="5"/>
      <c r="AG45" s="5"/>
      <c r="AH45" s="5"/>
    </row>
    <row r="46">
      <c r="U46" s="484" t="s">
        <v>1326</v>
      </c>
      <c r="V46" s="485">
        <v>2025.0</v>
      </c>
      <c r="W46" s="485">
        <v>2026.0</v>
      </c>
      <c r="X46" s="485">
        <v>2027.0</v>
      </c>
    </row>
    <row r="47">
      <c r="U47" s="484" t="s">
        <v>15</v>
      </c>
      <c r="V47" s="486">
        <v>94.0</v>
      </c>
      <c r="W47" s="486">
        <v>106.0</v>
      </c>
      <c r="X47" s="486">
        <v>115.0</v>
      </c>
    </row>
    <row r="48">
      <c r="U48" s="484" t="s">
        <v>24</v>
      </c>
      <c r="V48" s="486">
        <v>106.0</v>
      </c>
      <c r="W48" s="486">
        <v>122.0</v>
      </c>
      <c r="X48" s="486">
        <v>132.0</v>
      </c>
    </row>
    <row r="49">
      <c r="U49" s="484" t="s">
        <v>920</v>
      </c>
      <c r="V49" s="486">
        <v>12.7</v>
      </c>
      <c r="W49" s="486">
        <v>14.1</v>
      </c>
      <c r="X49" s="486">
        <v>15.1</v>
      </c>
    </row>
    <row r="50">
      <c r="U50" s="484" t="s">
        <v>1327</v>
      </c>
      <c r="V50" s="486">
        <v>3500.0</v>
      </c>
      <c r="W50" s="486">
        <v>3700.0</v>
      </c>
      <c r="X50" s="486">
        <v>3900.0</v>
      </c>
    </row>
    <row r="52">
      <c r="V52" s="3">
        <v>1.15</v>
      </c>
      <c r="W52" s="3">
        <v>1.15</v>
      </c>
      <c r="X52" s="3">
        <v>1.15</v>
      </c>
    </row>
    <row r="53">
      <c r="V53" s="3">
        <v>7.4</v>
      </c>
      <c r="W53" s="3">
        <v>7.5</v>
      </c>
      <c r="X53" s="3">
        <v>7.6</v>
      </c>
    </row>
  </sheetData>
  <printOptions gridLines="1" horizontalCentered="1"/>
  <pageMargins bottom="0.75" footer="0.0" header="0.0" left="0.7" right="0.7" top="0.75"/>
  <pageSetup fitToHeight="0" paperSize="9" cellComments="atEnd" orientation="landscape" pageOrder="overThenDown"/>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4.5"/>
    <col hidden="1" min="3" max="7" width="12.63"/>
    <col customWidth="1" hidden="1" min="8" max="9" width="12.5"/>
    <col customWidth="1" hidden="1" min="10" max="10" width="11.75"/>
    <col customWidth="1" hidden="1" min="11" max="15" width="14.5"/>
    <col customWidth="1" min="20" max="20" width="9.13"/>
  </cols>
  <sheetData>
    <row r="1">
      <c r="A1" s="60">
        <v>46303.0</v>
      </c>
      <c r="B1" s="2"/>
      <c r="C1" s="61" t="s">
        <v>0</v>
      </c>
      <c r="D1" s="61" t="s">
        <v>1</v>
      </c>
      <c r="E1" s="61" t="s">
        <v>2</v>
      </c>
      <c r="F1" s="61" t="s">
        <v>3</v>
      </c>
      <c r="G1" s="61" t="s">
        <v>4</v>
      </c>
      <c r="H1" s="61" t="s">
        <v>5</v>
      </c>
      <c r="I1" s="61" t="s">
        <v>6</v>
      </c>
      <c r="J1" s="61" t="s">
        <v>7</v>
      </c>
      <c r="K1" s="61" t="s">
        <v>625</v>
      </c>
      <c r="L1" s="61" t="s">
        <v>626</v>
      </c>
      <c r="M1" s="61" t="s">
        <v>627</v>
      </c>
      <c r="N1" s="61" t="s">
        <v>628</v>
      </c>
      <c r="O1" s="61">
        <v>2023.0</v>
      </c>
      <c r="P1" s="61" t="s">
        <v>629</v>
      </c>
      <c r="Q1" s="61" t="s">
        <v>630</v>
      </c>
      <c r="R1" s="61" t="s">
        <v>631</v>
      </c>
      <c r="S1" s="61" t="s">
        <v>632</v>
      </c>
      <c r="T1" s="61">
        <v>2024.0</v>
      </c>
      <c r="U1" s="61" t="s">
        <v>762</v>
      </c>
      <c r="V1" s="61" t="s">
        <v>763</v>
      </c>
      <c r="W1" s="61" t="s">
        <v>764</v>
      </c>
      <c r="X1" s="61" t="s">
        <v>765</v>
      </c>
      <c r="Y1" s="61">
        <v>2025.0</v>
      </c>
      <c r="Z1" s="61" t="s">
        <v>1120</v>
      </c>
      <c r="AA1" s="61" t="s">
        <v>1121</v>
      </c>
      <c r="AB1" s="61" t="s">
        <v>1122</v>
      </c>
      <c r="AC1" s="61" t="s">
        <v>1123</v>
      </c>
      <c r="AD1" s="61">
        <v>2026.0</v>
      </c>
      <c r="AE1" s="61" t="s">
        <v>1259</v>
      </c>
      <c r="AF1" s="61" t="s">
        <v>1260</v>
      </c>
      <c r="AG1" s="61" t="s">
        <v>1261</v>
      </c>
      <c r="AH1" s="61" t="s">
        <v>1262</v>
      </c>
      <c r="AI1" s="61">
        <v>2027.0</v>
      </c>
      <c r="AJ1" s="3"/>
      <c r="AK1" s="3"/>
      <c r="AL1" s="3" t="s">
        <v>970</v>
      </c>
    </row>
    <row r="2">
      <c r="A2" s="191"/>
      <c r="B2" s="54"/>
      <c r="C2" s="4"/>
      <c r="D2" s="4"/>
      <c r="E2" s="54"/>
      <c r="F2" s="54"/>
      <c r="G2" s="54"/>
      <c r="H2" s="54"/>
      <c r="J2" s="5"/>
      <c r="K2" s="4" t="s">
        <v>525</v>
      </c>
      <c r="L2" s="4" t="s">
        <v>525</v>
      </c>
      <c r="M2" s="4" t="s">
        <v>525</v>
      </c>
      <c r="N2" s="4" t="s">
        <v>525</v>
      </c>
      <c r="O2" s="3" t="s">
        <v>527</v>
      </c>
      <c r="P2" s="4" t="s">
        <v>525</v>
      </c>
      <c r="Q2" s="4" t="s">
        <v>525</v>
      </c>
      <c r="R2" s="4" t="s">
        <v>525</v>
      </c>
      <c r="S2" s="4" t="s">
        <v>525</v>
      </c>
      <c r="T2" s="3" t="s">
        <v>527</v>
      </c>
      <c r="U2" s="4" t="s">
        <v>525</v>
      </c>
      <c r="V2" s="4" t="s">
        <v>525</v>
      </c>
      <c r="W2" s="224" t="s">
        <v>526</v>
      </c>
      <c r="X2" s="224" t="s">
        <v>526</v>
      </c>
      <c r="Y2" s="3" t="s">
        <v>527</v>
      </c>
      <c r="Z2" s="224" t="s">
        <v>525</v>
      </c>
      <c r="AA2" s="224" t="s">
        <v>525</v>
      </c>
      <c r="AB2" s="224" t="s">
        <v>525</v>
      </c>
      <c r="AC2" s="224" t="s">
        <v>526</v>
      </c>
      <c r="AD2" s="3" t="s">
        <v>527</v>
      </c>
      <c r="AE2" s="224" t="s">
        <v>526</v>
      </c>
      <c r="AF2" s="224" t="s">
        <v>526</v>
      </c>
      <c r="AG2" s="224" t="s">
        <v>526</v>
      </c>
      <c r="AH2" s="224" t="s">
        <v>526</v>
      </c>
      <c r="AI2" s="3" t="s">
        <v>527</v>
      </c>
      <c r="AJ2" s="213" t="s">
        <v>1263</v>
      </c>
      <c r="AK2" s="213" t="s">
        <v>1297</v>
      </c>
      <c r="AL2" s="213" t="s">
        <v>1023</v>
      </c>
    </row>
    <row r="3">
      <c r="A3" s="245" t="s">
        <v>528</v>
      </c>
      <c r="B3" s="4"/>
      <c r="C3" s="4" t="s">
        <v>16</v>
      </c>
      <c r="D3" s="4" t="s">
        <v>16</v>
      </c>
      <c r="E3" s="54" t="s">
        <v>152</v>
      </c>
      <c r="F3" s="54" t="s">
        <v>293</v>
      </c>
      <c r="G3" s="54" t="s">
        <v>18</v>
      </c>
      <c r="H3" s="54" t="s">
        <v>18</v>
      </c>
      <c r="I3" s="112" t="s">
        <v>416</v>
      </c>
      <c r="J3" s="112" t="s">
        <v>397</v>
      </c>
      <c r="K3" s="263">
        <v>73.0</v>
      </c>
      <c r="L3" s="263">
        <v>81.0</v>
      </c>
      <c r="M3" s="246">
        <v>94.2</v>
      </c>
      <c r="N3" s="246">
        <v>92.9</v>
      </c>
      <c r="O3" s="248">
        <f t="shared" ref="O3:O5" si="1">AVERAGE(K3:N3)</f>
        <v>85.275</v>
      </c>
      <c r="P3" s="254">
        <v>91.0</v>
      </c>
      <c r="Q3" s="254">
        <v>90.7</v>
      </c>
      <c r="R3" s="254">
        <v>89.0</v>
      </c>
      <c r="S3" s="304">
        <v>100.0</v>
      </c>
      <c r="T3" s="248">
        <f t="shared" ref="T3:T7" si="2">AVERAGE(P3:S3)</f>
        <v>92.675</v>
      </c>
      <c r="U3" s="347">
        <v>92.8</v>
      </c>
      <c r="V3" s="347">
        <v>81.0</v>
      </c>
      <c r="W3" s="429">
        <v>81.0</v>
      </c>
      <c r="X3" s="304">
        <v>80.0</v>
      </c>
      <c r="Y3" s="258">
        <f t="shared" ref="Y3:Y7" si="3">AVERAGE(U3:X3)</f>
        <v>83.7</v>
      </c>
      <c r="Z3" s="304">
        <v>78.0</v>
      </c>
      <c r="AA3" s="304">
        <v>74.0</v>
      </c>
      <c r="AB3" s="304">
        <v>82.0</v>
      </c>
      <c r="AC3" s="266">
        <v>86.0</v>
      </c>
      <c r="AD3" s="258">
        <f t="shared" ref="AD3:AD7" si="4">AVERAGE(Z3:AC3)</f>
        <v>80</v>
      </c>
      <c r="AE3" s="266">
        <v>86.0</v>
      </c>
      <c r="AF3" s="266">
        <v>88.0</v>
      </c>
      <c r="AG3" s="266">
        <v>91.0</v>
      </c>
      <c r="AH3" s="266">
        <v>94.0</v>
      </c>
      <c r="AI3" s="258">
        <f t="shared" ref="AI3:AI7" si="5">AVERAGE(AE3:AH3)</f>
        <v>89.75</v>
      </c>
      <c r="AJ3" s="215">
        <f t="shared" ref="AJ3:AJ8" si="6">AD3/Y3-1</f>
        <v>-0.04420549582</v>
      </c>
      <c r="AK3" s="215">
        <f t="shared" ref="AK3:AK4" si="7">AH3/AC3-1</f>
        <v>0.09302325581</v>
      </c>
      <c r="AL3" s="3" t="s">
        <v>1243</v>
      </c>
    </row>
    <row r="4">
      <c r="A4" s="245" t="s">
        <v>529</v>
      </c>
      <c r="B4" s="4"/>
      <c r="C4" s="4" t="s">
        <v>29</v>
      </c>
      <c r="D4" s="4" t="s">
        <v>139</v>
      </c>
      <c r="E4" s="54" t="s">
        <v>199</v>
      </c>
      <c r="F4" s="54" t="s">
        <v>298</v>
      </c>
      <c r="G4" s="54" t="s">
        <v>391</v>
      </c>
      <c r="H4" s="54" t="s">
        <v>392</v>
      </c>
      <c r="I4" s="112" t="s">
        <v>410</v>
      </c>
      <c r="J4" s="112" t="s">
        <v>411</v>
      </c>
      <c r="K4" s="263">
        <v>82.0</v>
      </c>
      <c r="L4" s="263">
        <v>78.0</v>
      </c>
      <c r="M4" s="246">
        <v>85.8</v>
      </c>
      <c r="N4" s="246">
        <v>83.8</v>
      </c>
      <c r="O4" s="248">
        <f t="shared" si="1"/>
        <v>82.4</v>
      </c>
      <c r="P4" s="255">
        <v>83.0</v>
      </c>
      <c r="Q4" s="254">
        <v>84.6</v>
      </c>
      <c r="R4" s="255">
        <v>80.0</v>
      </c>
      <c r="S4" s="255">
        <v>75.0</v>
      </c>
      <c r="T4" s="248">
        <f t="shared" si="2"/>
        <v>80.65</v>
      </c>
      <c r="U4" s="347">
        <v>75.8</v>
      </c>
      <c r="V4" s="255">
        <v>68.0</v>
      </c>
      <c r="W4" s="255">
        <v>69.0</v>
      </c>
      <c r="X4" s="255">
        <v>64.0</v>
      </c>
      <c r="Y4" s="258">
        <f t="shared" si="3"/>
        <v>69.2</v>
      </c>
      <c r="Z4" s="304">
        <v>80.0</v>
      </c>
      <c r="AA4" s="304">
        <v>105.0</v>
      </c>
      <c r="AB4" s="347">
        <v>97.11</v>
      </c>
      <c r="AC4" s="264">
        <v>93.0</v>
      </c>
      <c r="AD4" s="258">
        <f t="shared" si="4"/>
        <v>93.7775</v>
      </c>
      <c r="AE4" s="264">
        <v>89.0</v>
      </c>
      <c r="AF4" s="264">
        <v>85.0</v>
      </c>
      <c r="AG4" s="264">
        <v>81.0</v>
      </c>
      <c r="AH4" s="264">
        <v>79.0</v>
      </c>
      <c r="AI4" s="258">
        <f t="shared" si="5"/>
        <v>83.5</v>
      </c>
      <c r="AJ4" s="215">
        <f t="shared" si="6"/>
        <v>0.355166185</v>
      </c>
      <c r="AK4" s="215">
        <f t="shared" si="7"/>
        <v>-0.1505376344</v>
      </c>
      <c r="AL4" s="3" t="s">
        <v>1244</v>
      </c>
    </row>
    <row r="5" ht="27.75" customHeight="1">
      <c r="A5" s="252" t="s">
        <v>1298</v>
      </c>
      <c r="B5" s="4"/>
      <c r="C5" s="4"/>
      <c r="D5" s="54"/>
      <c r="E5" s="54"/>
      <c r="F5" s="54"/>
      <c r="G5" s="54"/>
      <c r="H5" s="54"/>
      <c r="I5" s="112"/>
      <c r="J5" s="112"/>
      <c r="K5" s="263">
        <v>53.0</v>
      </c>
      <c r="L5" s="263">
        <v>54.0</v>
      </c>
      <c r="M5" s="246">
        <v>64.5</v>
      </c>
      <c r="N5" s="263">
        <v>68.9</v>
      </c>
      <c r="O5" s="248">
        <f t="shared" si="1"/>
        <v>60.1</v>
      </c>
      <c r="P5" s="255">
        <f>P4-P6</f>
        <v>68</v>
      </c>
      <c r="Q5" s="255">
        <v>71.0</v>
      </c>
      <c r="R5" s="255">
        <v>64.0</v>
      </c>
      <c r="S5" s="255">
        <f>S4-S6</f>
        <v>65</v>
      </c>
      <c r="T5" s="248">
        <f t="shared" si="2"/>
        <v>67</v>
      </c>
      <c r="U5" s="347">
        <v>63.6</v>
      </c>
      <c r="V5" s="255">
        <f t="shared" ref="V5:W5" si="8">V4-V6</f>
        <v>56</v>
      </c>
      <c r="W5" s="254">
        <f t="shared" si="8"/>
        <v>56</v>
      </c>
      <c r="X5" s="254">
        <v>45.0</v>
      </c>
      <c r="Y5" s="248">
        <f t="shared" si="3"/>
        <v>55.15</v>
      </c>
      <c r="Z5" s="347">
        <v>54.24</v>
      </c>
      <c r="AA5" s="347">
        <v>81.0</v>
      </c>
      <c r="AB5" s="347">
        <v>72.74</v>
      </c>
      <c r="AC5" s="264">
        <f>AC4-AC6</f>
        <v>68</v>
      </c>
      <c r="AD5" s="258">
        <f t="shared" si="4"/>
        <v>68.995</v>
      </c>
      <c r="AE5" s="264">
        <f t="shared" ref="AE5:AH5" si="9">AE4-AE6</f>
        <v>64</v>
      </c>
      <c r="AF5" s="264">
        <f t="shared" si="9"/>
        <v>61</v>
      </c>
      <c r="AG5" s="264">
        <f t="shared" si="9"/>
        <v>57</v>
      </c>
      <c r="AH5" s="264">
        <f t="shared" si="9"/>
        <v>56</v>
      </c>
      <c r="AI5" s="258">
        <f t="shared" si="5"/>
        <v>59.5</v>
      </c>
      <c r="AJ5" s="215">
        <f t="shared" si="6"/>
        <v>0.2510426111</v>
      </c>
      <c r="AK5" s="3"/>
      <c r="AL5" s="3" t="s">
        <v>1245</v>
      </c>
    </row>
    <row r="6" ht="26.25" customHeight="1">
      <c r="A6" s="245" t="s">
        <v>643</v>
      </c>
      <c r="B6" s="4"/>
      <c r="C6" s="4"/>
      <c r="D6" s="54"/>
      <c r="E6" s="54"/>
      <c r="F6" s="54"/>
      <c r="G6" s="54"/>
      <c r="H6" s="54"/>
      <c r="I6" s="112"/>
      <c r="J6" s="112"/>
      <c r="K6" s="263">
        <f t="shared" ref="K6:O6" si="10">K4-K5</f>
        <v>29</v>
      </c>
      <c r="L6" s="263">
        <f t="shared" si="10"/>
        <v>24</v>
      </c>
      <c r="M6" s="246">
        <f t="shared" si="10"/>
        <v>21.3</v>
      </c>
      <c r="N6" s="246">
        <f t="shared" si="10"/>
        <v>14.9</v>
      </c>
      <c r="O6" s="248">
        <f t="shared" si="10"/>
        <v>22.3</v>
      </c>
      <c r="P6" s="255">
        <v>15.0</v>
      </c>
      <c r="Q6" s="254">
        <f t="shared" ref="Q6:R6" si="11">Q4-Q5</f>
        <v>13.6</v>
      </c>
      <c r="R6" s="255">
        <f t="shared" si="11"/>
        <v>16</v>
      </c>
      <c r="S6" s="255">
        <v>10.0</v>
      </c>
      <c r="T6" s="248">
        <f t="shared" si="2"/>
        <v>13.65</v>
      </c>
      <c r="U6" s="347">
        <f>U4-U5</f>
        <v>12.2</v>
      </c>
      <c r="V6" s="255">
        <v>12.0</v>
      </c>
      <c r="W6" s="255">
        <v>13.0</v>
      </c>
      <c r="X6" s="254">
        <v>18.4</v>
      </c>
      <c r="Y6" s="258">
        <f t="shared" si="3"/>
        <v>13.9</v>
      </c>
      <c r="Z6" s="347">
        <f>Z4-Z5</f>
        <v>25.76</v>
      </c>
      <c r="AA6" s="347">
        <v>23.0</v>
      </c>
      <c r="AB6" s="347">
        <f>AB4-AB5</f>
        <v>24.37</v>
      </c>
      <c r="AC6" s="264">
        <v>25.0</v>
      </c>
      <c r="AD6" s="258">
        <f t="shared" si="4"/>
        <v>24.5325</v>
      </c>
      <c r="AE6" s="264">
        <v>25.0</v>
      </c>
      <c r="AF6" s="264">
        <v>24.0</v>
      </c>
      <c r="AG6" s="264">
        <v>24.0</v>
      </c>
      <c r="AH6" s="264">
        <v>23.0</v>
      </c>
      <c r="AI6" s="258">
        <f t="shared" si="5"/>
        <v>24</v>
      </c>
      <c r="AJ6" s="215">
        <f t="shared" si="6"/>
        <v>0.7649280576</v>
      </c>
      <c r="AK6" s="3"/>
      <c r="AL6" s="3" t="s">
        <v>1246</v>
      </c>
    </row>
    <row r="7" ht="28.5" customHeight="1">
      <c r="A7" s="252" t="s">
        <v>559</v>
      </c>
      <c r="B7" s="4"/>
      <c r="C7" s="4">
        <v>5.7</v>
      </c>
      <c r="D7" s="54" t="s">
        <v>144</v>
      </c>
      <c r="E7" s="54" t="s">
        <v>201</v>
      </c>
      <c r="F7" s="54" t="s">
        <v>299</v>
      </c>
      <c r="G7" s="54">
        <v>16.7</v>
      </c>
      <c r="H7" s="54">
        <v>15.9</v>
      </c>
      <c r="I7" s="112">
        <v>13.7</v>
      </c>
      <c r="J7" s="112">
        <v>11.9</v>
      </c>
      <c r="K7" s="263">
        <v>3.5</v>
      </c>
      <c r="L7" s="263">
        <v>3.3</v>
      </c>
      <c r="M7" s="256">
        <v>6.0</v>
      </c>
      <c r="N7" s="256">
        <v>7.4</v>
      </c>
      <c r="O7" s="258">
        <f>AVERAGE(K7:N7)</f>
        <v>5.05</v>
      </c>
      <c r="P7" s="282">
        <v>7.7</v>
      </c>
      <c r="Q7" s="282">
        <v>8.6</v>
      </c>
      <c r="R7" s="282">
        <v>8.6</v>
      </c>
      <c r="S7" s="282">
        <v>9.5</v>
      </c>
      <c r="T7" s="258">
        <f t="shared" si="2"/>
        <v>8.6</v>
      </c>
      <c r="U7" s="282">
        <v>10.3</v>
      </c>
      <c r="V7" s="282">
        <v>9.4</v>
      </c>
      <c r="W7" s="282">
        <v>8.0</v>
      </c>
      <c r="X7" s="282">
        <v>5.6</v>
      </c>
      <c r="Y7" s="258">
        <f t="shared" si="3"/>
        <v>8.325</v>
      </c>
      <c r="Z7" s="282">
        <v>5.9</v>
      </c>
      <c r="AA7" s="282">
        <v>6.0</v>
      </c>
      <c r="AB7" s="487">
        <v>6.3</v>
      </c>
      <c r="AC7" s="267">
        <v>7.1</v>
      </c>
      <c r="AD7" s="258">
        <f t="shared" si="4"/>
        <v>6.325</v>
      </c>
      <c r="AE7" s="267">
        <v>6.2</v>
      </c>
      <c r="AF7" s="267">
        <v>6.6</v>
      </c>
      <c r="AG7" s="267">
        <v>7.0</v>
      </c>
      <c r="AH7" s="267">
        <v>6.7</v>
      </c>
      <c r="AI7" s="258">
        <f t="shared" si="5"/>
        <v>6.625</v>
      </c>
      <c r="AJ7" s="215">
        <f t="shared" si="6"/>
        <v>-0.2402402402</v>
      </c>
      <c r="AK7" s="99"/>
      <c r="AL7" s="99"/>
    </row>
    <row r="8">
      <c r="A8" s="252" t="s">
        <v>534</v>
      </c>
      <c r="B8" s="4"/>
      <c r="C8" s="4">
        <v>4.5</v>
      </c>
      <c r="D8" s="54">
        <v>5.5</v>
      </c>
      <c r="E8" s="54" t="s">
        <v>194</v>
      </c>
      <c r="F8" s="54">
        <v>8.5</v>
      </c>
      <c r="G8" s="54" t="s">
        <v>387</v>
      </c>
      <c r="H8" s="54" t="s">
        <v>387</v>
      </c>
      <c r="I8" s="207">
        <v>44780.0</v>
      </c>
      <c r="J8" s="112">
        <v>7.5</v>
      </c>
      <c r="K8" s="260">
        <v>7.5</v>
      </c>
      <c r="L8" s="260">
        <v>7.5</v>
      </c>
      <c r="M8" s="260">
        <v>13.0</v>
      </c>
      <c r="N8" s="260">
        <v>16.0</v>
      </c>
      <c r="O8" s="258">
        <v>9.9</v>
      </c>
      <c r="P8" s="271">
        <v>16.0</v>
      </c>
      <c r="Q8" s="271">
        <v>16.0</v>
      </c>
      <c r="R8" s="297">
        <v>19.0</v>
      </c>
      <c r="S8" s="271">
        <v>21.0</v>
      </c>
      <c r="T8" s="258">
        <v>17.5</v>
      </c>
      <c r="U8" s="271">
        <v>21.0</v>
      </c>
      <c r="V8" s="271">
        <v>20.0</v>
      </c>
      <c r="W8" s="271">
        <v>17.0</v>
      </c>
      <c r="X8" s="271">
        <v>16.0</v>
      </c>
      <c r="Y8" s="258">
        <v>19.2</v>
      </c>
      <c r="Z8" s="271">
        <v>15.0</v>
      </c>
      <c r="AA8" s="271">
        <v>14.25</v>
      </c>
      <c r="AB8" s="271">
        <v>14.0</v>
      </c>
      <c r="AC8" s="269">
        <v>14.0</v>
      </c>
      <c r="AD8" s="258">
        <v>14.6</v>
      </c>
      <c r="AE8" s="269">
        <v>13.75</v>
      </c>
      <c r="AF8" s="269">
        <v>13.5</v>
      </c>
      <c r="AG8" s="269">
        <v>13.25</v>
      </c>
      <c r="AH8" s="269">
        <v>13.0</v>
      </c>
      <c r="AI8" s="258">
        <v>13.5</v>
      </c>
      <c r="AJ8" s="215">
        <f t="shared" si="6"/>
        <v>-0.2395833333</v>
      </c>
    </row>
    <row r="9" hidden="1">
      <c r="A9" s="252" t="s">
        <v>766</v>
      </c>
      <c r="E9" s="114"/>
      <c r="F9" s="115"/>
      <c r="G9" s="115"/>
      <c r="H9" s="115"/>
      <c r="I9" s="112"/>
      <c r="J9" s="112"/>
      <c r="T9" s="103"/>
      <c r="U9" s="54"/>
      <c r="V9" s="287" t="s">
        <v>767</v>
      </c>
      <c r="W9" s="54"/>
      <c r="X9" s="54"/>
      <c r="Y9" s="103"/>
    </row>
    <row r="10">
      <c r="E10" s="114"/>
      <c r="F10" s="115"/>
      <c r="G10" s="115"/>
      <c r="H10" s="115"/>
      <c r="I10" s="112"/>
      <c r="J10" s="112"/>
      <c r="X10" s="414">
        <f>Y4/T4-1</f>
        <v>-0.1419714817</v>
      </c>
      <c r="Y10" s="343">
        <v>2026.0</v>
      </c>
      <c r="Z10" s="348" t="s">
        <v>1120</v>
      </c>
      <c r="AA10" s="348" t="s">
        <v>1121</v>
      </c>
      <c r="AB10" s="348" t="s">
        <v>1122</v>
      </c>
      <c r="AC10" s="349" t="s">
        <v>1123</v>
      </c>
      <c r="AD10" s="343">
        <v>2027.0</v>
      </c>
      <c r="AE10" s="348" t="s">
        <v>1259</v>
      </c>
      <c r="AF10" s="348" t="s">
        <v>1260</v>
      </c>
      <c r="AG10" s="348" t="s">
        <v>1261</v>
      </c>
      <c r="AH10" s="349" t="s">
        <v>1262</v>
      </c>
    </row>
    <row r="11">
      <c r="E11" s="114"/>
      <c r="F11" s="115"/>
      <c r="G11" s="115"/>
      <c r="H11" s="115"/>
      <c r="I11" s="112" t="s">
        <v>406</v>
      </c>
      <c r="J11" s="112" t="s">
        <v>406</v>
      </c>
      <c r="X11" s="350" t="s">
        <v>1006</v>
      </c>
      <c r="Y11" s="351" t="s">
        <v>54</v>
      </c>
      <c r="Z11" s="411"/>
      <c r="AA11" s="411"/>
      <c r="AB11" s="411"/>
      <c r="AC11" s="411">
        <v>100.0</v>
      </c>
      <c r="AD11" s="351" t="s">
        <v>54</v>
      </c>
      <c r="AE11" s="411">
        <v>90.0</v>
      </c>
      <c r="AF11" s="411">
        <v>86.0</v>
      </c>
      <c r="AG11" s="411">
        <v>82.0</v>
      </c>
      <c r="AH11" s="411">
        <v>80.0</v>
      </c>
      <c r="AI11" s="350" t="s">
        <v>1006</v>
      </c>
      <c r="AK11" s="3" t="s">
        <v>1304</v>
      </c>
    </row>
    <row r="12">
      <c r="E12" s="114" t="s">
        <v>241</v>
      </c>
      <c r="F12" s="115" t="s">
        <v>242</v>
      </c>
      <c r="G12" s="115" t="s">
        <v>242</v>
      </c>
      <c r="H12" s="115" t="s">
        <v>194</v>
      </c>
      <c r="I12" s="115" t="s">
        <v>148</v>
      </c>
      <c r="Y12" s="352" t="s">
        <v>468</v>
      </c>
      <c r="Z12" s="354"/>
      <c r="AA12" s="354"/>
      <c r="AB12" s="354"/>
      <c r="AC12" s="354">
        <v>100.0</v>
      </c>
      <c r="AD12" s="352" t="s">
        <v>468</v>
      </c>
      <c r="AE12" s="354">
        <v>90.0</v>
      </c>
      <c r="AF12" s="354">
        <v>86.0</v>
      </c>
      <c r="AG12" s="354">
        <v>82.0</v>
      </c>
      <c r="AH12" s="354">
        <v>80.0</v>
      </c>
      <c r="AJ12" s="352" t="s">
        <v>468</v>
      </c>
      <c r="AK12" s="354">
        <v>25.0</v>
      </c>
      <c r="AL12" s="354">
        <v>25.0</v>
      </c>
      <c r="AM12" s="354">
        <v>25.0</v>
      </c>
      <c r="AN12" s="354">
        <v>25.0</v>
      </c>
    </row>
    <row r="13">
      <c r="C13" s="4">
        <v>5.7</v>
      </c>
      <c r="D13" s="4">
        <v>6.5</v>
      </c>
      <c r="E13" s="62">
        <v>7.4</v>
      </c>
      <c r="F13" s="54">
        <v>8.1</v>
      </c>
      <c r="G13" s="54"/>
      <c r="H13" s="62"/>
      <c r="I13" s="62"/>
      <c r="J13" s="62"/>
      <c r="Y13" s="352" t="s">
        <v>469</v>
      </c>
      <c r="Z13" s="354"/>
      <c r="AA13" s="354"/>
      <c r="AB13" s="354"/>
      <c r="AC13" s="354">
        <v>90.0</v>
      </c>
      <c r="AD13" s="352" t="s">
        <v>469</v>
      </c>
      <c r="AE13" s="354">
        <v>90.0</v>
      </c>
      <c r="AF13" s="354">
        <v>86.0</v>
      </c>
      <c r="AG13" s="354">
        <v>82.0</v>
      </c>
      <c r="AH13" s="354">
        <v>80.0</v>
      </c>
      <c r="AJ13" s="352" t="s">
        <v>469</v>
      </c>
      <c r="AK13" s="354">
        <v>25.0</v>
      </c>
      <c r="AL13" s="354">
        <v>25.0</v>
      </c>
      <c r="AM13" s="354">
        <v>25.0</v>
      </c>
      <c r="AN13" s="354">
        <v>25.0</v>
      </c>
    </row>
    <row r="14">
      <c r="D14" s="111"/>
      <c r="E14" s="117"/>
      <c r="F14" s="112"/>
      <c r="G14" s="112"/>
      <c r="H14" s="112"/>
      <c r="I14" s="117"/>
      <c r="J14" s="112"/>
      <c r="Y14" s="352" t="s">
        <v>470</v>
      </c>
      <c r="Z14" s="354"/>
      <c r="AA14" s="354"/>
      <c r="AB14" s="354"/>
      <c r="AC14" s="354">
        <v>95.0</v>
      </c>
      <c r="AD14" s="352" t="s">
        <v>470</v>
      </c>
      <c r="AE14" s="354">
        <v>90.0</v>
      </c>
      <c r="AF14" s="354">
        <v>86.0</v>
      </c>
      <c r="AG14" s="354">
        <v>82.0</v>
      </c>
      <c r="AH14" s="354">
        <v>80.0</v>
      </c>
      <c r="AI14" s="4"/>
      <c r="AJ14" s="352" t="s">
        <v>470</v>
      </c>
      <c r="AK14" s="354">
        <v>25.0</v>
      </c>
      <c r="AL14" s="354">
        <v>23.0</v>
      </c>
      <c r="AM14" s="354">
        <v>22.0</v>
      </c>
      <c r="AN14" s="354">
        <v>21.0</v>
      </c>
    </row>
    <row r="15">
      <c r="D15" s="111"/>
      <c r="E15" s="117"/>
      <c r="F15" s="112"/>
      <c r="G15" s="112"/>
      <c r="H15" s="112"/>
      <c r="I15" s="117"/>
      <c r="J15" s="112"/>
      <c r="Y15" s="436" t="s">
        <v>1225</v>
      </c>
      <c r="Z15" s="354"/>
      <c r="AA15" s="354"/>
      <c r="AB15" s="354"/>
      <c r="AC15" s="354">
        <v>93.0</v>
      </c>
      <c r="AD15" s="436" t="s">
        <v>1225</v>
      </c>
      <c r="AE15" s="354">
        <v>87.0</v>
      </c>
      <c r="AF15" s="354">
        <v>83.0</v>
      </c>
      <c r="AG15" s="354">
        <v>80.0</v>
      </c>
      <c r="AH15" s="354">
        <v>78.0</v>
      </c>
      <c r="AI15" s="41"/>
      <c r="AJ15" s="436" t="s">
        <v>1225</v>
      </c>
      <c r="AK15" s="354">
        <v>26.0</v>
      </c>
      <c r="AL15" s="354">
        <v>23.0</v>
      </c>
      <c r="AM15" s="354">
        <v>22.0</v>
      </c>
      <c r="AN15" s="354">
        <v>21.0</v>
      </c>
    </row>
    <row r="16">
      <c r="D16" s="111" t="s">
        <v>241</v>
      </c>
      <c r="E16" s="117">
        <v>7.0</v>
      </c>
      <c r="F16" s="112">
        <v>7.3</v>
      </c>
      <c r="G16" s="112"/>
      <c r="H16" s="112"/>
      <c r="I16" s="117"/>
      <c r="J16" s="112"/>
      <c r="Y16" s="440" t="s">
        <v>468</v>
      </c>
      <c r="Z16" s="354"/>
      <c r="AA16" s="354"/>
      <c r="AB16" s="354"/>
      <c r="AC16" s="354">
        <v>90.0</v>
      </c>
      <c r="AD16" s="440" t="s">
        <v>468</v>
      </c>
      <c r="AE16" s="354">
        <v>87.0</v>
      </c>
      <c r="AF16" s="354">
        <v>83.0</v>
      </c>
      <c r="AG16" s="354">
        <v>80.0</v>
      </c>
      <c r="AH16" s="354">
        <v>78.0</v>
      </c>
      <c r="AI16" s="4"/>
      <c r="AJ16" s="440" t="s">
        <v>468</v>
      </c>
      <c r="AK16" s="354">
        <v>25.0</v>
      </c>
      <c r="AL16" s="354">
        <v>24.0</v>
      </c>
      <c r="AM16" s="354">
        <v>24.0</v>
      </c>
      <c r="AN16" s="354">
        <v>23.0</v>
      </c>
    </row>
    <row r="17">
      <c r="C17" s="10"/>
      <c r="D17" s="10"/>
      <c r="E17" s="10"/>
      <c r="F17" s="10"/>
      <c r="G17" s="10"/>
      <c r="H17" s="10"/>
      <c r="I17" s="10"/>
      <c r="J17" s="10"/>
      <c r="Y17" s="440" t="s">
        <v>906</v>
      </c>
      <c r="Z17" s="444"/>
      <c r="AA17" s="445"/>
      <c r="AB17" s="445"/>
      <c r="AC17" s="446">
        <v>90.0</v>
      </c>
      <c r="AD17" s="440" t="s">
        <v>906</v>
      </c>
      <c r="AE17" s="445">
        <v>90.0</v>
      </c>
      <c r="AF17" s="445">
        <v>86.0</v>
      </c>
      <c r="AG17" s="445">
        <v>82.0</v>
      </c>
      <c r="AH17" s="446">
        <v>80.0</v>
      </c>
      <c r="AJ17" s="440" t="s">
        <v>906</v>
      </c>
      <c r="AK17" s="445">
        <v>25.0</v>
      </c>
      <c r="AL17" s="445">
        <v>24.0</v>
      </c>
      <c r="AM17" s="445">
        <v>24.0</v>
      </c>
      <c r="AN17" s="446">
        <v>23.0</v>
      </c>
    </row>
    <row r="18">
      <c r="E18" s="118"/>
      <c r="F18" s="118"/>
      <c r="G18" s="118"/>
      <c r="H18" s="118"/>
      <c r="I18" s="118"/>
      <c r="J18" s="118"/>
      <c r="K18" s="425">
        <v>78.9</v>
      </c>
      <c r="L18" s="426">
        <v>80.1</v>
      </c>
      <c r="V18" s="19" t="s">
        <v>1305</v>
      </c>
      <c r="Y18" s="361" t="s">
        <v>912</v>
      </c>
      <c r="Z18" s="359"/>
      <c r="AA18" s="359" t="str">
        <f t="shared" ref="AA18:AC18" si="12">AVERAGE(AA12:AA17)</f>
        <v>#DIV/0!</v>
      </c>
      <c r="AB18" s="359" t="str">
        <f t="shared" si="12"/>
        <v>#DIV/0!</v>
      </c>
      <c r="AC18" s="359">
        <f t="shared" si="12"/>
        <v>93</v>
      </c>
      <c r="AD18" s="361" t="s">
        <v>912</v>
      </c>
      <c r="AE18" s="359">
        <f t="shared" ref="AE18:AH18" si="13">AVERAGE(AE12:AE17)</f>
        <v>89</v>
      </c>
      <c r="AF18" s="359">
        <f t="shared" si="13"/>
        <v>85</v>
      </c>
      <c r="AG18" s="359">
        <f t="shared" si="13"/>
        <v>81.33333333</v>
      </c>
      <c r="AH18" s="359">
        <f t="shared" si="13"/>
        <v>79.33333333</v>
      </c>
      <c r="AI18" s="4"/>
      <c r="AJ18" s="361" t="s">
        <v>912</v>
      </c>
      <c r="AK18" s="359">
        <f t="shared" ref="AK18:AN18" si="14">AVERAGE(AK12:AK17)</f>
        <v>25.16666667</v>
      </c>
      <c r="AL18" s="359">
        <f t="shared" si="14"/>
        <v>24</v>
      </c>
      <c r="AM18" s="359">
        <f t="shared" si="14"/>
        <v>23.66666667</v>
      </c>
      <c r="AN18" s="359">
        <f t="shared" si="14"/>
        <v>23</v>
      </c>
    </row>
    <row r="19">
      <c r="E19" s="118"/>
      <c r="F19" s="118"/>
      <c r="G19" s="118"/>
      <c r="H19" s="118"/>
      <c r="I19" s="118"/>
      <c r="J19" s="118"/>
      <c r="K19" s="425">
        <v>10.98</v>
      </c>
      <c r="L19" s="426">
        <v>11.12</v>
      </c>
      <c r="T19" s="4" t="s">
        <v>345</v>
      </c>
      <c r="U19" s="4" t="s">
        <v>347</v>
      </c>
      <c r="V19" s="4" t="s">
        <v>348</v>
      </c>
      <c r="W19" s="4" t="s">
        <v>581</v>
      </c>
      <c r="Y19" s="364"/>
      <c r="Z19" s="427">
        <v>46112.0</v>
      </c>
      <c r="AA19" s="365">
        <f t="shared" ref="AA19:AC19" si="15">EOMONTH(Z19,3)</f>
        <v>46203</v>
      </c>
      <c r="AB19" s="365">
        <f t="shared" si="15"/>
        <v>46295</v>
      </c>
      <c r="AC19" s="365">
        <f t="shared" si="15"/>
        <v>46387</v>
      </c>
      <c r="AD19" s="366" t="s">
        <v>1011</v>
      </c>
      <c r="AE19" s="427">
        <v>46477.0</v>
      </c>
      <c r="AF19" s="365">
        <f t="shared" ref="AF19:AH19" si="16">EOMONTH(AE19,3)</f>
        <v>46568</v>
      </c>
      <c r="AG19" s="365">
        <f t="shared" si="16"/>
        <v>46660</v>
      </c>
      <c r="AH19" s="365">
        <f t="shared" si="16"/>
        <v>46752</v>
      </c>
    </row>
    <row r="20">
      <c r="E20" s="118"/>
      <c r="F20" s="118"/>
      <c r="G20" s="118"/>
      <c r="H20" s="118"/>
      <c r="I20" s="118"/>
      <c r="J20" s="118"/>
      <c r="K20" s="425">
        <v>7.14</v>
      </c>
      <c r="L20" s="426">
        <v>7.18</v>
      </c>
      <c r="R20" s="308"/>
      <c r="S20" s="4" t="s">
        <v>62</v>
      </c>
      <c r="T20" s="29">
        <v>77.93</v>
      </c>
      <c r="U20" s="29">
        <v>83.5</v>
      </c>
      <c r="V20" s="437">
        <v>85.22</v>
      </c>
      <c r="W20" s="226">
        <f t="shared" ref="W20:W23" si="17">AVERAGE(T20:V20)</f>
        <v>82.21666667</v>
      </c>
      <c r="X20" s="366" t="s">
        <v>1011</v>
      </c>
      <c r="Y20" s="367" t="s">
        <v>786</v>
      </c>
      <c r="Z20" s="348"/>
      <c r="AA20" s="348"/>
      <c r="AB20" s="348"/>
      <c r="AC20" s="349">
        <v>87.0</v>
      </c>
      <c r="AD20" s="367" t="s">
        <v>786</v>
      </c>
      <c r="AE20" s="348">
        <v>88.0</v>
      </c>
      <c r="AF20" s="348">
        <v>91.0</v>
      </c>
      <c r="AG20" s="348">
        <v>95.0</v>
      </c>
      <c r="AH20" s="349">
        <v>97.0</v>
      </c>
      <c r="AI20" s="366" t="s">
        <v>1011</v>
      </c>
    </row>
    <row r="21">
      <c r="E21" s="118"/>
      <c r="F21" s="118"/>
      <c r="G21" s="118"/>
      <c r="H21" s="118"/>
      <c r="I21" s="118"/>
      <c r="J21" s="118"/>
      <c r="K21" s="425">
        <v>93.4</v>
      </c>
      <c r="L21" s="426">
        <v>93.2</v>
      </c>
      <c r="R21" s="309"/>
      <c r="S21" s="4" t="s">
        <v>28</v>
      </c>
      <c r="T21" s="29">
        <v>83.42</v>
      </c>
      <c r="U21" s="29">
        <v>90.97</v>
      </c>
      <c r="V21" s="437">
        <v>114.72</v>
      </c>
      <c r="W21" s="226">
        <f t="shared" si="17"/>
        <v>96.37</v>
      </c>
      <c r="Y21" s="352" t="s">
        <v>468</v>
      </c>
      <c r="Z21" s="354"/>
      <c r="AA21" s="354"/>
      <c r="AB21" s="354"/>
      <c r="AC21" s="355">
        <v>87.0</v>
      </c>
      <c r="AD21" s="352" t="s">
        <v>468</v>
      </c>
      <c r="AE21" s="354">
        <v>86.0</v>
      </c>
      <c r="AF21" s="354">
        <v>87.0</v>
      </c>
      <c r="AG21" s="354">
        <v>90.0</v>
      </c>
      <c r="AH21" s="355">
        <v>92.0</v>
      </c>
    </row>
    <row r="22">
      <c r="E22" s="118"/>
      <c r="F22" s="118"/>
      <c r="G22" s="118"/>
      <c r="H22" s="118"/>
      <c r="I22" s="118"/>
      <c r="J22" s="118"/>
      <c r="K22" s="425">
        <v>1.17</v>
      </c>
      <c r="L22" s="426">
        <v>1.16</v>
      </c>
      <c r="R22" s="309"/>
      <c r="S22" s="4" t="s">
        <v>1270</v>
      </c>
      <c r="T22" s="29">
        <v>59.02</v>
      </c>
      <c r="U22" s="29">
        <v>67.11</v>
      </c>
      <c r="V22" s="437">
        <v>89.56</v>
      </c>
      <c r="W22" s="226">
        <f t="shared" si="17"/>
        <v>71.89666667</v>
      </c>
      <c r="Y22" s="352" t="s">
        <v>469</v>
      </c>
      <c r="Z22" s="354"/>
      <c r="AA22" s="354"/>
      <c r="AB22" s="354"/>
      <c r="AC22" s="355">
        <v>84.0</v>
      </c>
      <c r="AD22" s="352" t="s">
        <v>469</v>
      </c>
      <c r="AE22" s="354">
        <v>84.0</v>
      </c>
      <c r="AF22" s="354">
        <v>87.0</v>
      </c>
      <c r="AG22" s="354">
        <v>90.0</v>
      </c>
      <c r="AH22" s="355">
        <v>93.0</v>
      </c>
    </row>
    <row r="23">
      <c r="E23" s="118"/>
      <c r="F23" s="118"/>
      <c r="G23" s="118"/>
      <c r="H23" s="118"/>
      <c r="I23" s="118"/>
      <c r="J23" s="118"/>
      <c r="K23" s="425">
        <v>71.0</v>
      </c>
      <c r="L23" s="426">
        <v>68.0</v>
      </c>
      <c r="R23" s="309"/>
      <c r="S23" s="4" t="s">
        <v>1214</v>
      </c>
      <c r="T23" s="117">
        <f t="shared" ref="T23:V23" si="18">T21-T22</f>
        <v>24.4</v>
      </c>
      <c r="U23" s="117">
        <f t="shared" si="18"/>
        <v>23.86</v>
      </c>
      <c r="V23" s="117">
        <f t="shared" si="18"/>
        <v>25.16</v>
      </c>
      <c r="W23" s="226">
        <f t="shared" si="17"/>
        <v>24.47333333</v>
      </c>
      <c r="Y23" s="352" t="s">
        <v>470</v>
      </c>
      <c r="Z23" s="354"/>
      <c r="AA23" s="354"/>
      <c r="AB23" s="354"/>
      <c r="AC23" s="355">
        <v>85.0</v>
      </c>
      <c r="AD23" s="352" t="s">
        <v>470</v>
      </c>
      <c r="AE23" s="354">
        <v>85.0</v>
      </c>
      <c r="AF23" s="354">
        <v>88.0</v>
      </c>
      <c r="AG23" s="354">
        <v>90.0</v>
      </c>
      <c r="AH23" s="355">
        <v>91.0</v>
      </c>
    </row>
    <row r="24">
      <c r="E24" s="118"/>
      <c r="F24" s="118"/>
      <c r="G24" s="118"/>
      <c r="H24" s="118"/>
      <c r="I24" s="118"/>
      <c r="J24" s="118"/>
      <c r="K24" s="425">
        <v>57.4</v>
      </c>
      <c r="L24" s="426">
        <v>56.1</v>
      </c>
      <c r="R24" s="309"/>
      <c r="Y24" s="357" t="s">
        <v>906</v>
      </c>
      <c r="Z24" s="354"/>
      <c r="AA24" s="354"/>
      <c r="AB24" s="354"/>
      <c r="AC24" s="356">
        <v>86.0</v>
      </c>
      <c r="AD24" s="357" t="s">
        <v>906</v>
      </c>
      <c r="AE24" s="354">
        <v>88.0</v>
      </c>
      <c r="AF24" s="354">
        <v>89.0</v>
      </c>
      <c r="AG24" s="354">
        <v>93.0</v>
      </c>
      <c r="AH24" s="355">
        <v>96.0</v>
      </c>
    </row>
    <row r="25">
      <c r="E25" s="118"/>
      <c r="F25" s="118"/>
      <c r="G25" s="118"/>
      <c r="H25" s="118"/>
      <c r="I25" s="118"/>
      <c r="J25" s="118"/>
      <c r="R25" s="308"/>
      <c r="Y25" s="358" t="s">
        <v>908</v>
      </c>
      <c r="Z25" s="354"/>
      <c r="AA25" s="354"/>
      <c r="AB25" s="354"/>
      <c r="AC25" s="356">
        <v>87.0</v>
      </c>
      <c r="AD25" s="358" t="s">
        <v>908</v>
      </c>
      <c r="AE25" s="354">
        <v>88.0</v>
      </c>
      <c r="AF25" s="354">
        <v>91.0</v>
      </c>
      <c r="AG25" s="354">
        <v>94.0</v>
      </c>
      <c r="AH25" s="355">
        <v>96.0</v>
      </c>
    </row>
    <row r="26">
      <c r="A26" s="3"/>
      <c r="B26" s="12"/>
      <c r="C26" s="12"/>
      <c r="D26" s="13"/>
      <c r="E26" s="13"/>
      <c r="F26" s="13"/>
      <c r="G26" s="13"/>
      <c r="H26" s="13"/>
      <c r="I26" s="13"/>
      <c r="J26" s="13"/>
      <c r="R26" s="308"/>
      <c r="S26" s="309"/>
      <c r="T26" s="309"/>
      <c r="U26" s="309"/>
      <c r="V26" s="309"/>
      <c r="W26" s="309"/>
      <c r="X26" s="309"/>
      <c r="Y26" s="358"/>
      <c r="Z26" s="444"/>
      <c r="AA26" s="444"/>
      <c r="AB26" s="444"/>
      <c r="AC26" s="447"/>
      <c r="AD26" s="358"/>
      <c r="AE26" s="444"/>
      <c r="AF26" s="444"/>
      <c r="AG26" s="444"/>
      <c r="AH26" s="447"/>
    </row>
    <row r="27">
      <c r="Y27" s="361" t="s">
        <v>912</v>
      </c>
      <c r="Z27" s="359" t="str">
        <f t="shared" ref="Z27:AC27" si="19">AVERAGE(Z21:Z25)</f>
        <v>#DIV/0!</v>
      </c>
      <c r="AA27" s="359" t="str">
        <f t="shared" si="19"/>
        <v>#DIV/0!</v>
      </c>
      <c r="AB27" s="359" t="str">
        <f t="shared" si="19"/>
        <v>#DIV/0!</v>
      </c>
      <c r="AC27" s="360">
        <f t="shared" si="19"/>
        <v>85.8</v>
      </c>
      <c r="AD27" s="361" t="s">
        <v>912</v>
      </c>
      <c r="AE27" s="359">
        <f t="shared" ref="AE27:AH27" si="20">AVERAGE(AE21:AE25)</f>
        <v>86.2</v>
      </c>
      <c r="AF27" s="359">
        <f t="shared" si="20"/>
        <v>88.4</v>
      </c>
      <c r="AG27" s="359">
        <f t="shared" si="20"/>
        <v>91.4</v>
      </c>
      <c r="AH27" s="360">
        <f t="shared" si="20"/>
        <v>93.6</v>
      </c>
    </row>
    <row r="28">
      <c r="X28" s="366" t="s">
        <v>81</v>
      </c>
      <c r="Y28" s="371" t="s">
        <v>786</v>
      </c>
      <c r="Z28" s="372"/>
      <c r="AA28" s="372"/>
      <c r="AB28" s="372"/>
      <c r="AC28" s="373"/>
      <c r="AD28" s="371" t="s">
        <v>786</v>
      </c>
      <c r="AE28" s="372"/>
      <c r="AF28" s="372"/>
      <c r="AG28" s="372"/>
      <c r="AH28" s="373" t="s">
        <v>194</v>
      </c>
      <c r="AI28" s="366" t="s">
        <v>81</v>
      </c>
    </row>
    <row r="29">
      <c r="Q29" s="4"/>
      <c r="R29" s="55"/>
      <c r="X29" s="99" t="s">
        <v>1306</v>
      </c>
      <c r="Y29" s="374" t="s">
        <v>468</v>
      </c>
      <c r="Z29" s="53"/>
      <c r="AA29" s="53"/>
      <c r="AB29" s="303"/>
      <c r="AC29" s="376">
        <v>7.5</v>
      </c>
      <c r="AD29" s="374" t="s">
        <v>468</v>
      </c>
      <c r="AE29" s="53"/>
      <c r="AF29" s="53"/>
      <c r="AG29" s="303"/>
      <c r="AH29" s="376">
        <v>6.7</v>
      </c>
      <c r="AI29" s="3" t="s">
        <v>1307</v>
      </c>
    </row>
    <row r="30">
      <c r="M30" s="308"/>
      <c r="Q30" s="4"/>
      <c r="R30" s="55"/>
      <c r="X30" s="99" t="s">
        <v>1193</v>
      </c>
      <c r="Y30" s="352" t="s">
        <v>469</v>
      </c>
      <c r="Z30" s="52"/>
      <c r="AA30" s="53"/>
      <c r="AB30" s="303"/>
      <c r="AC30" s="376">
        <v>7.0</v>
      </c>
      <c r="AD30" s="352" t="s">
        <v>469</v>
      </c>
      <c r="AE30" s="52"/>
      <c r="AF30" s="53"/>
      <c r="AG30" s="303"/>
      <c r="AH30" s="376">
        <v>7.0</v>
      </c>
    </row>
    <row r="31">
      <c r="M31" s="309"/>
      <c r="Q31" s="4"/>
      <c r="R31" s="55"/>
      <c r="X31" s="99" t="s">
        <v>1195</v>
      </c>
      <c r="Y31" s="374" t="s">
        <v>470</v>
      </c>
      <c r="Z31" s="52"/>
      <c r="AA31" s="53"/>
      <c r="AB31" s="303"/>
      <c r="AC31" s="488">
        <v>6.75</v>
      </c>
      <c r="AD31" s="374" t="s">
        <v>470</v>
      </c>
      <c r="AE31" s="53"/>
      <c r="AF31" s="53"/>
      <c r="AG31" s="303"/>
      <c r="AH31" s="376">
        <v>6.7</v>
      </c>
    </row>
    <row r="32">
      <c r="M32" s="309"/>
      <c r="Q32" s="4"/>
      <c r="R32" s="55"/>
      <c r="S32" s="377"/>
      <c r="Y32" s="358" t="s">
        <v>906</v>
      </c>
      <c r="Z32" s="52"/>
      <c r="AA32" s="55"/>
      <c r="AB32" s="303"/>
      <c r="AC32" s="376">
        <v>7.3</v>
      </c>
      <c r="AD32" s="358" t="s">
        <v>906</v>
      </c>
      <c r="AE32" s="55"/>
      <c r="AF32" s="55"/>
      <c r="AG32" s="303"/>
      <c r="AH32" s="376">
        <v>6.2</v>
      </c>
    </row>
    <row r="33">
      <c r="M33" s="309"/>
      <c r="Q33" s="4"/>
      <c r="R33" s="55"/>
      <c r="S33" s="377"/>
      <c r="Y33" s="358" t="s">
        <v>908</v>
      </c>
      <c r="Z33" s="55"/>
      <c r="AA33" s="55"/>
      <c r="AB33" s="303"/>
      <c r="AC33" s="376">
        <v>6.9</v>
      </c>
      <c r="AD33" s="358" t="s">
        <v>908</v>
      </c>
      <c r="AE33" s="55"/>
      <c r="AF33" s="55"/>
      <c r="AG33" s="303"/>
      <c r="AH33" s="376">
        <v>6.9</v>
      </c>
    </row>
    <row r="34">
      <c r="M34" s="309"/>
      <c r="Q34" s="4"/>
      <c r="R34" s="55"/>
      <c r="S34" s="377"/>
      <c r="Y34" s="358"/>
      <c r="Z34" s="394"/>
      <c r="AA34" s="394"/>
      <c r="AB34" s="394"/>
      <c r="AC34" s="449"/>
      <c r="AD34" s="358"/>
      <c r="AE34" s="394"/>
      <c r="AF34" s="394"/>
      <c r="AG34" s="394"/>
      <c r="AH34" s="449"/>
    </row>
    <row r="35">
      <c r="M35" s="308"/>
      <c r="Q35" s="4"/>
      <c r="R35" s="55"/>
      <c r="S35" s="53"/>
      <c r="Y35" s="380" t="s">
        <v>912</v>
      </c>
      <c r="Z35" s="450"/>
      <c r="AA35" s="450"/>
      <c r="AB35" s="451"/>
      <c r="AC35" s="438">
        <f>AVERAGE(AC29:AC33)</f>
        <v>7.09</v>
      </c>
      <c r="AD35" s="380" t="s">
        <v>912</v>
      </c>
      <c r="AE35" s="450"/>
      <c r="AF35" s="450"/>
      <c r="AG35" s="451"/>
      <c r="AH35" s="379">
        <f>AVERAGE(AH29:AH33)</f>
        <v>6.7</v>
      </c>
    </row>
    <row r="36">
      <c r="M36" s="308"/>
      <c r="Q36" s="4"/>
      <c r="R36" s="55"/>
      <c r="S36" s="53"/>
      <c r="X36" s="350" t="s">
        <v>1275</v>
      </c>
      <c r="Y36" s="385"/>
      <c r="Z36" s="61" t="s">
        <v>1120</v>
      </c>
      <c r="AA36" s="61" t="s">
        <v>1121</v>
      </c>
      <c r="AB36" s="61" t="s">
        <v>1122</v>
      </c>
      <c r="AC36" s="61" t="s">
        <v>1123</v>
      </c>
      <c r="AE36" s="4" t="s">
        <v>1259</v>
      </c>
      <c r="AF36" s="4" t="s">
        <v>1260</v>
      </c>
      <c r="AG36" s="4" t="s">
        <v>1261</v>
      </c>
      <c r="AH36" s="4" t="s">
        <v>1262</v>
      </c>
      <c r="AI36" s="350" t="s">
        <v>1275</v>
      </c>
    </row>
    <row r="37">
      <c r="S37" s="53"/>
      <c r="Y37" s="386" t="s">
        <v>468</v>
      </c>
      <c r="Z37" s="431"/>
      <c r="AA37" s="462"/>
      <c r="AB37" s="462"/>
      <c r="AC37" s="462">
        <v>14.0</v>
      </c>
      <c r="AD37" s="386" t="s">
        <v>468</v>
      </c>
      <c r="AE37" s="463">
        <v>14.0</v>
      </c>
      <c r="AF37" s="463">
        <v>14.0</v>
      </c>
      <c r="AG37" s="463">
        <v>14.0</v>
      </c>
      <c r="AH37" s="463">
        <v>14.0</v>
      </c>
    </row>
    <row r="38">
      <c r="N38" s="31" t="s">
        <v>586</v>
      </c>
      <c r="Y38" s="386" t="s">
        <v>469</v>
      </c>
      <c r="Z38" s="433"/>
      <c r="AA38" s="464"/>
      <c r="AB38" s="464"/>
      <c r="AC38" s="464">
        <v>14.0</v>
      </c>
      <c r="AD38" s="386" t="s">
        <v>469</v>
      </c>
      <c r="AE38" s="464">
        <v>13.75</v>
      </c>
      <c r="AF38" s="464">
        <v>13.5</v>
      </c>
      <c r="AG38" s="464">
        <v>13.25</v>
      </c>
      <c r="AH38" s="465">
        <v>13.0</v>
      </c>
    </row>
    <row r="39">
      <c r="N39" s="3" t="s">
        <v>587</v>
      </c>
      <c r="S39" s="53"/>
      <c r="Y39" s="386" t="s">
        <v>470</v>
      </c>
      <c r="Z39" s="431"/>
      <c r="AA39" s="462"/>
      <c r="AB39" s="462"/>
      <c r="AC39" s="462">
        <v>13.75</v>
      </c>
      <c r="AD39" s="386" t="s">
        <v>470</v>
      </c>
      <c r="AE39" s="463">
        <v>13.5</v>
      </c>
      <c r="AF39" s="463">
        <v>13.25</v>
      </c>
      <c r="AG39" s="462">
        <v>12.75</v>
      </c>
      <c r="AH39" s="462">
        <v>12.25</v>
      </c>
    </row>
    <row r="40">
      <c r="N40" s="3" t="s">
        <v>589</v>
      </c>
      <c r="S40" s="394"/>
      <c r="Y40" s="395" t="s">
        <v>906</v>
      </c>
      <c r="Z40" s="433"/>
      <c r="AA40" s="464"/>
      <c r="AB40" s="464"/>
      <c r="AC40" s="465">
        <v>14.0</v>
      </c>
      <c r="AD40" s="395" t="s">
        <v>906</v>
      </c>
      <c r="AE40" s="464">
        <v>13.75</v>
      </c>
      <c r="AF40" s="464">
        <v>13.25</v>
      </c>
      <c r="AG40" s="464">
        <v>13.0</v>
      </c>
      <c r="AH40" s="465">
        <v>12.75</v>
      </c>
    </row>
    <row r="41">
      <c r="N41" s="3" t="s">
        <v>591</v>
      </c>
      <c r="S41" s="394"/>
      <c r="Y41" s="395" t="s">
        <v>908</v>
      </c>
      <c r="Z41" s="431"/>
      <c r="AA41" s="462"/>
      <c r="AB41" s="463"/>
      <c r="AC41" s="463">
        <v>13.75</v>
      </c>
      <c r="AD41" s="395" t="s">
        <v>908</v>
      </c>
      <c r="AE41" s="463">
        <v>13.75</v>
      </c>
      <c r="AF41" s="463">
        <v>13.5</v>
      </c>
      <c r="AG41" s="463">
        <v>13.0</v>
      </c>
      <c r="AH41" s="463">
        <v>12.5</v>
      </c>
    </row>
    <row r="42">
      <c r="N42" s="3" t="s">
        <v>593</v>
      </c>
      <c r="S42" s="394"/>
      <c r="Y42" s="452"/>
      <c r="Z42" s="453"/>
      <c r="AA42" s="453"/>
      <c r="AB42" s="453"/>
      <c r="AC42" s="454"/>
      <c r="AD42" s="452"/>
      <c r="AE42" s="453"/>
      <c r="AF42" s="453"/>
      <c r="AG42" s="453"/>
      <c r="AH42" s="454"/>
    </row>
    <row r="43">
      <c r="N43" s="3" t="s">
        <v>595</v>
      </c>
      <c r="S43" s="55"/>
      <c r="Y43" s="401" t="s">
        <v>912</v>
      </c>
      <c r="Z43" s="293" t="str">
        <f t="shared" ref="Z43:AC43" si="21">AVERAGE(Z37:Z41)</f>
        <v>#DIV/0!</v>
      </c>
      <c r="AA43" s="466" t="str">
        <f t="shared" si="21"/>
        <v>#DIV/0!</v>
      </c>
      <c r="AB43" s="466" t="str">
        <f t="shared" si="21"/>
        <v>#DIV/0!</v>
      </c>
      <c r="AC43" s="467">
        <f t="shared" si="21"/>
        <v>13.9</v>
      </c>
      <c r="AD43" s="401" t="s">
        <v>912</v>
      </c>
      <c r="AE43" s="466">
        <f t="shared" ref="AE43:AH43" si="22">AVERAGE(AE37:AE41)</f>
        <v>13.75</v>
      </c>
      <c r="AF43" s="466">
        <f t="shared" si="22"/>
        <v>13.5</v>
      </c>
      <c r="AG43" s="466">
        <f t="shared" si="22"/>
        <v>13.2</v>
      </c>
      <c r="AH43" s="467">
        <f t="shared" si="22"/>
        <v>12.9</v>
      </c>
    </row>
    <row r="44">
      <c r="N44" s="3" t="s">
        <v>597</v>
      </c>
      <c r="S44" s="53"/>
      <c r="X44" s="350" t="s">
        <v>78</v>
      </c>
      <c r="Y44" s="402" t="s">
        <v>786</v>
      </c>
      <c r="Z44" s="403"/>
      <c r="AA44" s="403"/>
      <c r="AB44" s="403"/>
      <c r="AC44" s="412">
        <v>-0.6</v>
      </c>
      <c r="AD44" s="402" t="s">
        <v>786</v>
      </c>
      <c r="AE44" s="403"/>
      <c r="AF44" s="403"/>
      <c r="AG44" s="403"/>
      <c r="AH44" s="412">
        <v>2.0</v>
      </c>
      <c r="AI44" s="350" t="s">
        <v>78</v>
      </c>
    </row>
    <row r="45">
      <c r="N45" s="3" t="s">
        <v>599</v>
      </c>
      <c r="S45" s="55"/>
      <c r="Y45" s="405" t="s">
        <v>468</v>
      </c>
      <c r="Z45" s="55"/>
      <c r="AA45" s="55"/>
      <c r="AB45" s="55"/>
      <c r="AC45" s="376">
        <v>0.7</v>
      </c>
      <c r="AD45" s="405" t="s">
        <v>468</v>
      </c>
      <c r="AE45" s="55"/>
      <c r="AF45" s="55"/>
      <c r="AG45" s="55"/>
      <c r="AH45" s="376">
        <v>1.5</v>
      </c>
    </row>
    <row r="46">
      <c r="S46" s="55"/>
      <c r="Y46" s="405" t="s">
        <v>469</v>
      </c>
      <c r="Z46" s="55"/>
      <c r="AA46" s="55"/>
      <c r="AB46" s="55"/>
      <c r="AC46" s="376">
        <v>-1.0</v>
      </c>
      <c r="AD46" s="405" t="s">
        <v>469</v>
      </c>
      <c r="AE46" s="55"/>
      <c r="AF46" s="55"/>
      <c r="AG46" s="55"/>
      <c r="AH46" s="376">
        <v>-1.0</v>
      </c>
    </row>
    <row r="47">
      <c r="N47" s="3" t="s">
        <v>601</v>
      </c>
      <c r="S47" s="55"/>
      <c r="Y47" s="405" t="s">
        <v>470</v>
      </c>
      <c r="Z47" s="55"/>
      <c r="AA47" s="55"/>
      <c r="AB47" s="55"/>
      <c r="AC47" s="376">
        <v>-0.6</v>
      </c>
      <c r="AD47" s="405" t="s">
        <v>470</v>
      </c>
      <c r="AE47" s="55"/>
      <c r="AF47" s="55"/>
      <c r="AG47" s="55"/>
      <c r="AH47" s="376">
        <v>1.0</v>
      </c>
    </row>
    <row r="48">
      <c r="S48" s="394"/>
      <c r="Y48" s="407" t="s">
        <v>906</v>
      </c>
      <c r="Z48" s="55"/>
      <c r="AA48" s="55"/>
      <c r="AB48" s="55"/>
      <c r="AC48" s="376">
        <v>0.7</v>
      </c>
      <c r="AD48" s="407" t="s">
        <v>906</v>
      </c>
      <c r="AE48" s="55"/>
      <c r="AF48" s="55"/>
      <c r="AG48" s="55"/>
      <c r="AH48" s="376">
        <v>0.8</v>
      </c>
    </row>
    <row r="49">
      <c r="N49" s="3" t="s">
        <v>604</v>
      </c>
      <c r="S49" s="394"/>
      <c r="Y49" s="407" t="s">
        <v>908</v>
      </c>
      <c r="Z49" s="55"/>
      <c r="AA49" s="408"/>
      <c r="AB49" s="408"/>
      <c r="AC49" s="376">
        <v>0.4</v>
      </c>
      <c r="AD49" s="407" t="s">
        <v>908</v>
      </c>
      <c r="AE49" s="55"/>
      <c r="AF49" s="408"/>
      <c r="AG49" s="408"/>
      <c r="AH49" s="376">
        <v>0.9</v>
      </c>
    </row>
    <row r="50">
      <c r="S50" s="394"/>
      <c r="Y50" s="455"/>
      <c r="Z50" s="456"/>
      <c r="AA50" s="457"/>
      <c r="AB50" s="456"/>
      <c r="AC50" s="458"/>
      <c r="AD50" s="455"/>
      <c r="AE50" s="456"/>
      <c r="AF50" s="457"/>
      <c r="AG50" s="456"/>
      <c r="AH50" s="458"/>
    </row>
    <row r="51">
      <c r="N51" s="3" t="s">
        <v>606</v>
      </c>
      <c r="S51" s="55"/>
      <c r="Y51" s="361" t="s">
        <v>912</v>
      </c>
      <c r="Z51" s="451"/>
      <c r="AA51" s="459"/>
      <c r="AB51" s="459"/>
      <c r="AC51" s="379">
        <f>AVERAGE(AC45:AC49)</f>
        <v>0.04</v>
      </c>
      <c r="AD51" s="361" t="s">
        <v>912</v>
      </c>
      <c r="AE51" s="451"/>
      <c r="AF51" s="459"/>
      <c r="AG51" s="459"/>
      <c r="AH51" s="379">
        <f>AVERAGE(AH45:AH49)</f>
        <v>0.64</v>
      </c>
    </row>
    <row r="52">
      <c r="N52" s="65">
        <f>60%*47.5</f>
        <v>28.5</v>
      </c>
      <c r="O52" s="3" t="s">
        <v>608</v>
      </c>
      <c r="R52" s="65"/>
      <c r="Y52" s="343">
        <v>2026.0</v>
      </c>
      <c r="AB52" s="218"/>
      <c r="AC52" s="468"/>
      <c r="AD52" s="343">
        <v>2027.0</v>
      </c>
    </row>
    <row r="53">
      <c r="N53" s="65">
        <f>N52*72%</f>
        <v>20.52</v>
      </c>
      <c r="O53" s="3" t="s">
        <v>609</v>
      </c>
      <c r="R53" s="65"/>
    </row>
    <row r="54">
      <c r="N54" s="65">
        <f>N52-N53</f>
        <v>7.98</v>
      </c>
      <c r="O54" s="3" t="s">
        <v>610</v>
      </c>
    </row>
    <row r="55">
      <c r="N55" s="3" t="s">
        <v>1328</v>
      </c>
    </row>
    <row r="56">
      <c r="N56" s="3" t="s">
        <v>613</v>
      </c>
    </row>
    <row r="57">
      <c r="N57" s="3" t="s">
        <v>615</v>
      </c>
    </row>
    <row r="58">
      <c r="N58" s="3" t="s">
        <v>617</v>
      </c>
    </row>
    <row r="60">
      <c r="M60" s="3" t="s">
        <v>619</v>
      </c>
      <c r="N60" s="31" t="s">
        <v>620</v>
      </c>
      <c r="P60" s="218"/>
      <c r="Q60" s="31"/>
    </row>
    <row r="68">
      <c r="P68" s="218"/>
      <c r="Q68" s="31"/>
    </row>
  </sheetData>
  <drawing r:id="rId2"/>
  <legacyDrawing r:id="rId3"/>
</worksheet>
</file>